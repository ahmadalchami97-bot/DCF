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hodology" sheetId="2" state="visible" r:id="rId2"/>
    <sheet name="Historical" sheetId="3" state="visible" r:id="rId3"/>
    <sheet name="Assumptions" sheetId="4" state="visible" r:id="rId4"/>
    <sheet name="Forecast" sheetId="5" state="visible" r:id="rId5"/>
    <sheet name="Bridge" sheetId="6" state="visible" r:id="rId6"/>
    <sheet name="Diagnostics" sheetId="7" state="visible" r:id="rId7"/>
  </sheets>
  <definedNames>
    <definedName name="FirstYear">'Historical'!$C$9</definedName>
    <definedName name="LastActual">'Historical'!$C$11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FY&quot;0"/>
    <numFmt numFmtId="165" formatCode="#,##0;(#,##0)"/>
    <numFmt numFmtId="166" formatCode="0.0%;(0.0%)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886"/>
      <sz val="8.5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A2330"/>
      <sz val="10"/>
    </font>
    <font>
      <name val="Calibri"/>
      <color rgb="000000FF"/>
      <sz val="10"/>
    </font>
    <font>
      <name val="Calibri"/>
      <color rgb="001A2330"/>
      <sz val="10"/>
    </font>
    <font>
      <name val="Calibri"/>
      <b val="1"/>
      <color rgb="00FFFFFF"/>
      <sz val="9"/>
    </font>
    <font>
      <name val="Calibri"/>
      <i val="1"/>
      <color rgb="006B7886"/>
      <sz val="9"/>
    </font>
    <font>
      <name val="Calibri"/>
      <b val="1"/>
      <color rgb="0039506B"/>
      <sz val="9"/>
    </font>
    <font>
      <name val="Calibri"/>
      <color rgb="001A1A1A"/>
      <sz val="10"/>
    </font>
    <font>
      <name val="Calibri"/>
      <b val="1"/>
      <color rgb="001F7A4D"/>
      <sz val="10"/>
    </font>
    <font>
      <name val="Calibri"/>
      <b val="1"/>
      <color rgb="001F7A4D"/>
      <sz val="9"/>
    </font>
    <font>
      <name val="Calibri"/>
      <b val="1"/>
      <color rgb="001F7A4D"/>
      <sz val="16"/>
    </font>
  </fonts>
  <fills count="13">
    <fill>
      <patternFill/>
    </fill>
    <fill>
      <patternFill patternType="gray125"/>
    </fill>
    <fill>
      <patternFill patternType="solid">
        <fgColor rgb="001F3354"/>
        <bgColor rgb="001F3354"/>
      </patternFill>
    </fill>
    <fill>
      <patternFill patternType="solid">
        <fgColor rgb="005B7286"/>
        <bgColor rgb="005B7286"/>
      </patternFill>
    </fill>
    <fill>
      <patternFill patternType="solid">
        <fgColor rgb="002E4A6B"/>
        <bgColor rgb="002E4A6B"/>
      </patternFill>
    </fill>
    <fill>
      <patternFill patternType="solid">
        <fgColor rgb="00FFFDEB"/>
        <bgColor rgb="00FFFDEB"/>
      </patternFill>
    </fill>
    <fill>
      <patternFill patternType="solid">
        <fgColor rgb="0039506B"/>
        <bgColor rgb="0039506B"/>
      </patternFill>
    </fill>
    <fill>
      <patternFill patternType="solid">
        <fgColor rgb="00EAF0F7"/>
        <bgColor rgb="00EAF0F7"/>
      </patternFill>
    </fill>
    <fill>
      <patternFill patternType="solid">
        <fgColor rgb="00E2EFDA"/>
        <bgColor rgb="00E2EFDA"/>
      </patternFill>
    </fill>
    <fill>
      <patternFill patternType="solid">
        <fgColor rgb="001F7A4D"/>
        <bgColor rgb="001F7A4D"/>
      </patternFill>
    </fill>
    <fill>
      <patternFill patternType="solid">
        <fgColor rgb="00EAF5EE"/>
        <bgColor rgb="00EAF5EE"/>
      </patternFill>
    </fill>
    <fill>
      <patternFill patternType="solid">
        <fgColor rgb="00EFF3F7"/>
        <bgColor rgb="00EFF3F7"/>
      </patternFill>
    </fill>
    <fill>
      <patternFill patternType="solid">
        <fgColor rgb="00F7F9FB"/>
        <bgColor rgb="00F7F9FB"/>
      </patternFill>
    </fill>
  </fills>
  <borders count="12">
    <border>
      <left/>
      <right/>
      <top/>
      <bottom/>
      <diagonal/>
    </border>
    <border/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AEBCCD"/>
      </top>
    </border>
    <border>
      <left style="medium">
        <color rgb="00AEBCCD"/>
      </left>
      <right style="medium">
        <color rgb="00AEBCCD"/>
      </right>
      <top style="medium">
        <color rgb="00AEBCCD"/>
      </top>
      <bottom style="medium">
        <color rgb="00AEBCCD"/>
      </bottom>
    </border>
    <border>
      <left/>
      <right/>
      <top style="medium">
        <color rgb="00AEBCCD"/>
      </top>
      <bottom/>
      <diagonal/>
    </border>
    <border>
      <left/>
      <right style="medium">
        <color rgb="00AEBCCD"/>
      </right>
      <top style="medium">
        <color rgb="00AEBCCD"/>
      </top>
      <bottom/>
      <diagonal/>
    </border>
    <border>
      <left/>
      <right style="medium">
        <color rgb="00AEBCCD"/>
      </right>
      <top style="medium">
        <color rgb="00AEBCCD"/>
      </top>
      <bottom style="medium">
        <color rgb="00AEBCC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5" borderId="2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3" fontId="15" fillId="12" borderId="8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3" borderId="1" applyAlignment="1" pivotButton="0" quotePrefix="0" xfId="0">
      <alignment horizontal="center" vertical="center"/>
    </xf>
    <xf numFmtId="166" fontId="15" fillId="12" borderId="8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3" fontId="7" fillId="5" borderId="2" applyAlignment="1" applyProtection="1" pivotButton="0" quotePrefix="0" xfId="0">
      <alignment horizontal="right" vertical="center"/>
      <protection locked="0" hidden="0"/>
    </xf>
    <xf numFmtId="3" fontId="12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165" fontId="7" fillId="5" borderId="2" applyAlignment="1" applyProtection="1" pivotButton="0" quotePrefix="0" xfId="0">
      <alignment horizontal="right" vertical="center"/>
      <protection locked="0" hidden="0"/>
    </xf>
    <xf numFmtId="166" fontId="7" fillId="5" borderId="2" applyAlignment="1" applyProtection="1" pivotButton="0" quotePrefix="0" xfId="0">
      <alignment horizontal="right" vertical="center"/>
      <protection locked="0" hidden="0"/>
    </xf>
    <xf numFmtId="0" fontId="14" fillId="10" borderId="2" applyAlignment="1" pivotButton="0" quotePrefix="0" xfId="0">
      <alignment horizontal="center" vertical="center"/>
    </xf>
    <xf numFmtId="165" fontId="13" fillId="8" borderId="2" applyAlignment="1" pivotButton="0" quotePrefix="0" xfId="0">
      <alignment horizontal="right" vertical="center"/>
    </xf>
    <xf numFmtId="165" fontId="6" fillId="11" borderId="7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name val="Calibri"/>
        <b val="1"/>
        <color rgb="001F7A4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  <dxf>
      <fill>
        <patternFill patternType="solid">
          <fgColor rgb="00F2F2F2"/>
          <bgColor rgb="00F2F2F2"/>
        </patternFill>
      </fill>
    </dxf>
    <dxf>
      <fill>
        <patternFill patternType="solid">
          <fgColor rgb="00EAF0F7"/>
          <bgColor rgb="00EAF0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EBITDA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'Dashboard'!$B$19:$L$19</f>
            </numRef>
          </val>
        </ser>
        <ser>
          <idx val="1"/>
          <order val="1"/>
          <tx>
            <strRef>
              <f>'Dashboard'!A20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'Dashboard'!$B$20:$L$20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income &amp; Free cash flow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'Dashboard'!$B$21:$L$21</f>
            </numRef>
          </val>
        </ser>
        <ser>
          <idx val="1"/>
          <order val="1"/>
          <tx>
            <strRef>
              <f>'Dashboard'!A22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'Dashboard'!$B$22:$L$22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'Dashboard'!$B$23:$L$23</f>
            </numRef>
          </val>
        </ser>
        <ser>
          <idx val="1"/>
          <order val="1"/>
          <tx>
            <strRef>
              <f>'Dashboard'!A24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'Dashboard'!$B$24:$L$24</f>
            </numRef>
          </val>
        </ser>
        <ser>
          <idx val="2"/>
          <order val="2"/>
          <tx>
            <strRef>
              <f>'Dashboard'!A25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'Dashboard'!$B$25:$L$25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thodology'!A1" TargetMode="External" Id="rId1" /><Relationship Type="http://schemas.openxmlformats.org/officeDocument/2006/relationships/hyperlink" Target="#'Historical'!A1" TargetMode="External" Id="rId2" /><Relationship Type="http://schemas.openxmlformats.org/officeDocument/2006/relationships/hyperlink" Target="#'Assumptions'!A1" TargetMode="External" Id="rId3" /><Relationship Type="http://schemas.openxmlformats.org/officeDocument/2006/relationships/hyperlink" Target="#'Forecast'!A1" TargetMode="External" Id="rId4" /><Relationship Type="http://schemas.openxmlformats.org/officeDocument/2006/relationships/hyperlink" Target="#'Bridge'!A1" TargetMode="External" Id="rId5" /><Relationship Type="http://schemas.openxmlformats.org/officeDocument/2006/relationships/hyperlink" Target="#'Diagnostics'!A1" TargetMode="External" Id="rId6" /><Relationship Type="http://schemas.openxmlformats.org/officeDocument/2006/relationships/drawing" Target="/xl/drawings/drawing1.xm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L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EXECUTIVE DASHBOARD</t>
        </is>
      </c>
    </row>
    <row r="2">
      <c r="A2" s="2" t="inlineStr">
        <is>
          <t>&lt;Company name&gt; -- forecast summary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Methodology</t>
        </is>
      </c>
      <c r="B5" s="4" t="inlineStr">
        <is>
          <t>Historical</t>
        </is>
      </c>
      <c r="C5" s="4" t="inlineStr">
        <is>
          <t>Assumptions</t>
        </is>
      </c>
      <c r="D5" s="4" t="inlineStr">
        <is>
          <t>Forecast</t>
        </is>
      </c>
      <c r="E5" s="4" t="inlineStr">
        <is>
          <t>Bridge</t>
        </is>
      </c>
      <c r="F5" s="4" t="inlineStr">
        <is>
          <t>Diagnostics</t>
        </is>
      </c>
    </row>
    <row r="7" ht="20" customHeight="1">
      <c r="A7" s="5" t="inlineStr">
        <is>
          <t>Company Overview</t>
        </is>
      </c>
      <c r="F7" s="5" t="inlineStr">
        <is>
          <t>Forecast Quality</t>
        </is>
      </c>
    </row>
    <row r="8">
      <c r="A8" s="6" t="inlineStr">
        <is>
          <t>Company name</t>
        </is>
      </c>
      <c r="B8" s="7" t="inlineStr">
        <is>
          <t>&lt;Company name&gt;</t>
        </is>
      </c>
      <c r="C8" s="8" t="n"/>
      <c r="D8" s="9" t="n"/>
      <c r="F8" s="6" t="inlineStr">
        <is>
          <t>Forecast Health Score</t>
        </is>
      </c>
      <c r="H8" s="10">
        <f>'Diagnostics'!$B$8</f>
        <v/>
      </c>
      <c r="I8" s="11" t="n"/>
    </row>
    <row r="9">
      <c r="A9" s="6" t="inlineStr">
        <is>
          <t>Ticker</t>
        </is>
      </c>
      <c r="B9" s="7" t="inlineStr">
        <is>
          <t>&lt;TICKER&gt;</t>
        </is>
      </c>
      <c r="C9" s="8" t="n"/>
      <c r="D9" s="9" t="n"/>
      <c r="F9" s="6" t="inlineStr">
        <is>
          <t>Balance-sheet integrity</t>
        </is>
      </c>
      <c r="H9" s="12">
        <f>IF(MAX(MAX('Forecast'!$C$32:$L$32),-MIN('Forecast'!$C$32:$L$32))&lt;=1,"PASS","FAIL")</f>
        <v/>
      </c>
    </row>
    <row r="10">
      <c r="A10" s="6" t="inlineStr">
        <is>
          <t>Currency</t>
        </is>
      </c>
      <c r="B10" s="7" t="inlineStr">
        <is>
          <t>USD</t>
        </is>
      </c>
      <c r="C10" s="8" t="n"/>
      <c r="D10" s="9" t="n"/>
      <c r="F10" s="6" t="inlineStr">
        <is>
          <t>Last actual year</t>
        </is>
      </c>
      <c r="H10" s="13">
        <f>LastActual</f>
        <v/>
      </c>
    </row>
    <row r="11">
      <c r="A11" s="6" t="inlineStr">
        <is>
          <t>Fiscal year end</t>
        </is>
      </c>
      <c r="B11" s="7" t="inlineStr">
        <is>
          <t>31 December</t>
        </is>
      </c>
      <c r="C11" s="8" t="n"/>
      <c r="D11" s="9" t="n"/>
      <c r="F11" s="6" t="inlineStr">
        <is>
          <t>Forecast window</t>
        </is>
      </c>
      <c r="H11" s="14">
        <f>"FY"&amp;(LastActual+1)&amp;" - FY"&amp;(LastActual+10)</f>
        <v/>
      </c>
      <c r="I11" s="15" t="n"/>
      <c r="J11" s="15" t="n"/>
      <c r="K11" s="15" t="n"/>
      <c r="L11" s="16" t="n"/>
    </row>
    <row r="13" ht="20" customHeight="1">
      <c r="A13" s="5" t="inlineStr">
        <is>
          <t>Key Forecast Outputs -- 10-Year CAGR</t>
        </is>
      </c>
    </row>
    <row r="14">
      <c r="A14" s="17" t="inlineStr">
        <is>
          <t>Revenue CAGR</t>
        </is>
      </c>
      <c r="C14" s="17" t="inlineStr">
        <is>
          <t>EBITDA CAGR</t>
        </is>
      </c>
      <c r="E14" s="17" t="inlineStr">
        <is>
          <t>EBIT CAGR</t>
        </is>
      </c>
      <c r="G14" s="17" t="inlineStr">
        <is>
          <t>Net income CAGR</t>
        </is>
      </c>
      <c r="I14" s="17" t="inlineStr">
        <is>
          <t>Free cash flow CAGR</t>
        </is>
      </c>
    </row>
    <row r="15" ht="26" customHeight="1">
      <c r="A15" s="18">
        <f>IFERROR(('Forecast'!$L$12/'Forecast'!$B$12)^(1/10)-1,"")</f>
        <v/>
      </c>
      <c r="B15" s="11" t="n"/>
      <c r="C15" s="18">
        <f>IFERROR(('Forecast'!$L$13/'Forecast'!$B$13)^(1/10)-1,"")</f>
        <v/>
      </c>
      <c r="D15" s="11" t="n"/>
      <c r="E15" s="18">
        <f>IFERROR(('Forecast'!$L$15/'Forecast'!$B$15)^(1/10)-1,"")</f>
        <v/>
      </c>
      <c r="F15" s="11" t="n"/>
      <c r="G15" s="18">
        <f>IFERROR(('Forecast'!$L$19/'Forecast'!$B$19)^(1/10)-1,"")</f>
        <v/>
      </c>
      <c r="H15" s="11" t="n"/>
      <c r="I15" s="18">
        <f>IFERROR(('Forecast'!$L$40/'Forecast'!$B$40)^(1/10)-1,"")</f>
        <v/>
      </c>
      <c r="J15" s="11" t="n"/>
    </row>
    <row r="17" ht="20" customHeight="1">
      <c r="A17" s="5" t="inlineStr">
        <is>
          <t>Forecast Trends</t>
        </is>
      </c>
    </row>
    <row r="18">
      <c r="A18" s="17" t="inlineStr">
        <is>
          <t>Metric</t>
        </is>
      </c>
      <c r="B18" s="19">
        <f>LastActual</f>
        <v/>
      </c>
      <c r="C18" s="20">
        <f>$B$18+1</f>
        <v/>
      </c>
      <c r="D18" s="20">
        <f>$C$18+1</f>
        <v/>
      </c>
      <c r="E18" s="20">
        <f>$D$18+1</f>
        <v/>
      </c>
      <c r="F18" s="20">
        <f>$E$18+1</f>
        <v/>
      </c>
      <c r="G18" s="20">
        <f>$F$18+1</f>
        <v/>
      </c>
      <c r="H18" s="20">
        <f>$G$18+1</f>
        <v/>
      </c>
      <c r="I18" s="20">
        <f>$H$18+1</f>
        <v/>
      </c>
      <c r="J18" s="20">
        <f>$I$18+1</f>
        <v/>
      </c>
      <c r="K18" s="20">
        <f>$J$18+1</f>
        <v/>
      </c>
      <c r="L18" s="20">
        <f>$K$18+1</f>
        <v/>
      </c>
    </row>
    <row r="19">
      <c r="A19" s="21" t="inlineStr">
        <is>
          <t>Revenue</t>
        </is>
      </c>
      <c r="B19" s="22">
        <f>'Forecast'!$B$12</f>
        <v/>
      </c>
      <c r="C19" s="22">
        <f>'Forecast'!$C$12</f>
        <v/>
      </c>
      <c r="D19" s="22">
        <f>'Forecast'!$D$12</f>
        <v/>
      </c>
      <c r="E19" s="22">
        <f>'Forecast'!$E$12</f>
        <v/>
      </c>
      <c r="F19" s="22">
        <f>'Forecast'!$F$12</f>
        <v/>
      </c>
      <c r="G19" s="22">
        <f>'Forecast'!$G$12</f>
        <v/>
      </c>
      <c r="H19" s="22">
        <f>'Forecast'!$H$12</f>
        <v/>
      </c>
      <c r="I19" s="22">
        <f>'Forecast'!$I$12</f>
        <v/>
      </c>
      <c r="J19" s="22">
        <f>'Forecast'!$J$12</f>
        <v/>
      </c>
      <c r="K19" s="22">
        <f>'Forecast'!$K$12</f>
        <v/>
      </c>
      <c r="L19" s="22">
        <f>'Forecast'!$L$12</f>
        <v/>
      </c>
    </row>
    <row r="20">
      <c r="A20" s="21" t="inlineStr">
        <is>
          <t>EBITDA</t>
        </is>
      </c>
      <c r="B20" s="22">
        <f>'Forecast'!$B$13</f>
        <v/>
      </c>
      <c r="C20" s="22">
        <f>'Forecast'!$C$13</f>
        <v/>
      </c>
      <c r="D20" s="22">
        <f>'Forecast'!$D$13</f>
        <v/>
      </c>
      <c r="E20" s="22">
        <f>'Forecast'!$E$13</f>
        <v/>
      </c>
      <c r="F20" s="22">
        <f>'Forecast'!$F$13</f>
        <v/>
      </c>
      <c r="G20" s="22">
        <f>'Forecast'!$G$13</f>
        <v/>
      </c>
      <c r="H20" s="22">
        <f>'Forecast'!$H$13</f>
        <v/>
      </c>
      <c r="I20" s="22">
        <f>'Forecast'!$I$13</f>
        <v/>
      </c>
      <c r="J20" s="22">
        <f>'Forecast'!$J$13</f>
        <v/>
      </c>
      <c r="K20" s="22">
        <f>'Forecast'!$K$13</f>
        <v/>
      </c>
      <c r="L20" s="22">
        <f>'Forecast'!$L$13</f>
        <v/>
      </c>
    </row>
    <row r="21">
      <c r="A21" s="21" t="inlineStr">
        <is>
          <t>Net income</t>
        </is>
      </c>
      <c r="B21" s="22">
        <f>'Forecast'!$B$19</f>
        <v/>
      </c>
      <c r="C21" s="22">
        <f>'Forecast'!$C$19</f>
        <v/>
      </c>
      <c r="D21" s="22">
        <f>'Forecast'!$D$19</f>
        <v/>
      </c>
      <c r="E21" s="22">
        <f>'Forecast'!$E$19</f>
        <v/>
      </c>
      <c r="F21" s="22">
        <f>'Forecast'!$F$19</f>
        <v/>
      </c>
      <c r="G21" s="22">
        <f>'Forecast'!$G$19</f>
        <v/>
      </c>
      <c r="H21" s="22">
        <f>'Forecast'!$H$19</f>
        <v/>
      </c>
      <c r="I21" s="22">
        <f>'Forecast'!$I$19</f>
        <v/>
      </c>
      <c r="J21" s="22">
        <f>'Forecast'!$J$19</f>
        <v/>
      </c>
      <c r="K21" s="22">
        <f>'Forecast'!$K$19</f>
        <v/>
      </c>
      <c r="L21" s="22">
        <f>'Forecast'!$L$19</f>
        <v/>
      </c>
    </row>
    <row r="22">
      <c r="A22" s="21" t="inlineStr">
        <is>
          <t>Free cash flow</t>
        </is>
      </c>
      <c r="B22" s="22">
        <f>'Forecast'!$B$40</f>
        <v/>
      </c>
      <c r="C22" s="22">
        <f>'Forecast'!$C$40</f>
        <v/>
      </c>
      <c r="D22" s="22">
        <f>'Forecast'!$D$40</f>
        <v/>
      </c>
      <c r="E22" s="22">
        <f>'Forecast'!$E$40</f>
        <v/>
      </c>
      <c r="F22" s="22">
        <f>'Forecast'!$F$40</f>
        <v/>
      </c>
      <c r="G22" s="22">
        <f>'Forecast'!$G$40</f>
        <v/>
      </c>
      <c r="H22" s="22">
        <f>'Forecast'!$H$40</f>
        <v/>
      </c>
      <c r="I22" s="22">
        <f>'Forecast'!$I$40</f>
        <v/>
      </c>
      <c r="J22" s="22">
        <f>'Forecast'!$J$40</f>
        <v/>
      </c>
      <c r="K22" s="22">
        <f>'Forecast'!$K$40</f>
        <v/>
      </c>
      <c r="L22" s="22">
        <f>'Forecast'!$L$40</f>
        <v/>
      </c>
    </row>
    <row r="23">
      <c r="A23" s="21" t="inlineStr">
        <is>
          <t>EBITDA margin</t>
        </is>
      </c>
      <c r="B23" s="23">
        <f>IFERROR('Forecast'!$B$13/'Forecast'!$B$12,"")</f>
        <v/>
      </c>
      <c r="C23" s="23">
        <f>IFERROR('Forecast'!$C$13/'Forecast'!$C$12,"")</f>
        <v/>
      </c>
      <c r="D23" s="23">
        <f>IFERROR('Forecast'!$D$13/'Forecast'!$D$12,"")</f>
        <v/>
      </c>
      <c r="E23" s="23">
        <f>IFERROR('Forecast'!$E$13/'Forecast'!$E$12,"")</f>
        <v/>
      </c>
      <c r="F23" s="23">
        <f>IFERROR('Forecast'!$F$13/'Forecast'!$F$12,"")</f>
        <v/>
      </c>
      <c r="G23" s="23">
        <f>IFERROR('Forecast'!$G$13/'Forecast'!$G$12,"")</f>
        <v/>
      </c>
      <c r="H23" s="23">
        <f>IFERROR('Forecast'!$H$13/'Forecast'!$H$12,"")</f>
        <v/>
      </c>
      <c r="I23" s="23">
        <f>IFERROR('Forecast'!$I$13/'Forecast'!$I$12,"")</f>
        <v/>
      </c>
      <c r="J23" s="23">
        <f>IFERROR('Forecast'!$J$13/'Forecast'!$J$12,"")</f>
        <v/>
      </c>
      <c r="K23" s="23">
        <f>IFERROR('Forecast'!$K$13/'Forecast'!$K$12,"")</f>
        <v/>
      </c>
      <c r="L23" s="23">
        <f>IFERROR('Forecast'!$L$13/'Forecast'!$L$12,"")</f>
        <v/>
      </c>
    </row>
    <row r="24">
      <c r="A24" s="21" t="inlineStr">
        <is>
          <t>EBIT margin</t>
        </is>
      </c>
      <c r="B24" s="23">
        <f>IFERROR('Forecast'!$B$15/'Forecast'!$B$12,"")</f>
        <v/>
      </c>
      <c r="C24" s="23">
        <f>IFERROR('Forecast'!$C$15/'Forecast'!$C$12,"")</f>
        <v/>
      </c>
      <c r="D24" s="23">
        <f>IFERROR('Forecast'!$D$15/'Forecast'!$D$12,"")</f>
        <v/>
      </c>
      <c r="E24" s="23">
        <f>IFERROR('Forecast'!$E$15/'Forecast'!$E$12,"")</f>
        <v/>
      </c>
      <c r="F24" s="23">
        <f>IFERROR('Forecast'!$F$15/'Forecast'!$F$12,"")</f>
        <v/>
      </c>
      <c r="G24" s="23">
        <f>IFERROR('Forecast'!$G$15/'Forecast'!$G$12,"")</f>
        <v/>
      </c>
      <c r="H24" s="23">
        <f>IFERROR('Forecast'!$H$15/'Forecast'!$H$12,"")</f>
        <v/>
      </c>
      <c r="I24" s="23">
        <f>IFERROR('Forecast'!$I$15/'Forecast'!$I$12,"")</f>
        <v/>
      </c>
      <c r="J24" s="23">
        <f>IFERROR('Forecast'!$J$15/'Forecast'!$J$12,"")</f>
        <v/>
      </c>
      <c r="K24" s="23">
        <f>IFERROR('Forecast'!$K$15/'Forecast'!$K$12,"")</f>
        <v/>
      </c>
      <c r="L24" s="23">
        <f>IFERROR('Forecast'!$L$15/'Forecast'!$L$12,"")</f>
        <v/>
      </c>
    </row>
    <row r="25">
      <c r="A25" s="21" t="inlineStr">
        <is>
          <t>Net margin</t>
        </is>
      </c>
      <c r="B25" s="23">
        <f>IFERROR('Forecast'!$B$19/'Forecast'!$B$12,"")</f>
        <v/>
      </c>
      <c r="C25" s="23">
        <f>IFERROR('Forecast'!$C$19/'Forecast'!$C$12,"")</f>
        <v/>
      </c>
      <c r="D25" s="23">
        <f>IFERROR('Forecast'!$D$19/'Forecast'!$D$12,"")</f>
        <v/>
      </c>
      <c r="E25" s="23">
        <f>IFERROR('Forecast'!$E$19/'Forecast'!$E$12,"")</f>
        <v/>
      </c>
      <c r="F25" s="23">
        <f>IFERROR('Forecast'!$F$19/'Forecast'!$F$12,"")</f>
        <v/>
      </c>
      <c r="G25" s="23">
        <f>IFERROR('Forecast'!$G$19/'Forecast'!$G$12,"")</f>
        <v/>
      </c>
      <c r="H25" s="23">
        <f>IFERROR('Forecast'!$H$19/'Forecast'!$H$12,"")</f>
        <v/>
      </c>
      <c r="I25" s="23">
        <f>IFERROR('Forecast'!$I$19/'Forecast'!$I$12,"")</f>
        <v/>
      </c>
      <c r="J25" s="23">
        <f>IFERROR('Forecast'!$J$19/'Forecast'!$J$12,"")</f>
        <v/>
      </c>
      <c r="K25" s="23">
        <f>IFERROR('Forecast'!$K$19/'Forecast'!$K$12,"")</f>
        <v/>
      </c>
      <c r="L25" s="23">
        <f>IFERROR('Forecast'!$L$19/'Forecast'!$L$12,"")</f>
        <v/>
      </c>
    </row>
  </sheetData>
  <mergeCells count="23">
    <mergeCell ref="B11:D11"/>
    <mergeCell ref="A15:B15"/>
    <mergeCell ref="C15:D15"/>
    <mergeCell ref="I15:J15"/>
    <mergeCell ref="B8:D8"/>
    <mergeCell ref="C14:D14"/>
    <mergeCell ref="E14:F14"/>
    <mergeCell ref="A3:L3"/>
    <mergeCell ref="B10:D10"/>
    <mergeCell ref="A2:L2"/>
    <mergeCell ref="B9:D9"/>
    <mergeCell ref="A17:L17"/>
    <mergeCell ref="H11:L11"/>
    <mergeCell ref="E15:F15"/>
    <mergeCell ref="G15:H15"/>
    <mergeCell ref="F7:L7"/>
    <mergeCell ref="A13:L13"/>
    <mergeCell ref="A7:D7"/>
    <mergeCell ref="A14:B14"/>
    <mergeCell ref="G14:H14"/>
    <mergeCell ref="I14:J14"/>
    <mergeCell ref="A1:L1"/>
    <mergeCell ref="H8:I8"/>
  </mergeCells>
  <conditionalFormatting sqref="H9">
    <cfRule type="expression" priority="1" dxfId="0" stopIfTrue="1">
      <formula>OR(ISNUMBER(SEARCH("PASS",H9)),ISNUMBER(SEARCH("OK",H9)),ISNUMBER(SEARCH("Balanced",H9)),ISNUMBER(SEARCH("Healthy",H9)),ISNUMBER(SEARCH("Reasonable",H9)),ISNUMBER(SEARCH("Clean",H9)),ISNUMBER(SEARCH("Actual",H9)))</formula>
    </cfRule>
    <cfRule type="expression" priority="2" dxfId="1" stopIfTrue="1">
      <formula>OR(ISNUMBER(SEARCH("WARN",H9)),ISNUMBER(SEARCH("REVIEW",H9)),ISNUMBER(SEARCH("Watch",H9)),ISNUMBER(SEARCH("Elevated",H9)),ISNUMBER(SEARCH("Caution",H9)),ISNUMBER(SEARCH("Check",H9)))</formula>
    </cfRule>
    <cfRule type="expression" priority="3" dxfId="2" stopIfTrue="1">
      <formula>OR(ISNUMBER(SEARCH("FAIL",H9)),ISNUMBER(SEARCH("Negative",H9)),ISNUMBER(SEARCH("Breach",H9)),ISNUMBER(SEARCH("Imbalanced",H9)),ISNUMBER(SEARCH("Error",H9)),ISNUMBER(SEARCH("Unreasonable",H9)))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5B7286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FORECAST METHODOLOGY</t>
        </is>
      </c>
    </row>
    <row r="2">
      <c r="A2" s="2" t="inlineStr">
        <is>
          <t>How this model works -- and how to audit and update it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 ht="20" customHeight="1">
      <c r="A7" s="5" t="inlineStr">
        <is>
          <t>Design philosophy</t>
        </is>
      </c>
    </row>
    <row r="8" ht="46" customHeight="1">
      <c r="A8" s="3" t="inlineStr">
        <is>
          <t>This workbook prioritises, in strict order: TRANSPARENCY, CLARITY, AUDITABILITY and USABILITY -- ahead of sophistication, automation and flexibility. If a forecast number would require tracing through several layers, or a formula would need a paragraph to explain, the design was reconsidered instead. Every forecast line is one short formula driven by one assumption.</t>
        </is>
      </c>
    </row>
    <row r="9" ht="20" customHeight="1">
      <c r="A9" s="5" t="inlineStr">
        <is>
          <t>Two layers: historical = input, forecast = output</t>
        </is>
      </c>
    </row>
    <row r="10" ht="46" customHeight="1">
      <c r="A10" s="3" t="inlineStr">
        <is>
          <t>HISTORICAL (the Historical sheet) is the ACTUAL layer: every figure -- including the subtotals (gross profit, EBITDA, EBIT, net income, total assets, total liabilities) -- is a hard-coded blue input, pasted from the filings. Nothing on that sheet is reconstructed by a formula except explicit audit checks.</t>
        </is>
      </c>
    </row>
    <row r="11" ht="32" customHeight="1">
      <c r="A11" s="3" t="inlineStr">
        <is>
          <t>FORECAST (the Forecast sheet) is the OUTPUT layer: every figure is a formula. The two are never mixed, and they are shaded differently (blue 'Actual' headers vs green 'Forecast' headers) so they can never be confused.</t>
        </is>
      </c>
    </row>
    <row r="12">
      <c r="A12" s="3" t="inlineStr">
        <is>
          <t>Colour code:  blue = input  -  black = formula  -  green = key output  -  red = warning.</t>
        </is>
      </c>
    </row>
    <row r="13" ht="20" customHeight="1">
      <c r="A13" s="5" t="inlineStr">
        <is>
          <t>The dynamic timeline (forecasts begin after the last reported year)</t>
        </is>
      </c>
    </row>
    <row r="14" ht="46" customHeight="1">
      <c r="A14" s="3" t="inlineStr">
        <is>
          <t>The model counts the reported years on the Historical sheet and derives the last actual year automatically; the forecast begins the very next year. Paste in another year of actuals and the forecast shifts forward on its own -- no other edits, no overlap with a year that is now reported.</t>
        </is>
      </c>
    </row>
    <row r="15">
      <c r="A15" s="24" t="inlineStr">
        <is>
          <t>First fiscal year</t>
        </is>
      </c>
      <c r="C15" s="25">
        <f>FirstYear</f>
        <v/>
      </c>
      <c r="E15" s="26" t="inlineStr">
        <is>
          <t>(input on the Historical sheet)</t>
        </is>
      </c>
    </row>
    <row r="16">
      <c r="A16" s="24" t="inlineStr">
        <is>
          <t>Last actual year</t>
        </is>
      </c>
      <c r="C16" s="13">
        <f>LastActual</f>
        <v/>
      </c>
      <c r="E16" s="26" t="inlineStr">
        <is>
          <t>auto-detected = FirstYear + reported years - 1</t>
        </is>
      </c>
    </row>
    <row r="17">
      <c r="A17" s="24" t="inlineStr">
        <is>
          <t>Forecast window</t>
        </is>
      </c>
      <c r="C17" s="14">
        <f>"FY"&amp;(LastActual+1)&amp;"  to  FY"&amp;(LastActual+10)</f>
        <v/>
      </c>
      <c r="D17" s="15" t="n"/>
      <c r="E17" s="15" t="n"/>
      <c r="F17" s="15" t="n"/>
      <c r="G17" s="15" t="n"/>
      <c r="H17" s="15" t="n"/>
      <c r="I17" s="15" t="n"/>
      <c r="J17" s="16" t="n"/>
    </row>
    <row r="19" ht="20" customHeight="1">
      <c r="A19" s="5" t="inlineStr">
        <is>
          <t>One driver per line</t>
        </is>
      </c>
    </row>
    <row r="20" ht="32" customHeight="1">
      <c r="A20" s="3" t="inlineStr">
        <is>
          <t>Each forecast line reads exactly one assumption from the Assumptions sheet. There is no scenario selector and no method engine -- to change the forecast you change a driver, and the link is a single visible hop.</t>
        </is>
      </c>
    </row>
    <row r="21">
      <c r="A21" s="17" t="inlineStr">
        <is>
          <t>Driver</t>
        </is>
      </c>
      <c r="D21" s="17" t="inlineStr">
        <is>
          <t>Drives this forecast line</t>
        </is>
      </c>
    </row>
    <row r="22">
      <c r="A22" s="24" t="inlineStr">
        <is>
          <t>Revenue growth</t>
        </is>
      </c>
      <c r="D22" s="26" t="inlineStr">
        <is>
          <t>Revenue = prior revenue x (1 + growth)</t>
        </is>
      </c>
    </row>
    <row r="23">
      <c r="A23" s="24" t="inlineStr">
        <is>
          <t>EBITDA margin</t>
        </is>
      </c>
      <c r="D23" s="26" t="inlineStr">
        <is>
          <t>EBITDA = revenue x EBITDA margin</t>
        </is>
      </c>
    </row>
    <row r="24">
      <c r="A24" s="24" t="inlineStr">
        <is>
          <t>D&amp;A (% of revenue)</t>
        </is>
      </c>
      <c r="D24" s="26" t="inlineStr">
        <is>
          <t>D&amp;A = revenue x D&amp;A%</t>
        </is>
      </c>
    </row>
    <row r="25">
      <c r="A25" s="24" t="inlineStr">
        <is>
          <t>Capex (% of revenue)</t>
        </is>
      </c>
      <c r="D25" s="26" t="inlineStr">
        <is>
          <t>Capex = revenue x capex%</t>
        </is>
      </c>
    </row>
    <row r="26">
      <c r="A26" s="24" t="inlineStr">
        <is>
          <t>Net working capital (% of revenue)</t>
        </is>
      </c>
      <c r="D26" s="26" t="inlineStr">
        <is>
          <t>Net working capital = revenue x NWC%</t>
        </is>
      </c>
    </row>
    <row r="27">
      <c r="A27" s="24" t="inlineStr">
        <is>
          <t>Net interest rate (on opening net debt)</t>
        </is>
      </c>
      <c r="D27" s="26" t="inlineStr">
        <is>
          <t>Net interest = rate x opening net debt (no circularity)</t>
        </is>
      </c>
    </row>
    <row r="28">
      <c r="A28" s="24" t="inlineStr">
        <is>
          <t>Tax rate</t>
        </is>
      </c>
      <c r="D28" s="26" t="inlineStr">
        <is>
          <t>Tax = tax rate x pre-tax income</t>
        </is>
      </c>
    </row>
    <row r="29">
      <c r="A29" s="24" t="inlineStr">
        <is>
          <t>Dividend payout</t>
        </is>
      </c>
      <c r="D29" s="26" t="inlineStr">
        <is>
          <t>Dividends = payout x max(0, net income)</t>
        </is>
      </c>
    </row>
    <row r="30">
      <c r="A30" s="24" t="inlineStr">
        <is>
          <t>Net new debt raised</t>
        </is>
      </c>
      <c r="D30" s="26" t="inlineStr">
        <is>
          <t>Debt = prior debt + net new debt</t>
        </is>
      </c>
    </row>
    <row r="32" ht="20" customHeight="1">
      <c r="A32" s="5" t="inlineStr">
        <is>
          <t>The forecast, written out (t = each forecast year)</t>
        </is>
      </c>
    </row>
    <row r="33">
      <c r="A33" s="27" t="inlineStr">
        <is>
          <t>Revenue        = prior revenue x (1 + revenue growth)</t>
        </is>
      </c>
    </row>
    <row r="34">
      <c r="A34" s="27" t="inlineStr">
        <is>
          <t>EBITDA         = revenue x EBITDA margin</t>
        </is>
      </c>
    </row>
    <row r="35">
      <c r="A35" s="27" t="inlineStr">
        <is>
          <t>D&amp;A            = revenue x D&amp;A%        EBIT = EBITDA - D&amp;A</t>
        </is>
      </c>
    </row>
    <row r="36">
      <c r="A36" s="27" t="inlineStr">
        <is>
          <t>Net interest   = net interest rate x OPENING net debt   (so there is no circularity)</t>
        </is>
      </c>
    </row>
    <row r="37">
      <c r="A37" s="27" t="inlineStr">
        <is>
          <t>Pre-tax        = EBIT - net interest     Tax = tax rate x pre-tax     Net income = pre-tax - tax</t>
        </is>
      </c>
    </row>
    <row r="38">
      <c r="A38" s="27" t="inlineStr">
        <is>
          <t>Net working capital = revenue x NWC%</t>
        </is>
      </c>
    </row>
    <row r="39">
      <c r="A39" s="27" t="inlineStr">
        <is>
          <t>Net PP&amp;E       = prior net PP&amp;E + capex - D&amp;A          Capex = revenue x capex%</t>
        </is>
      </c>
    </row>
    <row r="40">
      <c r="A40" s="27" t="inlineStr">
        <is>
          <t>Other assets / other liabilities = held flat at the last actual</t>
        </is>
      </c>
    </row>
    <row r="41">
      <c r="A41" s="27" t="inlineStr">
        <is>
          <t>Total debt     = prior debt + net new debt</t>
        </is>
      </c>
    </row>
    <row r="42">
      <c r="A42" s="27" t="inlineStr">
        <is>
          <t>Equity         = prior equity + net income - dividends   Dividends = payout x max(0, net income)</t>
        </is>
      </c>
    </row>
    <row r="43">
      <c r="A43" s="27" t="inlineStr">
        <is>
          <t>Cash           = prior cash + CFO + CFI + CFF            (the residual -- no plug)</t>
        </is>
      </c>
    </row>
    <row r="44">
      <c r="A44" s="27" t="inlineStr">
        <is>
          <t>CFO = net income + D&amp;A - increase in NWC ;  CFI = -capex ;  CFF = net new debt - dividends</t>
        </is>
      </c>
    </row>
    <row r="46" ht="20" customHeight="1">
      <c r="A46" s="5" t="inlineStr">
        <is>
          <t>Why it balances -- with no plug and no circular reference</t>
        </is>
      </c>
    </row>
    <row r="47" ht="60" customHeight="1">
      <c r="A47" s="3" t="inlineStr">
        <is>
          <t>Every non-cash balance-sheet movement flows through the cash-flow statement, and cash is their residual. So the change in assets always equals the change in liabilities plus equity, and Assets = Liabilities + Equity holds to the cent every year -- the balance check is exactly 0. Because net interest is charged on the OPENING net-debt balance (last year's closing figure, already known), the interest-debt-cash loop never forms: no iterative calculation, no macros, no VBA.</t>
        </is>
      </c>
    </row>
    <row r="48" ht="20" customHeight="1">
      <c r="A48" s="5" t="inlineStr">
        <is>
          <t>How to update</t>
        </is>
      </c>
    </row>
    <row r="49" ht="46" customHeight="1">
      <c r="A49" s="3" t="inlineStr">
        <is>
          <t>1) Paste a new year of reported actuals into the next empty column on the Historical sheet -- the forecast extends and shifts automatically.   2) Review the Assumptions grid (one driver per row).   3) Read the Forecast, Bridge and Diagnostics. The Diagnostics Health Score should be 100; investigate any WARN or FAIL.</t>
        </is>
      </c>
    </row>
    <row r="50" ht="20" customHeight="1">
      <c r="A50" s="5" t="inlineStr">
        <is>
          <t>Limitations</t>
        </is>
      </c>
    </row>
    <row r="51" ht="46" customHeight="1">
      <c r="A51" s="3" t="inlineStr">
        <is>
          <t>Net interest uses opening balances (an institutional norm that keeps the model circularity-free). Other assets and other liabilities are held flat -- adjust on the Forecast sheet if they are material to your company. This is an analytical tool to support judgement, not investment advice.</t>
        </is>
      </c>
    </row>
  </sheetData>
  <mergeCells count="55">
    <mergeCell ref="A25:C25"/>
    <mergeCell ref="D28:J28"/>
    <mergeCell ref="A47:J47"/>
    <mergeCell ref="A32:J32"/>
    <mergeCell ref="A8:J8"/>
    <mergeCell ref="A14:J14"/>
    <mergeCell ref="D25:J25"/>
    <mergeCell ref="A27:C27"/>
    <mergeCell ref="A35:J35"/>
    <mergeCell ref="A20:J20"/>
    <mergeCell ref="A21:C21"/>
    <mergeCell ref="D24:J24"/>
    <mergeCell ref="D30:J30"/>
    <mergeCell ref="A38:J38"/>
    <mergeCell ref="A10:J10"/>
    <mergeCell ref="A26:C26"/>
    <mergeCell ref="D29:J29"/>
    <mergeCell ref="A43:J43"/>
    <mergeCell ref="E15:J15"/>
    <mergeCell ref="A19:J19"/>
    <mergeCell ref="A13:J13"/>
    <mergeCell ref="D23:J23"/>
    <mergeCell ref="A44:J44"/>
    <mergeCell ref="A23:C23"/>
    <mergeCell ref="D26:J26"/>
    <mergeCell ref="A9:J9"/>
    <mergeCell ref="A40:J40"/>
    <mergeCell ref="A22:C22"/>
    <mergeCell ref="A39:J39"/>
    <mergeCell ref="A34:J34"/>
    <mergeCell ref="A48:J48"/>
    <mergeCell ref="A29:C29"/>
    <mergeCell ref="A11:J11"/>
    <mergeCell ref="A49:J49"/>
    <mergeCell ref="A28:C28"/>
    <mergeCell ref="A1:J1"/>
    <mergeCell ref="E16:J16"/>
    <mergeCell ref="D22:J22"/>
    <mergeCell ref="A36:J36"/>
    <mergeCell ref="A51:J51"/>
    <mergeCell ref="D21:J21"/>
    <mergeCell ref="A7:J7"/>
    <mergeCell ref="A30:C30"/>
    <mergeCell ref="A24:C24"/>
    <mergeCell ref="D27:J27"/>
    <mergeCell ref="A41:J41"/>
    <mergeCell ref="C17:J17"/>
    <mergeCell ref="A37:J37"/>
    <mergeCell ref="A46:J46"/>
    <mergeCell ref="A3:J3"/>
    <mergeCell ref="A12:J12"/>
    <mergeCell ref="A50:J50"/>
    <mergeCell ref="A2:J2"/>
    <mergeCell ref="A42:J42"/>
    <mergeCell ref="A33:J33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9506B"/>
    <outlinePr summaryBelow="1" summaryRight="1"/>
    <pageSetUpPr fitToPage="1"/>
  </sheetPr>
  <dimension ref="A1:P47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8" customHeight="1">
      <c r="A1" s="1" t="inlineStr">
        <is>
          <t>HISTORICAL FINANCIAL STATEMENTS  (ACTUAL)</t>
        </is>
      </c>
    </row>
    <row r="2">
      <c r="A2" s="2" t="inlineStr">
        <is>
          <t>Reported results -- every figure is a hard-coded input pasted from the filings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8" ht="20" customHeight="1">
      <c r="A8" s="5" t="inlineStr">
        <is>
          <t>Timeline  -  auto-detected (the forecast begins the year after the last actual)</t>
        </is>
      </c>
    </row>
    <row r="9">
      <c r="A9" s="24" t="inlineStr">
        <is>
          <t>First fiscal year</t>
        </is>
      </c>
      <c r="C9" s="28" t="n">
        <v>2015</v>
      </c>
      <c r="E9" s="26" t="inlineStr">
        <is>
          <t>Type the first reported year here (e.g. 2015). Everything else keys off it.</t>
        </is>
      </c>
    </row>
    <row r="10">
      <c r="A10" s="6" t="inlineStr">
        <is>
          <t>Reported years detected</t>
        </is>
      </c>
      <c r="C10" s="29">
        <f>COUNT('Historical'!$B$17:$P$17)</f>
        <v/>
      </c>
    </row>
    <row r="11">
      <c r="A11" s="24" t="inlineStr">
        <is>
          <t>Last actual year</t>
        </is>
      </c>
      <c r="C11" s="13">
        <f>FirstYear+'Historical'!$C$10-1</f>
        <v/>
      </c>
    </row>
    <row r="12">
      <c r="A12" s="24" t="inlineStr">
        <is>
          <t>Forecast begins (next year)</t>
        </is>
      </c>
      <c r="C12" s="13">
        <f>LastActual+1</f>
        <v/>
      </c>
      <c r="E12" s="26" t="inlineStr">
        <is>
          <t>The Forecast sheet starts here automatically.</t>
        </is>
      </c>
    </row>
    <row r="14">
      <c r="A14" s="17" t="inlineStr">
        <is>
          <t>Fiscal year</t>
        </is>
      </c>
      <c r="B14" s="19">
        <f>FirstYear</f>
        <v/>
      </c>
      <c r="C14" s="19">
        <f>$B$14+1</f>
        <v/>
      </c>
      <c r="D14" s="19">
        <f>$C$14+1</f>
        <v/>
      </c>
      <c r="E14" s="19">
        <f>$D$14+1</f>
        <v/>
      </c>
      <c r="F14" s="19">
        <f>$E$14+1</f>
        <v/>
      </c>
      <c r="G14" s="19">
        <f>$F$14+1</f>
        <v/>
      </c>
      <c r="H14" s="19">
        <f>$G$14+1</f>
        <v/>
      </c>
      <c r="I14" s="19">
        <f>$H$14+1</f>
        <v/>
      </c>
      <c r="J14" s="19">
        <f>$I$14+1</f>
        <v/>
      </c>
      <c r="K14" s="19">
        <f>$J$14+1</f>
        <v/>
      </c>
      <c r="L14" s="19">
        <f>$K$14+1</f>
        <v/>
      </c>
      <c r="M14" s="19">
        <f>$L$14+1</f>
        <v/>
      </c>
      <c r="N14" s="19">
        <f>$M$14+1</f>
        <v/>
      </c>
      <c r="O14" s="19">
        <f>$N$14+1</f>
        <v/>
      </c>
      <c r="P14" s="19">
        <f>$O$14+1</f>
        <v/>
      </c>
    </row>
    <row r="15">
      <c r="A15" s="30" t="inlineStr">
        <is>
          <t>Status</t>
        </is>
      </c>
      <c r="B15" s="31">
        <f>IF($B$14&lt;=LastActual,"Actual","- spare -")</f>
        <v/>
      </c>
      <c r="C15" s="31">
        <f>IF($C$14&lt;=LastActual,"Actual","- spare -")</f>
        <v/>
      </c>
      <c r="D15" s="31">
        <f>IF($D$14&lt;=LastActual,"Actual","- spare -")</f>
        <v/>
      </c>
      <c r="E15" s="31">
        <f>IF($E$14&lt;=LastActual,"Actual","- spare -")</f>
        <v/>
      </c>
      <c r="F15" s="31">
        <f>IF($F$14&lt;=LastActual,"Actual","- spare -")</f>
        <v/>
      </c>
      <c r="G15" s="31">
        <f>IF($G$14&lt;=LastActual,"Actual","- spare -")</f>
        <v/>
      </c>
      <c r="H15" s="31">
        <f>IF($H$14&lt;=LastActual,"Actual","- spare -")</f>
        <v/>
      </c>
      <c r="I15" s="31">
        <f>IF($I$14&lt;=LastActual,"Actual","- spare -")</f>
        <v/>
      </c>
      <c r="J15" s="31">
        <f>IF($J$14&lt;=LastActual,"Actual","- spare -")</f>
        <v/>
      </c>
      <c r="K15" s="31">
        <f>IF($K$14&lt;=LastActual,"Actual","- spare -")</f>
        <v/>
      </c>
      <c r="L15" s="31">
        <f>IF($L$14&lt;=LastActual,"Actual","- spare -")</f>
        <v/>
      </c>
      <c r="M15" s="31">
        <f>IF($M$14&lt;=LastActual,"Actual","- spare -")</f>
        <v/>
      </c>
      <c r="N15" s="31">
        <f>IF($N$14&lt;=LastActual,"Actual","- spare -")</f>
        <v/>
      </c>
      <c r="O15" s="31">
        <f>IF($O$14&lt;=LastActual,"Actual","- spare -")</f>
        <v/>
      </c>
      <c r="P15" s="31">
        <f>IF($P$14&lt;=LastActual,"Actual","- spare -")</f>
        <v/>
      </c>
    </row>
    <row r="16" ht="20" customHeight="1">
      <c r="A16" s="5" t="inlineStr">
        <is>
          <t>Income Statement</t>
        </is>
      </c>
    </row>
    <row r="17">
      <c r="A17" s="6" t="inlineStr">
        <is>
          <t>Revenue</t>
        </is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</row>
    <row r="18">
      <c r="A18" s="6" t="inlineStr">
        <is>
          <t>Cost of goods sold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</row>
    <row r="19">
      <c r="A19" s="24" t="inlineStr">
        <is>
          <t>Gross profit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</row>
    <row r="20">
      <c r="A20" s="6" t="inlineStr">
        <is>
          <t>Operating expenses (ex-D&amp;A)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</row>
    <row r="21">
      <c r="A21" s="24" t="inlineStr">
        <is>
          <t>EBITDA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</row>
    <row r="22">
      <c r="A22" s="6" t="inlineStr">
        <is>
          <t>Depreciation &amp; amortisation</t>
        </is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</row>
    <row r="23">
      <c r="A23" s="24" t="inlineStr">
        <is>
          <t>EBIT</t>
        </is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</row>
    <row r="24">
      <c r="A24" s="6" t="inlineStr">
        <is>
          <t>Net interest expense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</row>
    <row r="25">
      <c r="A25" s="6" t="inlineStr">
        <is>
          <t>Pre-tax income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</row>
    <row r="26">
      <c r="A26" s="6" t="inlineStr">
        <is>
          <t>Tax expense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</row>
    <row r="27">
      <c r="A27" s="24" t="inlineStr">
        <is>
          <t>Net income</t>
        </is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</row>
    <row r="28" ht="20" customHeight="1">
      <c r="A28" s="5" t="inlineStr">
        <is>
          <t>Balance Sheet  -  Assets</t>
        </is>
      </c>
    </row>
    <row r="29">
      <c r="A29" s="6" t="inlineStr">
        <is>
          <t>Cash &amp; equivalents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</row>
    <row r="30">
      <c r="A30" s="6" t="inlineStr">
        <is>
          <t>Net working capital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</row>
    <row r="31">
      <c r="A31" s="6" t="inlineStr">
        <is>
          <t>Net PP&amp;E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</row>
    <row r="32">
      <c r="A32" s="6" t="inlineStr">
        <is>
          <t>Other assets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</row>
    <row r="33">
      <c r="A33" s="24" t="inlineStr">
        <is>
          <t>Total assets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</row>
    <row r="34" ht="20" customHeight="1">
      <c r="A34" s="5" t="inlineStr">
        <is>
          <t>Balance Sheet  -  Liabilities &amp; Equity</t>
        </is>
      </c>
    </row>
    <row r="35">
      <c r="A35" s="6" t="inlineStr">
        <is>
          <t>Total debt</t>
        </is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</row>
    <row r="36">
      <c r="A36" s="6" t="inlineStr">
        <is>
          <t>Other liabilities</t>
        </is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</row>
    <row r="37">
      <c r="A37" s="24" t="inlineStr">
        <is>
          <t>Total liabilities</t>
        </is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</row>
    <row r="38">
      <c r="A38" s="6" t="inlineStr">
        <is>
          <t>Shareholders' equity</t>
        </is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</row>
    <row r="39">
      <c r="A39" s="24" t="inlineStr">
        <is>
          <t>Total liabilities &amp; equity</t>
        </is>
      </c>
      <c r="B39" s="22">
        <f>'Historical'!$B$37+'Historical'!$B$38</f>
        <v/>
      </c>
      <c r="C39" s="22">
        <f>'Historical'!$C$37+'Historical'!$C$38</f>
        <v/>
      </c>
      <c r="D39" s="22">
        <f>'Historical'!$D$37+'Historical'!$D$38</f>
        <v/>
      </c>
      <c r="E39" s="22">
        <f>'Historical'!$E$37+'Historical'!$E$38</f>
        <v/>
      </c>
      <c r="F39" s="22">
        <f>'Historical'!$F$37+'Historical'!$F$38</f>
        <v/>
      </c>
      <c r="G39" s="22">
        <f>'Historical'!$G$37+'Historical'!$G$38</f>
        <v/>
      </c>
      <c r="H39" s="22">
        <f>'Historical'!$H$37+'Historical'!$H$38</f>
        <v/>
      </c>
      <c r="I39" s="22">
        <f>'Historical'!$I$37+'Historical'!$I$38</f>
        <v/>
      </c>
      <c r="J39" s="22">
        <f>'Historical'!$J$37+'Historical'!$J$38</f>
        <v/>
      </c>
      <c r="K39" s="22">
        <f>'Historical'!$K$37+'Historical'!$K$38</f>
        <v/>
      </c>
      <c r="L39" s="22">
        <f>'Historical'!$L$37+'Historical'!$L$38</f>
        <v/>
      </c>
      <c r="M39" s="22">
        <f>'Historical'!$M$37+'Historical'!$M$38</f>
        <v/>
      </c>
      <c r="N39" s="22">
        <f>'Historical'!$N$37+'Historical'!$N$38</f>
        <v/>
      </c>
      <c r="O39" s="22">
        <f>'Historical'!$O$37+'Historical'!$O$38</f>
        <v/>
      </c>
      <c r="P39" s="22">
        <f>'Historical'!$P$37+'Historical'!$P$38</f>
        <v/>
      </c>
    </row>
    <row r="40" ht="20" customHeight="1">
      <c r="A40" s="5" t="inlineStr">
        <is>
          <t>Cash Flow Statement</t>
        </is>
      </c>
    </row>
    <row r="41">
      <c r="A41" s="6" t="inlineStr">
        <is>
          <t>Operating cash flow</t>
        </is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</row>
    <row r="42">
      <c r="A42" s="6" t="inlineStr">
        <is>
          <t>Capital expenditure</t>
        </is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</row>
    <row r="43">
      <c r="A43" s="24" t="inlineStr">
        <is>
          <t>Free cash flow</t>
        </is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</row>
    <row r="44" ht="20" customHeight="1">
      <c r="A44" s="5" t="inlineStr">
        <is>
          <t>Audit Checks  (every value should be 0 -- they confirm the pasted statements tie)</t>
        </is>
      </c>
    </row>
    <row r="45">
      <c r="A45" s="24" t="inlineStr">
        <is>
          <t>Balance check  (assets - (liabilities + equity))</t>
        </is>
      </c>
      <c r="B45" s="22">
        <f>'Historical'!$B$33-'Historical'!$B$39</f>
        <v/>
      </c>
      <c r="C45" s="22">
        <f>'Historical'!$C$33-'Historical'!$C$39</f>
        <v/>
      </c>
      <c r="D45" s="22">
        <f>'Historical'!$D$33-'Historical'!$D$39</f>
        <v/>
      </c>
      <c r="E45" s="22">
        <f>'Historical'!$E$33-'Historical'!$E$39</f>
        <v/>
      </c>
      <c r="F45" s="22">
        <f>'Historical'!$F$33-'Historical'!$F$39</f>
        <v/>
      </c>
      <c r="G45" s="22">
        <f>'Historical'!$G$33-'Historical'!$G$39</f>
        <v/>
      </c>
      <c r="H45" s="22">
        <f>'Historical'!$H$33-'Historical'!$H$39</f>
        <v/>
      </c>
      <c r="I45" s="22">
        <f>'Historical'!$I$33-'Historical'!$I$39</f>
        <v/>
      </c>
      <c r="J45" s="22">
        <f>'Historical'!$J$33-'Historical'!$J$39</f>
        <v/>
      </c>
      <c r="K45" s="22">
        <f>'Historical'!$K$33-'Historical'!$K$39</f>
        <v/>
      </c>
      <c r="L45" s="22">
        <f>'Historical'!$L$33-'Historical'!$L$39</f>
        <v/>
      </c>
      <c r="M45" s="22">
        <f>'Historical'!$M$33-'Historical'!$M$39</f>
        <v/>
      </c>
      <c r="N45" s="22">
        <f>'Historical'!$N$33-'Historical'!$N$39</f>
        <v/>
      </c>
      <c r="O45" s="22">
        <f>'Historical'!$O$33-'Historical'!$O$39</f>
        <v/>
      </c>
      <c r="P45" s="22">
        <f>'Historical'!$P$33-'Historical'!$P$39</f>
        <v/>
      </c>
    </row>
    <row r="46">
      <c r="A46" s="6" t="inlineStr">
        <is>
          <t>Asset build check  (components - total assets)</t>
        </is>
      </c>
      <c r="B46" s="22">
        <f>'Historical'!$B$29+'Historical'!$B$30+'Historical'!$B$31+'Historical'!$B$32-'Historical'!$B$33</f>
        <v/>
      </c>
      <c r="C46" s="22">
        <f>'Historical'!$C$29+'Historical'!$C$30+'Historical'!$C$31+'Historical'!$C$32-'Historical'!$C$33</f>
        <v/>
      </c>
      <c r="D46" s="22">
        <f>'Historical'!$D$29+'Historical'!$D$30+'Historical'!$D$31+'Historical'!$D$32-'Historical'!$D$33</f>
        <v/>
      </c>
      <c r="E46" s="22">
        <f>'Historical'!$E$29+'Historical'!$E$30+'Historical'!$E$31+'Historical'!$E$32-'Historical'!$E$33</f>
        <v/>
      </c>
      <c r="F46" s="22">
        <f>'Historical'!$F$29+'Historical'!$F$30+'Historical'!$F$31+'Historical'!$F$32-'Historical'!$F$33</f>
        <v/>
      </c>
      <c r="G46" s="22">
        <f>'Historical'!$G$29+'Historical'!$G$30+'Historical'!$G$31+'Historical'!$G$32-'Historical'!$G$33</f>
        <v/>
      </c>
      <c r="H46" s="22">
        <f>'Historical'!$H$29+'Historical'!$H$30+'Historical'!$H$31+'Historical'!$H$32-'Historical'!$H$33</f>
        <v/>
      </c>
      <c r="I46" s="22">
        <f>'Historical'!$I$29+'Historical'!$I$30+'Historical'!$I$31+'Historical'!$I$32-'Historical'!$I$33</f>
        <v/>
      </c>
      <c r="J46" s="22">
        <f>'Historical'!$J$29+'Historical'!$J$30+'Historical'!$J$31+'Historical'!$J$32-'Historical'!$J$33</f>
        <v/>
      </c>
      <c r="K46" s="22">
        <f>'Historical'!$K$29+'Historical'!$K$30+'Historical'!$K$31+'Historical'!$K$32-'Historical'!$K$33</f>
        <v/>
      </c>
      <c r="L46" s="22">
        <f>'Historical'!$L$29+'Historical'!$L$30+'Historical'!$L$31+'Historical'!$L$32-'Historical'!$L$33</f>
        <v/>
      </c>
      <c r="M46" s="22">
        <f>'Historical'!$M$29+'Historical'!$M$30+'Historical'!$M$31+'Historical'!$M$32-'Historical'!$M$33</f>
        <v/>
      </c>
      <c r="N46" s="22">
        <f>'Historical'!$N$29+'Historical'!$N$30+'Historical'!$N$31+'Historical'!$N$32-'Historical'!$N$33</f>
        <v/>
      </c>
      <c r="O46" s="22">
        <f>'Historical'!$O$29+'Historical'!$O$30+'Historical'!$O$31+'Historical'!$O$32-'Historical'!$O$33</f>
        <v/>
      </c>
      <c r="P46" s="22">
        <f>'Historical'!$P$29+'Historical'!$P$30+'Historical'!$P$31+'Historical'!$P$32-'Historical'!$P$33</f>
        <v/>
      </c>
    </row>
    <row r="47">
      <c r="A47" s="6" t="inlineStr">
        <is>
          <t>Liability build check  (components - total liabilities)</t>
        </is>
      </c>
      <c r="B47" s="22">
        <f>'Historical'!$B$35+'Historical'!$B$36-'Historical'!$B$37</f>
        <v/>
      </c>
      <c r="C47" s="22">
        <f>'Historical'!$C$35+'Historical'!$C$36-'Historical'!$C$37</f>
        <v/>
      </c>
      <c r="D47" s="22">
        <f>'Historical'!$D$35+'Historical'!$D$36-'Historical'!$D$37</f>
        <v/>
      </c>
      <c r="E47" s="22">
        <f>'Historical'!$E$35+'Historical'!$E$36-'Historical'!$E$37</f>
        <v/>
      </c>
      <c r="F47" s="22">
        <f>'Historical'!$F$35+'Historical'!$F$36-'Historical'!$F$37</f>
        <v/>
      </c>
      <c r="G47" s="22">
        <f>'Historical'!$G$35+'Historical'!$G$36-'Historical'!$G$37</f>
        <v/>
      </c>
      <c r="H47" s="22">
        <f>'Historical'!$H$35+'Historical'!$H$36-'Historical'!$H$37</f>
        <v/>
      </c>
      <c r="I47" s="22">
        <f>'Historical'!$I$35+'Historical'!$I$36-'Historical'!$I$37</f>
        <v/>
      </c>
      <c r="J47" s="22">
        <f>'Historical'!$J$35+'Historical'!$J$36-'Historical'!$J$37</f>
        <v/>
      </c>
      <c r="K47" s="22">
        <f>'Historical'!$K$35+'Historical'!$K$36-'Historical'!$K$37</f>
        <v/>
      </c>
      <c r="L47" s="22">
        <f>'Historical'!$L$35+'Historical'!$L$36-'Historical'!$L$37</f>
        <v/>
      </c>
      <c r="M47" s="22">
        <f>'Historical'!$M$35+'Historical'!$M$36-'Historical'!$M$37</f>
        <v/>
      </c>
      <c r="N47" s="22">
        <f>'Historical'!$N$35+'Historical'!$N$36-'Historical'!$N$37</f>
        <v/>
      </c>
      <c r="O47" s="22">
        <f>'Historical'!$O$35+'Historical'!$O$36-'Historical'!$O$37</f>
        <v/>
      </c>
      <c r="P47" s="22">
        <f>'Historical'!$P$35+'Historical'!$P$36-'Historical'!$P$37</f>
        <v/>
      </c>
    </row>
  </sheetData>
  <mergeCells count="12">
    <mergeCell ref="A28:P28"/>
    <mergeCell ref="A44:P44"/>
    <mergeCell ref="A1:P1"/>
    <mergeCell ref="A40:P40"/>
    <mergeCell ref="A8:P8"/>
    <mergeCell ref="A34:P34"/>
    <mergeCell ref="A16:P16"/>
    <mergeCell ref="A3:P3"/>
    <mergeCell ref="E9:P9"/>
    <mergeCell ref="E12:P12"/>
    <mergeCell ref="A7:P7"/>
    <mergeCell ref="A2:P2"/>
  </mergeCells>
  <conditionalFormatting sqref="B15:P47">
    <cfRule type="expression" priority="1" dxfId="3" stopIfTrue="1">
      <formula>B$14&gt;LastActual</formula>
    </cfRule>
    <cfRule type="expression" priority="2" dxfId="4" stopIfTrue="0">
      <formula>B$14&lt;=LastActual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L2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52" customWidth="1" min="12" max="12"/>
  </cols>
  <sheetData>
    <row r="1" ht="28" customHeight="1">
      <c r="A1" s="1" t="inlineStr">
        <is>
          <t>FORECAST ASSUMPTIONS  (DRIVERS)</t>
        </is>
      </c>
    </row>
    <row r="2">
      <c r="A2" s="2" t="inlineStr">
        <is>
          <t>One editable input per line -- the Forecast sheet reads these cells directly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9" ht="20" customHeight="1">
      <c r="A9" s="5" t="inlineStr">
        <is>
          <t>Forecast Drivers</t>
        </is>
      </c>
    </row>
    <row r="10">
      <c r="A10" s="17" t="inlineStr">
        <is>
          <t>Driver</t>
        </is>
      </c>
      <c r="B10" s="20">
        <f>LastActual+1</f>
        <v/>
      </c>
      <c r="C10" s="20">
        <f>$B$10+1</f>
        <v/>
      </c>
      <c r="D10" s="20">
        <f>$C$10+1</f>
        <v/>
      </c>
      <c r="E10" s="20">
        <f>$D$10+1</f>
        <v/>
      </c>
      <c r="F10" s="20">
        <f>$E$10+1</f>
        <v/>
      </c>
      <c r="G10" s="20">
        <f>$F$10+1</f>
        <v/>
      </c>
      <c r="H10" s="20">
        <f>$G$10+1</f>
        <v/>
      </c>
      <c r="I10" s="20">
        <f>$H$10+1</f>
        <v/>
      </c>
      <c r="J10" s="20">
        <f>$I$10+1</f>
        <v/>
      </c>
      <c r="K10" s="20">
        <f>$J$10+1</f>
        <v/>
      </c>
      <c r="L10" s="17" t="inlineStr">
        <is>
          <t>Drives  (what this assumption feeds)</t>
        </is>
      </c>
    </row>
    <row r="11">
      <c r="A11" s="24" t="inlineStr">
        <is>
          <t>Revenue growth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26" t="inlineStr">
        <is>
          <t>Revenue = prior revenue x (1 + growth)</t>
        </is>
      </c>
    </row>
    <row r="12">
      <c r="A12" s="24" t="inlineStr">
        <is>
          <t>EBITDA margin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26" t="inlineStr">
        <is>
          <t>EBITDA = revenue x EBITDA margin</t>
        </is>
      </c>
    </row>
    <row r="13">
      <c r="A13" s="24" t="inlineStr">
        <is>
          <t>D&amp;A (% of revenue)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26" t="inlineStr">
        <is>
          <t>D&amp;A = revenue x D&amp;A%</t>
        </is>
      </c>
    </row>
    <row r="14">
      <c r="A14" s="24" t="inlineStr">
        <is>
          <t>Capex (% of revenue)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26" t="inlineStr">
        <is>
          <t>Capex = revenue x capex%</t>
        </is>
      </c>
    </row>
    <row r="15">
      <c r="A15" s="24" t="inlineStr">
        <is>
          <t>Net working capital (% of revenue)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26" t="inlineStr">
        <is>
          <t>Net working capital = revenue x NWC%</t>
        </is>
      </c>
    </row>
    <row r="16">
      <c r="A16" s="24" t="inlineStr">
        <is>
          <t>Net interest rate (on opening net debt)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26" t="inlineStr">
        <is>
          <t>Net interest = rate x opening net debt (no circularity)</t>
        </is>
      </c>
    </row>
    <row r="17">
      <c r="A17" s="24" t="inlineStr">
        <is>
          <t>Tax rate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26" t="inlineStr">
        <is>
          <t>Tax = tax rate x pre-tax income</t>
        </is>
      </c>
    </row>
    <row r="18">
      <c r="A18" s="24" t="inlineStr">
        <is>
          <t>Dividend payout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26" t="inlineStr">
        <is>
          <t>Dividends = payout x max(0, net income)</t>
        </is>
      </c>
    </row>
    <row r="19">
      <c r="A19" s="24" t="inlineStr">
        <is>
          <t>Net new debt raised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26" t="inlineStr">
        <is>
          <t>Debt = prior debt + net new debt</t>
        </is>
      </c>
    </row>
    <row r="21">
      <c r="A21" s="3" t="inlineStr">
        <is>
          <t>How to use: edit any cell. Each driver maps to exactly one forecast line (see the Drives column and the Methodology sheet). To change a single year, just overwrite that year's cell.</t>
        </is>
      </c>
    </row>
  </sheetData>
  <mergeCells count="6">
    <mergeCell ref="A2:L2"/>
    <mergeCell ref="A7:L7"/>
    <mergeCell ref="A1:L1"/>
    <mergeCell ref="A9:L9"/>
    <mergeCell ref="A3:L3"/>
    <mergeCell ref="A21:L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L42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INTEGRATED FORECAST MODEL  (FORECAST)</t>
        </is>
      </c>
    </row>
    <row r="2">
      <c r="A2" s="2" t="inlineStr">
        <is>
          <t>One driver per line; reconciles to the cent with no plug and no circularity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14">
        <f>"Forecast window:  FY"&amp;(LastActual+1)&amp;"  through  FY"&amp;(LastActual+10)</f>
        <v/>
      </c>
      <c r="B7" s="15" t="n"/>
      <c r="C7" s="15" t="n"/>
      <c r="D7" s="15" t="n"/>
      <c r="E7" s="15" t="n"/>
      <c r="F7" s="16" t="n"/>
      <c r="G7" s="3" t="inlineStr">
        <is>
          <t>All figures in USD millions unless stated.  Colour code:  blue = input  -  black = formula  -  green = key output  -  red = warning.</t>
        </is>
      </c>
    </row>
    <row r="9">
      <c r="A9" s="17" t="inlineStr">
        <is>
          <t>Line item</t>
        </is>
      </c>
      <c r="B9" s="19">
        <f>LastActual</f>
        <v/>
      </c>
      <c r="C9" s="20">
        <f>$B$9+1</f>
        <v/>
      </c>
      <c r="D9" s="20">
        <f>$C$9+1</f>
        <v/>
      </c>
      <c r="E9" s="20">
        <f>$D$9+1</f>
        <v/>
      </c>
      <c r="F9" s="20">
        <f>$E$9+1</f>
        <v/>
      </c>
      <c r="G9" s="20">
        <f>$F$9+1</f>
        <v/>
      </c>
      <c r="H9" s="20">
        <f>$G$9+1</f>
        <v/>
      </c>
      <c r="I9" s="20">
        <f>$H$9+1</f>
        <v/>
      </c>
      <c r="J9" s="20">
        <f>$I$9+1</f>
        <v/>
      </c>
      <c r="K9" s="20">
        <f>$J$9+1</f>
        <v/>
      </c>
      <c r="L9" s="20">
        <f>$K$9+1</f>
        <v/>
      </c>
    </row>
    <row r="10">
      <c r="A10" s="30" t="inlineStr"/>
      <c r="B10" s="31" t="inlineStr">
        <is>
          <t>Actual</t>
        </is>
      </c>
      <c r="C10" s="34" t="inlineStr">
        <is>
          <t>Forecast</t>
        </is>
      </c>
      <c r="D10" s="34" t="inlineStr">
        <is>
          <t>Forecast</t>
        </is>
      </c>
      <c r="E10" s="34" t="inlineStr">
        <is>
          <t>Forecast</t>
        </is>
      </c>
      <c r="F10" s="34" t="inlineStr">
        <is>
          <t>Forecast</t>
        </is>
      </c>
      <c r="G10" s="34" t="inlineStr">
        <is>
          <t>Forecast</t>
        </is>
      </c>
      <c r="H10" s="34" t="inlineStr">
        <is>
          <t>Forecast</t>
        </is>
      </c>
      <c r="I10" s="34" t="inlineStr">
        <is>
          <t>Forecast</t>
        </is>
      </c>
      <c r="J10" s="34" t="inlineStr">
        <is>
          <t>Forecast</t>
        </is>
      </c>
      <c r="K10" s="34" t="inlineStr">
        <is>
          <t>Forecast</t>
        </is>
      </c>
      <c r="L10" s="34" t="inlineStr">
        <is>
          <t>Forecast</t>
        </is>
      </c>
    </row>
    <row r="11" ht="20" customHeight="1">
      <c r="A11" s="5" t="inlineStr">
        <is>
          <t>Income Statement</t>
        </is>
      </c>
    </row>
    <row r="12">
      <c r="A12" s="24" t="inlineStr">
        <is>
          <t>Revenue</t>
        </is>
      </c>
      <c r="B12" s="22">
        <f>IFERROR(INDEX('Historical'!$B$17:$P$17,'Historical'!$C$10),0)</f>
        <v/>
      </c>
      <c r="C12" s="35">
        <f>'Forecast'!$B$12*(1+'Assumptions'!$B$11)</f>
        <v/>
      </c>
      <c r="D12" s="35">
        <f>'Forecast'!$C$12*(1+'Assumptions'!$C$11)</f>
        <v/>
      </c>
      <c r="E12" s="35">
        <f>'Forecast'!$D$12*(1+'Assumptions'!$D$11)</f>
        <v/>
      </c>
      <c r="F12" s="35">
        <f>'Forecast'!$E$12*(1+'Assumptions'!$E$11)</f>
        <v/>
      </c>
      <c r="G12" s="35">
        <f>'Forecast'!$F$12*(1+'Assumptions'!$F$11)</f>
        <v/>
      </c>
      <c r="H12" s="35">
        <f>'Forecast'!$G$12*(1+'Assumptions'!$G$11)</f>
        <v/>
      </c>
      <c r="I12" s="35">
        <f>'Forecast'!$H$12*(1+'Assumptions'!$H$11)</f>
        <v/>
      </c>
      <c r="J12" s="35">
        <f>'Forecast'!$I$12*(1+'Assumptions'!$I$11)</f>
        <v/>
      </c>
      <c r="K12" s="35">
        <f>'Forecast'!$J$12*(1+'Assumptions'!$J$11)</f>
        <v/>
      </c>
      <c r="L12" s="35">
        <f>'Forecast'!$K$12*(1+'Assumptions'!$K$11)</f>
        <v/>
      </c>
    </row>
    <row r="13">
      <c r="A13" s="24" t="inlineStr">
        <is>
          <t>EBITDA</t>
        </is>
      </c>
      <c r="B13" s="22">
        <f>IFERROR(INDEX('Historical'!$B$21:$P$21,'Historical'!$C$10),0)</f>
        <v/>
      </c>
      <c r="C13" s="35">
        <f>'Forecast'!$C$12*'Assumptions'!$B$12</f>
        <v/>
      </c>
      <c r="D13" s="35">
        <f>'Forecast'!$D$12*'Assumptions'!$C$12</f>
        <v/>
      </c>
      <c r="E13" s="35">
        <f>'Forecast'!$E$12*'Assumptions'!$D$12</f>
        <v/>
      </c>
      <c r="F13" s="35">
        <f>'Forecast'!$F$12*'Assumptions'!$E$12</f>
        <v/>
      </c>
      <c r="G13" s="35">
        <f>'Forecast'!$G$12*'Assumptions'!$F$12</f>
        <v/>
      </c>
      <c r="H13" s="35">
        <f>'Forecast'!$H$12*'Assumptions'!$G$12</f>
        <v/>
      </c>
      <c r="I13" s="35">
        <f>'Forecast'!$I$12*'Assumptions'!$H$12</f>
        <v/>
      </c>
      <c r="J13" s="35">
        <f>'Forecast'!$J$12*'Assumptions'!$I$12</f>
        <v/>
      </c>
      <c r="K13" s="35">
        <f>'Forecast'!$K$12*'Assumptions'!$J$12</f>
        <v/>
      </c>
      <c r="L13" s="35">
        <f>'Forecast'!$L$12*'Assumptions'!$K$12</f>
        <v/>
      </c>
    </row>
    <row r="14">
      <c r="A14" s="6" t="inlineStr">
        <is>
          <t>Depreciation &amp; amortisation</t>
        </is>
      </c>
      <c r="B14" s="22">
        <f>IFERROR(INDEX('Historical'!$B$22:$P$22,'Historical'!$C$10),0)</f>
        <v/>
      </c>
      <c r="C14" s="22">
        <f>'Forecast'!$C$12*'Assumptions'!$B$13</f>
        <v/>
      </c>
      <c r="D14" s="22">
        <f>'Forecast'!$D$12*'Assumptions'!$C$13</f>
        <v/>
      </c>
      <c r="E14" s="22">
        <f>'Forecast'!$E$12*'Assumptions'!$D$13</f>
        <v/>
      </c>
      <c r="F14" s="22">
        <f>'Forecast'!$F$12*'Assumptions'!$E$13</f>
        <v/>
      </c>
      <c r="G14" s="22">
        <f>'Forecast'!$G$12*'Assumptions'!$F$13</f>
        <v/>
      </c>
      <c r="H14" s="22">
        <f>'Forecast'!$H$12*'Assumptions'!$G$13</f>
        <v/>
      </c>
      <c r="I14" s="22">
        <f>'Forecast'!$I$12*'Assumptions'!$H$13</f>
        <v/>
      </c>
      <c r="J14" s="22">
        <f>'Forecast'!$J$12*'Assumptions'!$I$13</f>
        <v/>
      </c>
      <c r="K14" s="22">
        <f>'Forecast'!$K$12*'Assumptions'!$J$13</f>
        <v/>
      </c>
      <c r="L14" s="22">
        <f>'Forecast'!$L$12*'Assumptions'!$K$13</f>
        <v/>
      </c>
    </row>
    <row r="15">
      <c r="A15" s="24" t="inlineStr">
        <is>
          <t>EBIT</t>
        </is>
      </c>
      <c r="B15" s="22">
        <f>IFERROR(INDEX('Historical'!$B$23:$P$23,'Historical'!$C$10),0)</f>
        <v/>
      </c>
      <c r="C15" s="35">
        <f>'Forecast'!$C$13-'Forecast'!$C$14</f>
        <v/>
      </c>
      <c r="D15" s="35">
        <f>'Forecast'!$D$13-'Forecast'!$D$14</f>
        <v/>
      </c>
      <c r="E15" s="35">
        <f>'Forecast'!$E$13-'Forecast'!$E$14</f>
        <v/>
      </c>
      <c r="F15" s="35">
        <f>'Forecast'!$F$13-'Forecast'!$F$14</f>
        <v/>
      </c>
      <c r="G15" s="35">
        <f>'Forecast'!$G$13-'Forecast'!$G$14</f>
        <v/>
      </c>
      <c r="H15" s="35">
        <f>'Forecast'!$H$13-'Forecast'!$H$14</f>
        <v/>
      </c>
      <c r="I15" s="35">
        <f>'Forecast'!$I$13-'Forecast'!$I$14</f>
        <v/>
      </c>
      <c r="J15" s="35">
        <f>'Forecast'!$J$13-'Forecast'!$J$14</f>
        <v/>
      </c>
      <c r="K15" s="35">
        <f>'Forecast'!$K$13-'Forecast'!$K$14</f>
        <v/>
      </c>
      <c r="L15" s="35">
        <f>'Forecast'!$L$13-'Forecast'!$L$14</f>
        <v/>
      </c>
    </row>
    <row r="16">
      <c r="A16" s="6" t="inlineStr">
        <is>
          <t>Net interest expense</t>
        </is>
      </c>
      <c r="B16" s="22">
        <f>IFERROR(INDEX('Historical'!$B$24:$P$24,'Historical'!$C$10),0)</f>
        <v/>
      </c>
      <c r="C16" s="22">
        <f>'Assumptions'!$B$16*'Forecast'!$B$42</f>
        <v/>
      </c>
      <c r="D16" s="22">
        <f>'Assumptions'!$C$16*'Forecast'!$C$42</f>
        <v/>
      </c>
      <c r="E16" s="22">
        <f>'Assumptions'!$D$16*'Forecast'!$D$42</f>
        <v/>
      </c>
      <c r="F16" s="22">
        <f>'Assumptions'!$E$16*'Forecast'!$E$42</f>
        <v/>
      </c>
      <c r="G16" s="22">
        <f>'Assumptions'!$F$16*'Forecast'!$F$42</f>
        <v/>
      </c>
      <c r="H16" s="22">
        <f>'Assumptions'!$G$16*'Forecast'!$G$42</f>
        <v/>
      </c>
      <c r="I16" s="22">
        <f>'Assumptions'!$H$16*'Forecast'!$H$42</f>
        <v/>
      </c>
      <c r="J16" s="22">
        <f>'Assumptions'!$I$16*'Forecast'!$I$42</f>
        <v/>
      </c>
      <c r="K16" s="22">
        <f>'Assumptions'!$J$16*'Forecast'!$J$42</f>
        <v/>
      </c>
      <c r="L16" s="22">
        <f>'Assumptions'!$K$16*'Forecast'!$K$42</f>
        <v/>
      </c>
    </row>
    <row r="17">
      <c r="A17" s="6" t="inlineStr">
        <is>
          <t>Pre-tax income</t>
        </is>
      </c>
      <c r="B17" s="22">
        <f>IFERROR(INDEX('Historical'!$B$25:$P$25,'Historical'!$C$10),0)</f>
        <v/>
      </c>
      <c r="C17" s="22">
        <f>'Forecast'!$C$15-'Forecast'!$C$16</f>
        <v/>
      </c>
      <c r="D17" s="22">
        <f>'Forecast'!$D$15-'Forecast'!$D$16</f>
        <v/>
      </c>
      <c r="E17" s="22">
        <f>'Forecast'!$E$15-'Forecast'!$E$16</f>
        <v/>
      </c>
      <c r="F17" s="22">
        <f>'Forecast'!$F$15-'Forecast'!$F$16</f>
        <v/>
      </c>
      <c r="G17" s="22">
        <f>'Forecast'!$G$15-'Forecast'!$G$16</f>
        <v/>
      </c>
      <c r="H17" s="22">
        <f>'Forecast'!$H$15-'Forecast'!$H$16</f>
        <v/>
      </c>
      <c r="I17" s="22">
        <f>'Forecast'!$I$15-'Forecast'!$I$16</f>
        <v/>
      </c>
      <c r="J17" s="22">
        <f>'Forecast'!$J$15-'Forecast'!$J$16</f>
        <v/>
      </c>
      <c r="K17" s="22">
        <f>'Forecast'!$K$15-'Forecast'!$K$16</f>
        <v/>
      </c>
      <c r="L17" s="22">
        <f>'Forecast'!$L$15-'Forecast'!$L$16</f>
        <v/>
      </c>
    </row>
    <row r="18">
      <c r="A18" s="6" t="inlineStr">
        <is>
          <t>Tax expense</t>
        </is>
      </c>
      <c r="B18" s="22">
        <f>IFERROR(INDEX('Historical'!$B$26:$P$26,'Historical'!$C$10),0)</f>
        <v/>
      </c>
      <c r="C18" s="22">
        <f>'Assumptions'!$B$17*'Forecast'!$C$17</f>
        <v/>
      </c>
      <c r="D18" s="22">
        <f>'Assumptions'!$C$17*'Forecast'!$D$17</f>
        <v/>
      </c>
      <c r="E18" s="22">
        <f>'Assumptions'!$D$17*'Forecast'!$E$17</f>
        <v/>
      </c>
      <c r="F18" s="22">
        <f>'Assumptions'!$E$17*'Forecast'!$F$17</f>
        <v/>
      </c>
      <c r="G18" s="22">
        <f>'Assumptions'!$F$17*'Forecast'!$G$17</f>
        <v/>
      </c>
      <c r="H18" s="22">
        <f>'Assumptions'!$G$17*'Forecast'!$H$17</f>
        <v/>
      </c>
      <c r="I18" s="22">
        <f>'Assumptions'!$H$17*'Forecast'!$I$17</f>
        <v/>
      </c>
      <c r="J18" s="22">
        <f>'Assumptions'!$I$17*'Forecast'!$J$17</f>
        <v/>
      </c>
      <c r="K18" s="22">
        <f>'Assumptions'!$J$17*'Forecast'!$K$17</f>
        <v/>
      </c>
      <c r="L18" s="22">
        <f>'Assumptions'!$K$17*'Forecast'!$L$17</f>
        <v/>
      </c>
    </row>
    <row r="19">
      <c r="A19" s="24" t="inlineStr">
        <is>
          <t>Net income</t>
        </is>
      </c>
      <c r="B19" s="22">
        <f>IFERROR(INDEX('Historical'!$B$27:$P$27,'Historical'!$C$10),0)</f>
        <v/>
      </c>
      <c r="C19" s="35">
        <f>'Forecast'!$C$17-'Forecast'!$C$18</f>
        <v/>
      </c>
      <c r="D19" s="35">
        <f>'Forecast'!$D$17-'Forecast'!$D$18</f>
        <v/>
      </c>
      <c r="E19" s="35">
        <f>'Forecast'!$E$17-'Forecast'!$E$18</f>
        <v/>
      </c>
      <c r="F19" s="35">
        <f>'Forecast'!$F$17-'Forecast'!$F$18</f>
        <v/>
      </c>
      <c r="G19" s="35">
        <f>'Forecast'!$G$17-'Forecast'!$G$18</f>
        <v/>
      </c>
      <c r="H19" s="35">
        <f>'Forecast'!$H$17-'Forecast'!$H$18</f>
        <v/>
      </c>
      <c r="I19" s="35">
        <f>'Forecast'!$I$17-'Forecast'!$I$18</f>
        <v/>
      </c>
      <c r="J19" s="35">
        <f>'Forecast'!$J$17-'Forecast'!$J$18</f>
        <v/>
      </c>
      <c r="K19" s="35">
        <f>'Forecast'!$K$17-'Forecast'!$K$18</f>
        <v/>
      </c>
      <c r="L19" s="35">
        <f>'Forecast'!$L$17-'Forecast'!$L$18</f>
        <v/>
      </c>
    </row>
    <row r="20" ht="20" customHeight="1">
      <c r="A20" s="5" t="inlineStr">
        <is>
          <t>Balance Sheet  -  Assets</t>
        </is>
      </c>
    </row>
    <row r="21">
      <c r="A21" s="6" t="inlineStr">
        <is>
          <t>Cash &amp; equivalents</t>
        </is>
      </c>
      <c r="B21" s="22">
        <f>IFERROR(INDEX('Historical'!$B$29:$P$29,'Historical'!$C$10),0)</f>
        <v/>
      </c>
      <c r="C21" s="22">
        <f>'Forecast'!$B$21+'Forecast'!$C$35+'Forecast'!$C$37+'Forecast'!$C$39</f>
        <v/>
      </c>
      <c r="D21" s="22">
        <f>'Forecast'!$C$21+'Forecast'!$D$35+'Forecast'!$D$37+'Forecast'!$D$39</f>
        <v/>
      </c>
      <c r="E21" s="22">
        <f>'Forecast'!$D$21+'Forecast'!$E$35+'Forecast'!$E$37+'Forecast'!$E$39</f>
        <v/>
      </c>
      <c r="F21" s="22">
        <f>'Forecast'!$E$21+'Forecast'!$F$35+'Forecast'!$F$37+'Forecast'!$F$39</f>
        <v/>
      </c>
      <c r="G21" s="22">
        <f>'Forecast'!$F$21+'Forecast'!$G$35+'Forecast'!$G$37+'Forecast'!$G$39</f>
        <v/>
      </c>
      <c r="H21" s="22">
        <f>'Forecast'!$G$21+'Forecast'!$H$35+'Forecast'!$H$37+'Forecast'!$H$39</f>
        <v/>
      </c>
      <c r="I21" s="22">
        <f>'Forecast'!$H$21+'Forecast'!$I$35+'Forecast'!$I$37+'Forecast'!$I$39</f>
        <v/>
      </c>
      <c r="J21" s="22">
        <f>'Forecast'!$I$21+'Forecast'!$J$35+'Forecast'!$J$37+'Forecast'!$J$39</f>
        <v/>
      </c>
      <c r="K21" s="22">
        <f>'Forecast'!$J$21+'Forecast'!$K$35+'Forecast'!$K$37+'Forecast'!$K$39</f>
        <v/>
      </c>
      <c r="L21" s="22">
        <f>'Forecast'!$K$21+'Forecast'!$L$35+'Forecast'!$L$37+'Forecast'!$L$39</f>
        <v/>
      </c>
    </row>
    <row r="22">
      <c r="A22" s="6" t="inlineStr">
        <is>
          <t>Net working capital</t>
        </is>
      </c>
      <c r="B22" s="22">
        <f>IFERROR(INDEX('Historical'!$B$30:$P$30,'Historical'!$C$10),0)</f>
        <v/>
      </c>
      <c r="C22" s="22">
        <f>'Assumptions'!$B$15*'Forecast'!$C$12</f>
        <v/>
      </c>
      <c r="D22" s="22">
        <f>'Assumptions'!$C$15*'Forecast'!$D$12</f>
        <v/>
      </c>
      <c r="E22" s="22">
        <f>'Assumptions'!$D$15*'Forecast'!$E$12</f>
        <v/>
      </c>
      <c r="F22" s="22">
        <f>'Assumptions'!$E$15*'Forecast'!$F$12</f>
        <v/>
      </c>
      <c r="G22" s="22">
        <f>'Assumptions'!$F$15*'Forecast'!$G$12</f>
        <v/>
      </c>
      <c r="H22" s="22">
        <f>'Assumptions'!$G$15*'Forecast'!$H$12</f>
        <v/>
      </c>
      <c r="I22" s="22">
        <f>'Assumptions'!$H$15*'Forecast'!$I$12</f>
        <v/>
      </c>
      <c r="J22" s="22">
        <f>'Assumptions'!$I$15*'Forecast'!$J$12</f>
        <v/>
      </c>
      <c r="K22" s="22">
        <f>'Assumptions'!$J$15*'Forecast'!$K$12</f>
        <v/>
      </c>
      <c r="L22" s="22">
        <f>'Assumptions'!$K$15*'Forecast'!$L$12</f>
        <v/>
      </c>
    </row>
    <row r="23">
      <c r="A23" s="6" t="inlineStr">
        <is>
          <t>Net PP&amp;E</t>
        </is>
      </c>
      <c r="B23" s="22">
        <f>IFERROR(INDEX('Historical'!$B$31:$P$31,'Historical'!$C$10),0)</f>
        <v/>
      </c>
      <c r="C23" s="22">
        <f>'Forecast'!$B$23+'Forecast'!$C$36-'Forecast'!$C$14</f>
        <v/>
      </c>
      <c r="D23" s="22">
        <f>'Forecast'!$C$23+'Forecast'!$D$36-'Forecast'!$D$14</f>
        <v/>
      </c>
      <c r="E23" s="22">
        <f>'Forecast'!$D$23+'Forecast'!$E$36-'Forecast'!$E$14</f>
        <v/>
      </c>
      <c r="F23" s="22">
        <f>'Forecast'!$E$23+'Forecast'!$F$36-'Forecast'!$F$14</f>
        <v/>
      </c>
      <c r="G23" s="22">
        <f>'Forecast'!$F$23+'Forecast'!$G$36-'Forecast'!$G$14</f>
        <v/>
      </c>
      <c r="H23" s="22">
        <f>'Forecast'!$G$23+'Forecast'!$H$36-'Forecast'!$H$14</f>
        <v/>
      </c>
      <c r="I23" s="22">
        <f>'Forecast'!$H$23+'Forecast'!$I$36-'Forecast'!$I$14</f>
        <v/>
      </c>
      <c r="J23" s="22">
        <f>'Forecast'!$I$23+'Forecast'!$J$36-'Forecast'!$J$14</f>
        <v/>
      </c>
      <c r="K23" s="22">
        <f>'Forecast'!$J$23+'Forecast'!$K$36-'Forecast'!$K$14</f>
        <v/>
      </c>
      <c r="L23" s="22">
        <f>'Forecast'!$K$23+'Forecast'!$L$36-'Forecast'!$L$14</f>
        <v/>
      </c>
    </row>
    <row r="24">
      <c r="A24" s="6" t="inlineStr">
        <is>
          <t>Other assets (held flat)</t>
        </is>
      </c>
      <c r="B24" s="22">
        <f>IFERROR(INDEX('Historical'!$B$32:$P$32,'Historical'!$C$10),0)</f>
        <v/>
      </c>
      <c r="C24" s="22">
        <f>'Forecast'!$B$24</f>
        <v/>
      </c>
      <c r="D24" s="22">
        <f>'Forecast'!$C$24</f>
        <v/>
      </c>
      <c r="E24" s="22">
        <f>'Forecast'!$D$24</f>
        <v/>
      </c>
      <c r="F24" s="22">
        <f>'Forecast'!$E$24</f>
        <v/>
      </c>
      <c r="G24" s="22">
        <f>'Forecast'!$F$24</f>
        <v/>
      </c>
      <c r="H24" s="22">
        <f>'Forecast'!$G$24</f>
        <v/>
      </c>
      <c r="I24" s="22">
        <f>'Forecast'!$H$24</f>
        <v/>
      </c>
      <c r="J24" s="22">
        <f>'Forecast'!$I$24</f>
        <v/>
      </c>
      <c r="K24" s="22">
        <f>'Forecast'!$J$24</f>
        <v/>
      </c>
      <c r="L24" s="22">
        <f>'Forecast'!$K$24</f>
        <v/>
      </c>
    </row>
    <row r="25">
      <c r="A25" s="24" t="inlineStr">
        <is>
          <t>Total assets</t>
        </is>
      </c>
      <c r="B25" s="22">
        <f>IFERROR(INDEX('Historical'!$B$33:$P$33,'Historical'!$C$10),0)</f>
        <v/>
      </c>
      <c r="C25" s="35">
        <f>'Forecast'!$C$21+'Forecast'!$C$22+'Forecast'!$C$23+'Forecast'!$C$24</f>
        <v/>
      </c>
      <c r="D25" s="35">
        <f>'Forecast'!$D$21+'Forecast'!$D$22+'Forecast'!$D$23+'Forecast'!$D$24</f>
        <v/>
      </c>
      <c r="E25" s="35">
        <f>'Forecast'!$E$21+'Forecast'!$E$22+'Forecast'!$E$23+'Forecast'!$E$24</f>
        <v/>
      </c>
      <c r="F25" s="35">
        <f>'Forecast'!$F$21+'Forecast'!$F$22+'Forecast'!$F$23+'Forecast'!$F$24</f>
        <v/>
      </c>
      <c r="G25" s="35">
        <f>'Forecast'!$G$21+'Forecast'!$G$22+'Forecast'!$G$23+'Forecast'!$G$24</f>
        <v/>
      </c>
      <c r="H25" s="35">
        <f>'Forecast'!$H$21+'Forecast'!$H$22+'Forecast'!$H$23+'Forecast'!$H$24</f>
        <v/>
      </c>
      <c r="I25" s="35">
        <f>'Forecast'!$I$21+'Forecast'!$I$22+'Forecast'!$I$23+'Forecast'!$I$24</f>
        <v/>
      </c>
      <c r="J25" s="35">
        <f>'Forecast'!$J$21+'Forecast'!$J$22+'Forecast'!$J$23+'Forecast'!$J$24</f>
        <v/>
      </c>
      <c r="K25" s="35">
        <f>'Forecast'!$K$21+'Forecast'!$K$22+'Forecast'!$K$23+'Forecast'!$K$24</f>
        <v/>
      </c>
      <c r="L25" s="35">
        <f>'Forecast'!$L$21+'Forecast'!$L$22+'Forecast'!$L$23+'Forecast'!$L$24</f>
        <v/>
      </c>
    </row>
    <row r="26" ht="20" customHeight="1">
      <c r="A26" s="5" t="inlineStr">
        <is>
          <t>Balance Sheet  -  Liabilities &amp; Equity</t>
        </is>
      </c>
    </row>
    <row r="27">
      <c r="A27" s="6" t="inlineStr">
        <is>
          <t>Total debt</t>
        </is>
      </c>
      <c r="B27" s="22">
        <f>IFERROR(INDEX('Historical'!$B$35:$P$35,'Historical'!$C$10),0)</f>
        <v/>
      </c>
      <c r="C27" s="22">
        <f>'Forecast'!$B$27+'Assumptions'!$B$19</f>
        <v/>
      </c>
      <c r="D27" s="22">
        <f>'Forecast'!$C$27+'Assumptions'!$C$19</f>
        <v/>
      </c>
      <c r="E27" s="22">
        <f>'Forecast'!$D$27+'Assumptions'!$D$19</f>
        <v/>
      </c>
      <c r="F27" s="22">
        <f>'Forecast'!$E$27+'Assumptions'!$E$19</f>
        <v/>
      </c>
      <c r="G27" s="22">
        <f>'Forecast'!$F$27+'Assumptions'!$F$19</f>
        <v/>
      </c>
      <c r="H27" s="22">
        <f>'Forecast'!$G$27+'Assumptions'!$G$19</f>
        <v/>
      </c>
      <c r="I27" s="22">
        <f>'Forecast'!$H$27+'Assumptions'!$H$19</f>
        <v/>
      </c>
      <c r="J27" s="22">
        <f>'Forecast'!$I$27+'Assumptions'!$I$19</f>
        <v/>
      </c>
      <c r="K27" s="22">
        <f>'Forecast'!$J$27+'Assumptions'!$J$19</f>
        <v/>
      </c>
      <c r="L27" s="22">
        <f>'Forecast'!$K$27+'Assumptions'!$K$19</f>
        <v/>
      </c>
    </row>
    <row r="28">
      <c r="A28" s="6" t="inlineStr">
        <is>
          <t>Other liabilities (held flat)</t>
        </is>
      </c>
      <c r="B28" s="22">
        <f>IFERROR(INDEX('Historical'!$B$36:$P$36,'Historical'!$C$10),0)</f>
        <v/>
      </c>
      <c r="C28" s="22">
        <f>'Forecast'!$B$28</f>
        <v/>
      </c>
      <c r="D28" s="22">
        <f>'Forecast'!$C$28</f>
        <v/>
      </c>
      <c r="E28" s="22">
        <f>'Forecast'!$D$28</f>
        <v/>
      </c>
      <c r="F28" s="22">
        <f>'Forecast'!$E$28</f>
        <v/>
      </c>
      <c r="G28" s="22">
        <f>'Forecast'!$F$28</f>
        <v/>
      </c>
      <c r="H28" s="22">
        <f>'Forecast'!$G$28</f>
        <v/>
      </c>
      <c r="I28" s="22">
        <f>'Forecast'!$H$28</f>
        <v/>
      </c>
      <c r="J28" s="22">
        <f>'Forecast'!$I$28</f>
        <v/>
      </c>
      <c r="K28" s="22">
        <f>'Forecast'!$J$28</f>
        <v/>
      </c>
      <c r="L28" s="22">
        <f>'Forecast'!$K$28</f>
        <v/>
      </c>
    </row>
    <row r="29">
      <c r="A29" s="24" t="inlineStr">
        <is>
          <t>Total liabilities</t>
        </is>
      </c>
      <c r="B29" s="22">
        <f>IFERROR(INDEX('Historical'!$B$37:$P$37,'Historical'!$C$10),0)</f>
        <v/>
      </c>
      <c r="C29" s="36">
        <f>'Forecast'!$C$27+'Forecast'!$C$28</f>
        <v/>
      </c>
      <c r="D29" s="36">
        <f>'Forecast'!$D$27+'Forecast'!$D$28</f>
        <v/>
      </c>
      <c r="E29" s="36">
        <f>'Forecast'!$E$27+'Forecast'!$E$28</f>
        <v/>
      </c>
      <c r="F29" s="36">
        <f>'Forecast'!$F$27+'Forecast'!$F$28</f>
        <v/>
      </c>
      <c r="G29" s="36">
        <f>'Forecast'!$G$27+'Forecast'!$G$28</f>
        <v/>
      </c>
      <c r="H29" s="36">
        <f>'Forecast'!$H$27+'Forecast'!$H$28</f>
        <v/>
      </c>
      <c r="I29" s="36">
        <f>'Forecast'!$I$27+'Forecast'!$I$28</f>
        <v/>
      </c>
      <c r="J29" s="36">
        <f>'Forecast'!$J$27+'Forecast'!$J$28</f>
        <v/>
      </c>
      <c r="K29" s="36">
        <f>'Forecast'!$K$27+'Forecast'!$K$28</f>
        <v/>
      </c>
      <c r="L29" s="36">
        <f>'Forecast'!$L$27+'Forecast'!$L$28</f>
        <v/>
      </c>
    </row>
    <row r="30">
      <c r="A30" s="24" t="inlineStr">
        <is>
          <t>Shareholders' equity</t>
        </is>
      </c>
      <c r="B30" s="22">
        <f>IFERROR(INDEX('Historical'!$B$38:$P$38,'Historical'!$C$10),0)</f>
        <v/>
      </c>
      <c r="C30" s="35">
        <f>'Forecast'!$B$30+'Forecast'!$C$19-'Forecast'!$C$38</f>
        <v/>
      </c>
      <c r="D30" s="35">
        <f>'Forecast'!$C$30+'Forecast'!$D$19-'Forecast'!$D$38</f>
        <v/>
      </c>
      <c r="E30" s="35">
        <f>'Forecast'!$D$30+'Forecast'!$E$19-'Forecast'!$E$38</f>
        <v/>
      </c>
      <c r="F30" s="35">
        <f>'Forecast'!$E$30+'Forecast'!$F$19-'Forecast'!$F$38</f>
        <v/>
      </c>
      <c r="G30" s="35">
        <f>'Forecast'!$F$30+'Forecast'!$G$19-'Forecast'!$G$38</f>
        <v/>
      </c>
      <c r="H30" s="35">
        <f>'Forecast'!$G$30+'Forecast'!$H$19-'Forecast'!$H$38</f>
        <v/>
      </c>
      <c r="I30" s="35">
        <f>'Forecast'!$H$30+'Forecast'!$I$19-'Forecast'!$I$38</f>
        <v/>
      </c>
      <c r="J30" s="35">
        <f>'Forecast'!$I$30+'Forecast'!$J$19-'Forecast'!$J$38</f>
        <v/>
      </c>
      <c r="K30" s="35">
        <f>'Forecast'!$J$30+'Forecast'!$K$19-'Forecast'!$K$38</f>
        <v/>
      </c>
      <c r="L30" s="35">
        <f>'Forecast'!$K$30+'Forecast'!$L$19-'Forecast'!$L$38</f>
        <v/>
      </c>
    </row>
    <row r="31">
      <c r="A31" s="24" t="inlineStr">
        <is>
          <t>Total liabilities &amp; equity</t>
        </is>
      </c>
      <c r="B31" s="22">
        <f>IFERROR(INDEX('Historical'!$B$39:$P$39,'Historical'!$C$10),0)</f>
        <v/>
      </c>
      <c r="C31" s="36">
        <f>'Forecast'!$C$29+'Forecast'!$C$30</f>
        <v/>
      </c>
      <c r="D31" s="36">
        <f>'Forecast'!$D$29+'Forecast'!$D$30</f>
        <v/>
      </c>
      <c r="E31" s="36">
        <f>'Forecast'!$E$29+'Forecast'!$E$30</f>
        <v/>
      </c>
      <c r="F31" s="36">
        <f>'Forecast'!$F$29+'Forecast'!$F$30</f>
        <v/>
      </c>
      <c r="G31" s="36">
        <f>'Forecast'!$G$29+'Forecast'!$G$30</f>
        <v/>
      </c>
      <c r="H31" s="36">
        <f>'Forecast'!$H$29+'Forecast'!$H$30</f>
        <v/>
      </c>
      <c r="I31" s="36">
        <f>'Forecast'!$I$29+'Forecast'!$I$30</f>
        <v/>
      </c>
      <c r="J31" s="36">
        <f>'Forecast'!$J$29+'Forecast'!$J$30</f>
        <v/>
      </c>
      <c r="K31" s="36">
        <f>'Forecast'!$K$29+'Forecast'!$K$30</f>
        <v/>
      </c>
      <c r="L31" s="36">
        <f>'Forecast'!$L$29+'Forecast'!$L$30</f>
        <v/>
      </c>
    </row>
    <row r="32">
      <c r="A32" s="6" t="inlineStr">
        <is>
          <t>Balance check  (must be 0)</t>
        </is>
      </c>
      <c r="B32" s="22" t="n">
        <v>0</v>
      </c>
      <c r="C32" s="22">
        <f>'Forecast'!$C$25-'Forecast'!$C$31</f>
        <v/>
      </c>
      <c r="D32" s="22">
        <f>'Forecast'!$D$25-'Forecast'!$D$31</f>
        <v/>
      </c>
      <c r="E32" s="22">
        <f>'Forecast'!$E$25-'Forecast'!$E$31</f>
        <v/>
      </c>
      <c r="F32" s="22">
        <f>'Forecast'!$F$25-'Forecast'!$F$31</f>
        <v/>
      </c>
      <c r="G32" s="22">
        <f>'Forecast'!$G$25-'Forecast'!$G$31</f>
        <v/>
      </c>
      <c r="H32" s="22">
        <f>'Forecast'!$H$25-'Forecast'!$H$31</f>
        <v/>
      </c>
      <c r="I32" s="22">
        <f>'Forecast'!$I$25-'Forecast'!$I$31</f>
        <v/>
      </c>
      <c r="J32" s="22">
        <f>'Forecast'!$J$25-'Forecast'!$J$31</f>
        <v/>
      </c>
      <c r="K32" s="22">
        <f>'Forecast'!$K$25-'Forecast'!$K$31</f>
        <v/>
      </c>
      <c r="L32" s="22">
        <f>'Forecast'!$L$25-'Forecast'!$L$31</f>
        <v/>
      </c>
    </row>
    <row r="33" ht="20" customHeight="1">
      <c r="A33" s="5" t="inlineStr">
        <is>
          <t>Cash Flow</t>
        </is>
      </c>
    </row>
    <row r="34">
      <c r="A34" s="6" t="inlineStr">
        <is>
          <t>(-) Increase in net working capital</t>
        </is>
      </c>
      <c r="B34" s="22" t="n">
        <v>0</v>
      </c>
      <c r="C34" s="22">
        <f>'Forecast'!$C$22-'Forecast'!$B$22</f>
        <v/>
      </c>
      <c r="D34" s="22">
        <f>'Forecast'!$D$22-'Forecast'!$C$22</f>
        <v/>
      </c>
      <c r="E34" s="22">
        <f>'Forecast'!$E$22-'Forecast'!$D$22</f>
        <v/>
      </c>
      <c r="F34" s="22">
        <f>'Forecast'!$F$22-'Forecast'!$E$22</f>
        <v/>
      </c>
      <c r="G34" s="22">
        <f>'Forecast'!$G$22-'Forecast'!$F$22</f>
        <v/>
      </c>
      <c r="H34" s="22">
        <f>'Forecast'!$H$22-'Forecast'!$G$22</f>
        <v/>
      </c>
      <c r="I34" s="22">
        <f>'Forecast'!$I$22-'Forecast'!$H$22</f>
        <v/>
      </c>
      <c r="J34" s="22">
        <f>'Forecast'!$J$22-'Forecast'!$I$22</f>
        <v/>
      </c>
      <c r="K34" s="22">
        <f>'Forecast'!$K$22-'Forecast'!$J$22</f>
        <v/>
      </c>
      <c r="L34" s="22">
        <f>'Forecast'!$L$22-'Forecast'!$K$22</f>
        <v/>
      </c>
    </row>
    <row r="35">
      <c r="A35" s="24" t="inlineStr">
        <is>
          <t>Operating cash flow</t>
        </is>
      </c>
      <c r="B35" s="22">
        <f>IFERROR(INDEX('Historical'!$B$41:$P$41,'Historical'!$C$10),0)</f>
        <v/>
      </c>
      <c r="C35" s="35">
        <f>'Forecast'!$C$19+'Forecast'!$C$14-'Forecast'!$C$34</f>
        <v/>
      </c>
      <c r="D35" s="35">
        <f>'Forecast'!$D$19+'Forecast'!$D$14-'Forecast'!$D$34</f>
        <v/>
      </c>
      <c r="E35" s="35">
        <f>'Forecast'!$E$19+'Forecast'!$E$14-'Forecast'!$E$34</f>
        <v/>
      </c>
      <c r="F35" s="35">
        <f>'Forecast'!$F$19+'Forecast'!$F$14-'Forecast'!$F$34</f>
        <v/>
      </c>
      <c r="G35" s="35">
        <f>'Forecast'!$G$19+'Forecast'!$G$14-'Forecast'!$G$34</f>
        <v/>
      </c>
      <c r="H35" s="35">
        <f>'Forecast'!$H$19+'Forecast'!$H$14-'Forecast'!$H$34</f>
        <v/>
      </c>
      <c r="I35" s="35">
        <f>'Forecast'!$I$19+'Forecast'!$I$14-'Forecast'!$I$34</f>
        <v/>
      </c>
      <c r="J35" s="35">
        <f>'Forecast'!$J$19+'Forecast'!$J$14-'Forecast'!$J$34</f>
        <v/>
      </c>
      <c r="K35" s="35">
        <f>'Forecast'!$K$19+'Forecast'!$K$14-'Forecast'!$K$34</f>
        <v/>
      </c>
      <c r="L35" s="35">
        <f>'Forecast'!$L$19+'Forecast'!$L$14-'Forecast'!$L$34</f>
        <v/>
      </c>
    </row>
    <row r="36">
      <c r="A36" s="6" t="inlineStr">
        <is>
          <t>Capital expenditure</t>
        </is>
      </c>
      <c r="B36" s="22">
        <f>IFERROR(INDEX('Historical'!$B$42:$P$42,'Historical'!$C$10),0)</f>
        <v/>
      </c>
      <c r="C36" s="22">
        <f>'Assumptions'!$B$14*'Forecast'!$C$12</f>
        <v/>
      </c>
      <c r="D36" s="22">
        <f>'Assumptions'!$C$14*'Forecast'!$D$12</f>
        <v/>
      </c>
      <c r="E36" s="22">
        <f>'Assumptions'!$D$14*'Forecast'!$E$12</f>
        <v/>
      </c>
      <c r="F36" s="22">
        <f>'Assumptions'!$E$14*'Forecast'!$F$12</f>
        <v/>
      </c>
      <c r="G36" s="22">
        <f>'Assumptions'!$F$14*'Forecast'!$G$12</f>
        <v/>
      </c>
      <c r="H36" s="22">
        <f>'Assumptions'!$G$14*'Forecast'!$H$12</f>
        <v/>
      </c>
      <c r="I36" s="22">
        <f>'Assumptions'!$H$14*'Forecast'!$I$12</f>
        <v/>
      </c>
      <c r="J36" s="22">
        <f>'Assumptions'!$I$14*'Forecast'!$J$12</f>
        <v/>
      </c>
      <c r="K36" s="22">
        <f>'Assumptions'!$J$14*'Forecast'!$K$12</f>
        <v/>
      </c>
      <c r="L36" s="22">
        <f>'Assumptions'!$K$14*'Forecast'!$L$12</f>
        <v/>
      </c>
    </row>
    <row r="37">
      <c r="A37" s="6" t="inlineStr">
        <is>
          <t>Investing cash flow</t>
        </is>
      </c>
      <c r="B37" s="22" t="n">
        <v>0</v>
      </c>
      <c r="C37" s="22">
        <f>-'Forecast'!$C$36-('Forecast'!$C$24-'Forecast'!$B$24)</f>
        <v/>
      </c>
      <c r="D37" s="22">
        <f>-'Forecast'!$D$36-('Forecast'!$D$24-'Forecast'!$C$24)</f>
        <v/>
      </c>
      <c r="E37" s="22">
        <f>-'Forecast'!$E$36-('Forecast'!$E$24-'Forecast'!$D$24)</f>
        <v/>
      </c>
      <c r="F37" s="22">
        <f>-'Forecast'!$F$36-('Forecast'!$F$24-'Forecast'!$E$24)</f>
        <v/>
      </c>
      <c r="G37" s="22">
        <f>-'Forecast'!$G$36-('Forecast'!$G$24-'Forecast'!$F$24)</f>
        <v/>
      </c>
      <c r="H37" s="22">
        <f>-'Forecast'!$H$36-('Forecast'!$H$24-'Forecast'!$G$24)</f>
        <v/>
      </c>
      <c r="I37" s="22">
        <f>-'Forecast'!$I$36-('Forecast'!$I$24-'Forecast'!$H$24)</f>
        <v/>
      </c>
      <c r="J37" s="22">
        <f>-'Forecast'!$J$36-('Forecast'!$J$24-'Forecast'!$I$24)</f>
        <v/>
      </c>
      <c r="K37" s="22">
        <f>-'Forecast'!$K$36-('Forecast'!$K$24-'Forecast'!$J$24)</f>
        <v/>
      </c>
      <c r="L37" s="22">
        <f>-'Forecast'!$L$36-('Forecast'!$L$24-'Forecast'!$K$24)</f>
        <v/>
      </c>
    </row>
    <row r="38">
      <c r="A38" s="6" t="inlineStr">
        <is>
          <t>Dividends paid</t>
        </is>
      </c>
      <c r="B38" s="22" t="n">
        <v>0</v>
      </c>
      <c r="C38" s="22">
        <f>'Assumptions'!$B$18*MAX(0,'Forecast'!$C$19)</f>
        <v/>
      </c>
      <c r="D38" s="22">
        <f>'Assumptions'!$C$18*MAX(0,'Forecast'!$D$19)</f>
        <v/>
      </c>
      <c r="E38" s="22">
        <f>'Assumptions'!$D$18*MAX(0,'Forecast'!$E$19)</f>
        <v/>
      </c>
      <c r="F38" s="22">
        <f>'Assumptions'!$E$18*MAX(0,'Forecast'!$F$19)</f>
        <v/>
      </c>
      <c r="G38" s="22">
        <f>'Assumptions'!$F$18*MAX(0,'Forecast'!$G$19)</f>
        <v/>
      </c>
      <c r="H38" s="22">
        <f>'Assumptions'!$G$18*MAX(0,'Forecast'!$H$19)</f>
        <v/>
      </c>
      <c r="I38" s="22">
        <f>'Assumptions'!$H$18*MAX(0,'Forecast'!$I$19)</f>
        <v/>
      </c>
      <c r="J38" s="22">
        <f>'Assumptions'!$I$18*MAX(0,'Forecast'!$J$19)</f>
        <v/>
      </c>
      <c r="K38" s="22">
        <f>'Assumptions'!$J$18*MAX(0,'Forecast'!$K$19)</f>
        <v/>
      </c>
      <c r="L38" s="22">
        <f>'Assumptions'!$K$18*MAX(0,'Forecast'!$L$19)</f>
        <v/>
      </c>
    </row>
    <row r="39">
      <c r="A39" s="6" t="inlineStr">
        <is>
          <t>Financing cash flow</t>
        </is>
      </c>
      <c r="B39" s="22" t="n">
        <v>0</v>
      </c>
      <c r="C39" s="22">
        <f>'Assumptions'!$B$19-'Forecast'!$C$38</f>
        <v/>
      </c>
      <c r="D39" s="22">
        <f>'Assumptions'!$C$19-'Forecast'!$D$38</f>
        <v/>
      </c>
      <c r="E39" s="22">
        <f>'Assumptions'!$D$19-'Forecast'!$E$38</f>
        <v/>
      </c>
      <c r="F39" s="22">
        <f>'Assumptions'!$E$19-'Forecast'!$F$38</f>
        <v/>
      </c>
      <c r="G39" s="22">
        <f>'Assumptions'!$F$19-'Forecast'!$G$38</f>
        <v/>
      </c>
      <c r="H39" s="22">
        <f>'Assumptions'!$G$19-'Forecast'!$H$38</f>
        <v/>
      </c>
      <c r="I39" s="22">
        <f>'Assumptions'!$H$19-'Forecast'!$I$38</f>
        <v/>
      </c>
      <c r="J39" s="22">
        <f>'Assumptions'!$I$19-'Forecast'!$J$38</f>
        <v/>
      </c>
      <c r="K39" s="22">
        <f>'Assumptions'!$J$19-'Forecast'!$K$38</f>
        <v/>
      </c>
      <c r="L39" s="22">
        <f>'Assumptions'!$K$19-'Forecast'!$L$38</f>
        <v/>
      </c>
    </row>
    <row r="40">
      <c r="A40" s="24" t="inlineStr">
        <is>
          <t>Free cash flow</t>
        </is>
      </c>
      <c r="B40" s="22">
        <f>IFERROR(INDEX('Historical'!$B$43:$P$43,'Historical'!$C$10),0)</f>
        <v/>
      </c>
      <c r="C40" s="35">
        <f>'Forecast'!$C$35-'Forecast'!$C$36</f>
        <v/>
      </c>
      <c r="D40" s="35">
        <f>'Forecast'!$D$35-'Forecast'!$D$36</f>
        <v/>
      </c>
      <c r="E40" s="35">
        <f>'Forecast'!$E$35-'Forecast'!$E$36</f>
        <v/>
      </c>
      <c r="F40" s="35">
        <f>'Forecast'!$F$35-'Forecast'!$F$36</f>
        <v/>
      </c>
      <c r="G40" s="35">
        <f>'Forecast'!$G$35-'Forecast'!$G$36</f>
        <v/>
      </c>
      <c r="H40" s="35">
        <f>'Forecast'!$H$35-'Forecast'!$H$36</f>
        <v/>
      </c>
      <c r="I40" s="35">
        <f>'Forecast'!$I$35-'Forecast'!$I$36</f>
        <v/>
      </c>
      <c r="J40" s="35">
        <f>'Forecast'!$J$35-'Forecast'!$J$36</f>
        <v/>
      </c>
      <c r="K40" s="35">
        <f>'Forecast'!$K$35-'Forecast'!$K$36</f>
        <v/>
      </c>
      <c r="L40" s="35">
        <f>'Forecast'!$L$35-'Forecast'!$L$36</f>
        <v/>
      </c>
    </row>
    <row r="41" ht="20" customHeight="1">
      <c r="A41" s="5" t="inlineStr">
        <is>
          <t>Memo</t>
        </is>
      </c>
    </row>
    <row r="42">
      <c r="A42" s="6" t="inlineStr">
        <is>
          <t>Net debt  (debt - cash)</t>
        </is>
      </c>
      <c r="B42" s="22">
        <f>'Forecast'!$B$27-'Forecast'!$B$21</f>
        <v/>
      </c>
      <c r="C42" s="22">
        <f>'Forecast'!$C$27-'Forecast'!$C$21</f>
        <v/>
      </c>
      <c r="D42" s="22">
        <f>'Forecast'!$D$27-'Forecast'!$D$21</f>
        <v/>
      </c>
      <c r="E42" s="22">
        <f>'Forecast'!$E$27-'Forecast'!$E$21</f>
        <v/>
      </c>
      <c r="F42" s="22">
        <f>'Forecast'!$F$27-'Forecast'!$F$21</f>
        <v/>
      </c>
      <c r="G42" s="22">
        <f>'Forecast'!$G$27-'Forecast'!$G$21</f>
        <v/>
      </c>
      <c r="H42" s="22">
        <f>'Forecast'!$H$27-'Forecast'!$H$21</f>
        <v/>
      </c>
      <c r="I42" s="22">
        <f>'Forecast'!$I$27-'Forecast'!$I$21</f>
        <v/>
      </c>
      <c r="J42" s="22">
        <f>'Forecast'!$J$27-'Forecast'!$J$21</f>
        <v/>
      </c>
      <c r="K42" s="22">
        <f>'Forecast'!$K$27-'Forecast'!$K$21</f>
        <v/>
      </c>
      <c r="L42" s="22">
        <f>'Forecast'!$L$27-'Forecast'!$L$21</f>
        <v/>
      </c>
    </row>
  </sheetData>
  <mergeCells count="10">
    <mergeCell ref="A20:L20"/>
    <mergeCell ref="A26:L26"/>
    <mergeCell ref="A2:L2"/>
    <mergeCell ref="A41:L41"/>
    <mergeCell ref="A33:L33"/>
    <mergeCell ref="A11:L11"/>
    <mergeCell ref="A1:L1"/>
    <mergeCell ref="A3:L3"/>
    <mergeCell ref="A7:F7"/>
    <mergeCell ref="G7:L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4A6B"/>
    <outlinePr summaryBelow="1" summaryRight="1"/>
    <pageSetUpPr fitToPage="1"/>
  </sheetPr>
  <dimension ref="A1:K38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" t="inlineStr">
        <is>
          <t>FORECAST BRIDGE</t>
        </is>
      </c>
    </row>
    <row r="2">
      <c r="A2" s="2" t="inlineStr">
        <is>
          <t>Why revenue, EBITDA and net income change each year -- exact effect decomposition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9">
      <c r="A9" s="17" t="inlineStr">
        <is>
          <t>Effect</t>
        </is>
      </c>
      <c r="B9" s="20">
        <f>LastActual+1</f>
        <v/>
      </c>
      <c r="C9" s="20">
        <f>$B$9+1</f>
        <v/>
      </c>
      <c r="D9" s="20">
        <f>$C$9+1</f>
        <v/>
      </c>
      <c r="E9" s="20">
        <f>$D$9+1</f>
        <v/>
      </c>
      <c r="F9" s="20">
        <f>$E$9+1</f>
        <v/>
      </c>
      <c r="G9" s="20">
        <f>$F$9+1</f>
        <v/>
      </c>
      <c r="H9" s="20">
        <f>$G$9+1</f>
        <v/>
      </c>
      <c r="I9" s="20">
        <f>$H$9+1</f>
        <v/>
      </c>
      <c r="J9" s="20">
        <f>$I$9+1</f>
        <v/>
      </c>
      <c r="K9" s="20">
        <f>$J$9+1</f>
        <v/>
      </c>
    </row>
    <row r="10" ht="20" customHeight="1">
      <c r="A10" s="5" t="inlineStr">
        <is>
          <t>Revenue Bridge</t>
        </is>
      </c>
    </row>
    <row r="11">
      <c r="A11" s="6" t="inlineStr">
        <is>
          <t>Prior-year revenue</t>
        </is>
      </c>
      <c r="B11" s="22">
        <f>'Forecast'!$B$12</f>
        <v/>
      </c>
      <c r="C11" s="22">
        <f>'Forecast'!$C$12</f>
        <v/>
      </c>
      <c r="D11" s="22">
        <f>'Forecast'!$D$12</f>
        <v/>
      </c>
      <c r="E11" s="22">
        <f>'Forecast'!$E$12</f>
        <v/>
      </c>
      <c r="F11" s="22">
        <f>'Forecast'!$F$12</f>
        <v/>
      </c>
      <c r="G11" s="22">
        <f>'Forecast'!$G$12</f>
        <v/>
      </c>
      <c r="H11" s="22">
        <f>'Forecast'!$H$12</f>
        <v/>
      </c>
      <c r="I11" s="22">
        <f>'Forecast'!$I$12</f>
        <v/>
      </c>
      <c r="J11" s="22">
        <f>'Forecast'!$J$12</f>
        <v/>
      </c>
      <c r="K11" s="22">
        <f>'Forecast'!$K$12</f>
        <v/>
      </c>
    </row>
    <row r="12">
      <c r="A12" s="6" t="inlineStr">
        <is>
          <t>(+) Growth effect</t>
        </is>
      </c>
      <c r="B12" s="22">
        <f>'Forecast'!$C$12-'Forecast'!$B$12</f>
        <v/>
      </c>
      <c r="C12" s="22">
        <f>'Forecast'!$D$12-'Forecast'!$C$12</f>
        <v/>
      </c>
      <c r="D12" s="22">
        <f>'Forecast'!$E$12-'Forecast'!$D$12</f>
        <v/>
      </c>
      <c r="E12" s="22">
        <f>'Forecast'!$F$12-'Forecast'!$E$12</f>
        <v/>
      </c>
      <c r="F12" s="22">
        <f>'Forecast'!$G$12-'Forecast'!$F$12</f>
        <v/>
      </c>
      <c r="G12" s="22">
        <f>'Forecast'!$H$12-'Forecast'!$G$12</f>
        <v/>
      </c>
      <c r="H12" s="22">
        <f>'Forecast'!$I$12-'Forecast'!$H$12</f>
        <v/>
      </c>
      <c r="I12" s="22">
        <f>'Forecast'!$J$12-'Forecast'!$I$12</f>
        <v/>
      </c>
      <c r="J12" s="22">
        <f>'Forecast'!$K$12-'Forecast'!$J$12</f>
        <v/>
      </c>
      <c r="K12" s="22">
        <f>'Forecast'!$L$12-'Forecast'!$K$12</f>
        <v/>
      </c>
    </row>
    <row r="13">
      <c r="A13" s="24" t="inlineStr">
        <is>
          <t>(=) Current revenue</t>
        </is>
      </c>
      <c r="B13" s="36">
        <f>'Forecast'!$C$12</f>
        <v/>
      </c>
      <c r="C13" s="36">
        <f>'Forecast'!$D$12</f>
        <v/>
      </c>
      <c r="D13" s="36">
        <f>'Forecast'!$E$12</f>
        <v/>
      </c>
      <c r="E13" s="36">
        <f>'Forecast'!$F$12</f>
        <v/>
      </c>
      <c r="F13" s="36">
        <f>'Forecast'!$G$12</f>
        <v/>
      </c>
      <c r="G13" s="36">
        <f>'Forecast'!$H$12</f>
        <v/>
      </c>
      <c r="H13" s="36">
        <f>'Forecast'!$I$12</f>
        <v/>
      </c>
      <c r="I13" s="36">
        <f>'Forecast'!$J$12</f>
        <v/>
      </c>
      <c r="J13" s="36">
        <f>'Forecast'!$K$12</f>
        <v/>
      </c>
      <c r="K13" s="36">
        <f>'Forecast'!$L$12</f>
        <v/>
      </c>
    </row>
    <row r="14">
      <c r="A14" s="30" t="inlineStr">
        <is>
          <t>Check (effects - actual change)</t>
        </is>
      </c>
      <c r="B14" s="22">
        <f>($B$12)-('Forecast'!$C$12-'Forecast'!$B$12)</f>
        <v/>
      </c>
      <c r="C14" s="22">
        <f>($C$12)-('Forecast'!$D$12-'Forecast'!$C$12)</f>
        <v/>
      </c>
      <c r="D14" s="22">
        <f>($D$12)-('Forecast'!$E$12-'Forecast'!$D$12)</f>
        <v/>
      </c>
      <c r="E14" s="22">
        <f>($E$12)-('Forecast'!$F$12-'Forecast'!$E$12)</f>
        <v/>
      </c>
      <c r="F14" s="22">
        <f>($F$12)-('Forecast'!$G$12-'Forecast'!$F$12)</f>
        <v/>
      </c>
      <c r="G14" s="22">
        <f>($G$12)-('Forecast'!$H$12-'Forecast'!$G$12)</f>
        <v/>
      </c>
      <c r="H14" s="22">
        <f>($H$12)-('Forecast'!$I$12-'Forecast'!$H$12)</f>
        <v/>
      </c>
      <c r="I14" s="22">
        <f>($I$12)-('Forecast'!$J$12-'Forecast'!$I$12)</f>
        <v/>
      </c>
      <c r="J14" s="22">
        <f>($J$12)-('Forecast'!$K$12-'Forecast'!$J$12)</f>
        <v/>
      </c>
      <c r="K14" s="22">
        <f>($K$12)-('Forecast'!$L$12-'Forecast'!$K$12)</f>
        <v/>
      </c>
    </row>
    <row r="16" ht="20" customHeight="1">
      <c r="A16" s="5" t="inlineStr">
        <is>
          <t>EBITDA Bridge</t>
        </is>
      </c>
    </row>
    <row r="17">
      <c r="A17" s="6" t="inlineStr">
        <is>
          <t>Prior-year EBITDA</t>
        </is>
      </c>
      <c r="B17" s="22">
        <f>'Forecast'!$B$13</f>
        <v/>
      </c>
      <c r="C17" s="22">
        <f>'Forecast'!$C$13</f>
        <v/>
      </c>
      <c r="D17" s="22">
        <f>'Forecast'!$D$13</f>
        <v/>
      </c>
      <c r="E17" s="22">
        <f>'Forecast'!$E$13</f>
        <v/>
      </c>
      <c r="F17" s="22">
        <f>'Forecast'!$F$13</f>
        <v/>
      </c>
      <c r="G17" s="22">
        <f>'Forecast'!$G$13</f>
        <v/>
      </c>
      <c r="H17" s="22">
        <f>'Forecast'!$H$13</f>
        <v/>
      </c>
      <c r="I17" s="22">
        <f>'Forecast'!$I$13</f>
        <v/>
      </c>
      <c r="J17" s="22">
        <f>'Forecast'!$J$13</f>
        <v/>
      </c>
      <c r="K17" s="22">
        <f>'Forecast'!$K$13</f>
        <v/>
      </c>
    </row>
    <row r="18">
      <c r="A18" s="6" t="inlineStr">
        <is>
          <t>(+) Revenue (volume) effect</t>
        </is>
      </c>
      <c r="B18" s="22">
        <f>('Forecast'!$C$12-'Forecast'!$B$12)*IFERROR('Forecast'!$B$13/'Forecast'!$B$12,0)</f>
        <v/>
      </c>
      <c r="C18" s="22">
        <f>('Forecast'!$D$12-'Forecast'!$C$12)*IFERROR('Forecast'!$C$13/'Forecast'!$C$12,0)</f>
        <v/>
      </c>
      <c r="D18" s="22">
        <f>('Forecast'!$E$12-'Forecast'!$D$12)*IFERROR('Forecast'!$D$13/'Forecast'!$D$12,0)</f>
        <v/>
      </c>
      <c r="E18" s="22">
        <f>('Forecast'!$F$12-'Forecast'!$E$12)*IFERROR('Forecast'!$E$13/'Forecast'!$E$12,0)</f>
        <v/>
      </c>
      <c r="F18" s="22">
        <f>('Forecast'!$G$12-'Forecast'!$F$12)*IFERROR('Forecast'!$F$13/'Forecast'!$F$12,0)</f>
        <v/>
      </c>
      <c r="G18" s="22">
        <f>('Forecast'!$H$12-'Forecast'!$G$12)*IFERROR('Forecast'!$G$13/'Forecast'!$G$12,0)</f>
        <v/>
      </c>
      <c r="H18" s="22">
        <f>('Forecast'!$I$12-'Forecast'!$H$12)*IFERROR('Forecast'!$H$13/'Forecast'!$H$12,0)</f>
        <v/>
      </c>
      <c r="I18" s="22">
        <f>('Forecast'!$J$12-'Forecast'!$I$12)*IFERROR('Forecast'!$I$13/'Forecast'!$I$12,0)</f>
        <v/>
      </c>
      <c r="J18" s="22">
        <f>('Forecast'!$K$12-'Forecast'!$J$12)*IFERROR('Forecast'!$J$13/'Forecast'!$J$12,0)</f>
        <v/>
      </c>
      <c r="K18" s="22">
        <f>('Forecast'!$L$12-'Forecast'!$K$12)*IFERROR('Forecast'!$K$13/'Forecast'!$K$12,0)</f>
        <v/>
      </c>
    </row>
    <row r="19">
      <c r="A19" s="6" t="inlineStr">
        <is>
          <t>(+) Margin effect</t>
        </is>
      </c>
      <c r="B19" s="22">
        <f>(IFERROR('Forecast'!$C$13/'Forecast'!$C$12,0)-IFERROR('Forecast'!$B$13/'Forecast'!$B$12,0))*'Forecast'!$C$12</f>
        <v/>
      </c>
      <c r="C19" s="22">
        <f>(IFERROR('Forecast'!$D$13/'Forecast'!$D$12,0)-IFERROR('Forecast'!$C$13/'Forecast'!$C$12,0))*'Forecast'!$D$12</f>
        <v/>
      </c>
      <c r="D19" s="22">
        <f>(IFERROR('Forecast'!$E$13/'Forecast'!$E$12,0)-IFERROR('Forecast'!$D$13/'Forecast'!$D$12,0))*'Forecast'!$E$12</f>
        <v/>
      </c>
      <c r="E19" s="22">
        <f>(IFERROR('Forecast'!$F$13/'Forecast'!$F$12,0)-IFERROR('Forecast'!$E$13/'Forecast'!$E$12,0))*'Forecast'!$F$12</f>
        <v/>
      </c>
      <c r="F19" s="22">
        <f>(IFERROR('Forecast'!$G$13/'Forecast'!$G$12,0)-IFERROR('Forecast'!$F$13/'Forecast'!$F$12,0))*'Forecast'!$G$12</f>
        <v/>
      </c>
      <c r="G19" s="22">
        <f>(IFERROR('Forecast'!$H$13/'Forecast'!$H$12,0)-IFERROR('Forecast'!$G$13/'Forecast'!$G$12,0))*'Forecast'!$H$12</f>
        <v/>
      </c>
      <c r="H19" s="22">
        <f>(IFERROR('Forecast'!$I$13/'Forecast'!$I$12,0)-IFERROR('Forecast'!$H$13/'Forecast'!$H$12,0))*'Forecast'!$I$12</f>
        <v/>
      </c>
      <c r="I19" s="22">
        <f>(IFERROR('Forecast'!$J$13/'Forecast'!$J$12,0)-IFERROR('Forecast'!$I$13/'Forecast'!$I$12,0))*'Forecast'!$J$12</f>
        <v/>
      </c>
      <c r="J19" s="22">
        <f>(IFERROR('Forecast'!$K$13/'Forecast'!$K$12,0)-IFERROR('Forecast'!$J$13/'Forecast'!$J$12,0))*'Forecast'!$K$12</f>
        <v/>
      </c>
      <c r="K19" s="22">
        <f>(IFERROR('Forecast'!$L$13/'Forecast'!$L$12,0)-IFERROR('Forecast'!$K$13/'Forecast'!$K$12,0))*'Forecast'!$L$12</f>
        <v/>
      </c>
    </row>
    <row r="20">
      <c r="A20" s="24" t="inlineStr">
        <is>
          <t>(=) Current EBITDA</t>
        </is>
      </c>
      <c r="B20" s="36">
        <f>'Forecast'!$C$13</f>
        <v/>
      </c>
      <c r="C20" s="36">
        <f>'Forecast'!$D$13</f>
        <v/>
      </c>
      <c r="D20" s="36">
        <f>'Forecast'!$E$13</f>
        <v/>
      </c>
      <c r="E20" s="36">
        <f>'Forecast'!$F$13</f>
        <v/>
      </c>
      <c r="F20" s="36">
        <f>'Forecast'!$G$13</f>
        <v/>
      </c>
      <c r="G20" s="36">
        <f>'Forecast'!$H$13</f>
        <v/>
      </c>
      <c r="H20" s="36">
        <f>'Forecast'!$I$13</f>
        <v/>
      </c>
      <c r="I20" s="36">
        <f>'Forecast'!$J$13</f>
        <v/>
      </c>
      <c r="J20" s="36">
        <f>'Forecast'!$K$13</f>
        <v/>
      </c>
      <c r="K20" s="36">
        <f>'Forecast'!$L$13</f>
        <v/>
      </c>
    </row>
    <row r="21">
      <c r="A21" s="30" t="inlineStr">
        <is>
          <t>Check (effects - actual change)</t>
        </is>
      </c>
      <c r="B21" s="22">
        <f>($B$18+$B$19)-('Forecast'!$C$13-'Forecast'!$B$13)</f>
        <v/>
      </c>
      <c r="C21" s="22">
        <f>($C$18+$C$19)-('Forecast'!$D$13-'Forecast'!$C$13)</f>
        <v/>
      </c>
      <c r="D21" s="22">
        <f>($D$18+$D$19)-('Forecast'!$E$13-'Forecast'!$D$13)</f>
        <v/>
      </c>
      <c r="E21" s="22">
        <f>($E$18+$E$19)-('Forecast'!$F$13-'Forecast'!$E$13)</f>
        <v/>
      </c>
      <c r="F21" s="22">
        <f>($F$18+$F$19)-('Forecast'!$G$13-'Forecast'!$F$13)</f>
        <v/>
      </c>
      <c r="G21" s="22">
        <f>($G$18+$G$19)-('Forecast'!$H$13-'Forecast'!$G$13)</f>
        <v/>
      </c>
      <c r="H21" s="22">
        <f>($H$18+$H$19)-('Forecast'!$I$13-'Forecast'!$H$13)</f>
        <v/>
      </c>
      <c r="I21" s="22">
        <f>($I$18+$I$19)-('Forecast'!$J$13-'Forecast'!$I$13)</f>
        <v/>
      </c>
      <c r="J21" s="22">
        <f>($J$18+$J$19)-('Forecast'!$K$13-'Forecast'!$J$13)</f>
        <v/>
      </c>
      <c r="K21" s="22">
        <f>($K$18+$K$19)-('Forecast'!$L$13-'Forecast'!$K$13)</f>
        <v/>
      </c>
    </row>
    <row r="23" ht="20" customHeight="1">
      <c r="A23" s="5" t="inlineStr">
        <is>
          <t>EBIT Bridge</t>
        </is>
      </c>
    </row>
    <row r="24">
      <c r="A24" s="6" t="inlineStr">
        <is>
          <t>Prior-year EBIT</t>
        </is>
      </c>
      <c r="B24" s="22">
        <f>'Forecast'!$B$15</f>
        <v/>
      </c>
      <c r="C24" s="22">
        <f>'Forecast'!$C$15</f>
        <v/>
      </c>
      <c r="D24" s="22">
        <f>'Forecast'!$D$15</f>
        <v/>
      </c>
      <c r="E24" s="22">
        <f>'Forecast'!$E$15</f>
        <v/>
      </c>
      <c r="F24" s="22">
        <f>'Forecast'!$F$15</f>
        <v/>
      </c>
      <c r="G24" s="22">
        <f>'Forecast'!$G$15</f>
        <v/>
      </c>
      <c r="H24" s="22">
        <f>'Forecast'!$H$15</f>
        <v/>
      </c>
      <c r="I24" s="22">
        <f>'Forecast'!$I$15</f>
        <v/>
      </c>
      <c r="J24" s="22">
        <f>'Forecast'!$J$15</f>
        <v/>
      </c>
      <c r="K24" s="22">
        <f>'Forecast'!$K$15</f>
        <v/>
      </c>
    </row>
    <row r="25">
      <c r="A25" s="6" t="inlineStr">
        <is>
          <t>(+) Revenue (volume) effect</t>
        </is>
      </c>
      <c r="B25" s="22">
        <f>('Forecast'!$C$12-'Forecast'!$B$12)*IFERROR('Forecast'!$B$13/'Forecast'!$B$12,0)</f>
        <v/>
      </c>
      <c r="C25" s="22">
        <f>('Forecast'!$D$12-'Forecast'!$C$12)*IFERROR('Forecast'!$C$13/'Forecast'!$C$12,0)</f>
        <v/>
      </c>
      <c r="D25" s="22">
        <f>('Forecast'!$E$12-'Forecast'!$D$12)*IFERROR('Forecast'!$D$13/'Forecast'!$D$12,0)</f>
        <v/>
      </c>
      <c r="E25" s="22">
        <f>('Forecast'!$F$12-'Forecast'!$E$12)*IFERROR('Forecast'!$E$13/'Forecast'!$E$12,0)</f>
        <v/>
      </c>
      <c r="F25" s="22">
        <f>('Forecast'!$G$12-'Forecast'!$F$12)*IFERROR('Forecast'!$F$13/'Forecast'!$F$12,0)</f>
        <v/>
      </c>
      <c r="G25" s="22">
        <f>('Forecast'!$H$12-'Forecast'!$G$12)*IFERROR('Forecast'!$G$13/'Forecast'!$G$12,0)</f>
        <v/>
      </c>
      <c r="H25" s="22">
        <f>('Forecast'!$I$12-'Forecast'!$H$12)*IFERROR('Forecast'!$H$13/'Forecast'!$H$12,0)</f>
        <v/>
      </c>
      <c r="I25" s="22">
        <f>('Forecast'!$J$12-'Forecast'!$I$12)*IFERROR('Forecast'!$I$13/'Forecast'!$I$12,0)</f>
        <v/>
      </c>
      <c r="J25" s="22">
        <f>('Forecast'!$K$12-'Forecast'!$J$12)*IFERROR('Forecast'!$J$13/'Forecast'!$J$12,0)</f>
        <v/>
      </c>
      <c r="K25" s="22">
        <f>('Forecast'!$L$12-'Forecast'!$K$12)*IFERROR('Forecast'!$K$13/'Forecast'!$K$12,0)</f>
        <v/>
      </c>
    </row>
    <row r="26">
      <c r="A26" s="6" t="inlineStr">
        <is>
          <t>(+) EBITDA margin effect</t>
        </is>
      </c>
      <c r="B26" s="22">
        <f>(IFERROR('Forecast'!$C$13/'Forecast'!$C$12,0)-IFERROR('Forecast'!$B$13/'Forecast'!$B$12,0))*'Forecast'!$C$12</f>
        <v/>
      </c>
      <c r="C26" s="22">
        <f>(IFERROR('Forecast'!$D$13/'Forecast'!$D$12,0)-IFERROR('Forecast'!$C$13/'Forecast'!$C$12,0))*'Forecast'!$D$12</f>
        <v/>
      </c>
      <c r="D26" s="22">
        <f>(IFERROR('Forecast'!$E$13/'Forecast'!$E$12,0)-IFERROR('Forecast'!$D$13/'Forecast'!$D$12,0))*'Forecast'!$E$12</f>
        <v/>
      </c>
      <c r="E26" s="22">
        <f>(IFERROR('Forecast'!$F$13/'Forecast'!$F$12,0)-IFERROR('Forecast'!$E$13/'Forecast'!$E$12,0))*'Forecast'!$F$12</f>
        <v/>
      </c>
      <c r="F26" s="22">
        <f>(IFERROR('Forecast'!$G$13/'Forecast'!$G$12,0)-IFERROR('Forecast'!$F$13/'Forecast'!$F$12,0))*'Forecast'!$G$12</f>
        <v/>
      </c>
      <c r="G26" s="22">
        <f>(IFERROR('Forecast'!$H$13/'Forecast'!$H$12,0)-IFERROR('Forecast'!$G$13/'Forecast'!$G$12,0))*'Forecast'!$H$12</f>
        <v/>
      </c>
      <c r="H26" s="22">
        <f>(IFERROR('Forecast'!$I$13/'Forecast'!$I$12,0)-IFERROR('Forecast'!$H$13/'Forecast'!$H$12,0))*'Forecast'!$I$12</f>
        <v/>
      </c>
      <c r="I26" s="22">
        <f>(IFERROR('Forecast'!$J$13/'Forecast'!$J$12,0)-IFERROR('Forecast'!$I$13/'Forecast'!$I$12,0))*'Forecast'!$J$12</f>
        <v/>
      </c>
      <c r="J26" s="22">
        <f>(IFERROR('Forecast'!$K$13/'Forecast'!$K$12,0)-IFERROR('Forecast'!$J$13/'Forecast'!$J$12,0))*'Forecast'!$K$12</f>
        <v/>
      </c>
      <c r="K26" s="22">
        <f>(IFERROR('Forecast'!$L$13/'Forecast'!$L$12,0)-IFERROR('Forecast'!$K$13/'Forecast'!$K$12,0))*'Forecast'!$L$12</f>
        <v/>
      </c>
    </row>
    <row r="27">
      <c r="A27" s="6" t="inlineStr">
        <is>
          <t>(-) D&amp;A effect</t>
        </is>
      </c>
      <c r="B27" s="22">
        <f>-('Forecast'!$C$14-'Forecast'!$B$14)</f>
        <v/>
      </c>
      <c r="C27" s="22">
        <f>-('Forecast'!$D$14-'Forecast'!$C$14)</f>
        <v/>
      </c>
      <c r="D27" s="22">
        <f>-('Forecast'!$E$14-'Forecast'!$D$14)</f>
        <v/>
      </c>
      <c r="E27" s="22">
        <f>-('Forecast'!$F$14-'Forecast'!$E$14)</f>
        <v/>
      </c>
      <c r="F27" s="22">
        <f>-('Forecast'!$G$14-'Forecast'!$F$14)</f>
        <v/>
      </c>
      <c r="G27" s="22">
        <f>-('Forecast'!$H$14-'Forecast'!$G$14)</f>
        <v/>
      </c>
      <c r="H27" s="22">
        <f>-('Forecast'!$I$14-'Forecast'!$H$14)</f>
        <v/>
      </c>
      <c r="I27" s="22">
        <f>-('Forecast'!$J$14-'Forecast'!$I$14)</f>
        <v/>
      </c>
      <c r="J27" s="22">
        <f>-('Forecast'!$K$14-'Forecast'!$J$14)</f>
        <v/>
      </c>
      <c r="K27" s="22">
        <f>-('Forecast'!$L$14-'Forecast'!$K$14)</f>
        <v/>
      </c>
    </row>
    <row r="28">
      <c r="A28" s="24" t="inlineStr">
        <is>
          <t>(=) Current EBIT</t>
        </is>
      </c>
      <c r="B28" s="36">
        <f>'Forecast'!$C$15</f>
        <v/>
      </c>
      <c r="C28" s="36">
        <f>'Forecast'!$D$15</f>
        <v/>
      </c>
      <c r="D28" s="36">
        <f>'Forecast'!$E$15</f>
        <v/>
      </c>
      <c r="E28" s="36">
        <f>'Forecast'!$F$15</f>
        <v/>
      </c>
      <c r="F28" s="36">
        <f>'Forecast'!$G$15</f>
        <v/>
      </c>
      <c r="G28" s="36">
        <f>'Forecast'!$H$15</f>
        <v/>
      </c>
      <c r="H28" s="36">
        <f>'Forecast'!$I$15</f>
        <v/>
      </c>
      <c r="I28" s="36">
        <f>'Forecast'!$J$15</f>
        <v/>
      </c>
      <c r="J28" s="36">
        <f>'Forecast'!$K$15</f>
        <v/>
      </c>
      <c r="K28" s="36">
        <f>'Forecast'!$L$15</f>
        <v/>
      </c>
    </row>
    <row r="29">
      <c r="A29" s="30" t="inlineStr">
        <is>
          <t>Check (effects - actual change)</t>
        </is>
      </c>
      <c r="B29" s="22">
        <f>($B$25+$B$26+$B$27)-('Forecast'!$C$15-'Forecast'!$B$15)</f>
        <v/>
      </c>
      <c r="C29" s="22">
        <f>($C$25+$C$26+$C$27)-('Forecast'!$D$15-'Forecast'!$C$15)</f>
        <v/>
      </c>
      <c r="D29" s="22">
        <f>($D$25+$D$26+$D$27)-('Forecast'!$E$15-'Forecast'!$D$15)</f>
        <v/>
      </c>
      <c r="E29" s="22">
        <f>($E$25+$E$26+$E$27)-('Forecast'!$F$15-'Forecast'!$E$15)</f>
        <v/>
      </c>
      <c r="F29" s="22">
        <f>($F$25+$F$26+$F$27)-('Forecast'!$G$15-'Forecast'!$F$15)</f>
        <v/>
      </c>
      <c r="G29" s="22">
        <f>($G$25+$G$26+$G$27)-('Forecast'!$H$15-'Forecast'!$G$15)</f>
        <v/>
      </c>
      <c r="H29" s="22">
        <f>($H$25+$H$26+$H$27)-('Forecast'!$I$15-'Forecast'!$H$15)</f>
        <v/>
      </c>
      <c r="I29" s="22">
        <f>($I$25+$I$26+$I$27)-('Forecast'!$J$15-'Forecast'!$I$15)</f>
        <v/>
      </c>
      <c r="J29" s="22">
        <f>($J$25+$J$26+$J$27)-('Forecast'!$K$15-'Forecast'!$J$15)</f>
        <v/>
      </c>
      <c r="K29" s="22">
        <f>($K$25+$K$26+$K$27)-('Forecast'!$L$15-'Forecast'!$K$15)</f>
        <v/>
      </c>
    </row>
    <row r="31" ht="20" customHeight="1">
      <c r="A31" s="5" t="inlineStr">
        <is>
          <t>Net Income Bridge</t>
        </is>
      </c>
    </row>
    <row r="32">
      <c r="A32" s="6" t="inlineStr">
        <is>
          <t>Prior-year net income</t>
        </is>
      </c>
      <c r="B32" s="22">
        <f>'Forecast'!$B$19</f>
        <v/>
      </c>
      <c r="C32" s="22">
        <f>'Forecast'!$C$19</f>
        <v/>
      </c>
      <c r="D32" s="22">
        <f>'Forecast'!$D$19</f>
        <v/>
      </c>
      <c r="E32" s="22">
        <f>'Forecast'!$E$19</f>
        <v/>
      </c>
      <c r="F32" s="22">
        <f>'Forecast'!$F$19</f>
        <v/>
      </c>
      <c r="G32" s="22">
        <f>'Forecast'!$G$19</f>
        <v/>
      </c>
      <c r="H32" s="22">
        <f>'Forecast'!$H$19</f>
        <v/>
      </c>
      <c r="I32" s="22">
        <f>'Forecast'!$I$19</f>
        <v/>
      </c>
      <c r="J32" s="22">
        <f>'Forecast'!$J$19</f>
        <v/>
      </c>
      <c r="K32" s="22">
        <f>'Forecast'!$K$19</f>
        <v/>
      </c>
    </row>
    <row r="33">
      <c r="A33" s="6" t="inlineStr">
        <is>
          <t>(+) EBITDA effect</t>
        </is>
      </c>
      <c r="B33" s="22">
        <f>('Forecast'!$C$13-'Forecast'!$B$13)*(1-IFERROR('Forecast'!$B$18/'Forecast'!$B$17,0))</f>
        <v/>
      </c>
      <c r="C33" s="22">
        <f>('Forecast'!$D$13-'Forecast'!$C$13)*(1-IFERROR('Forecast'!$C$18/'Forecast'!$C$17,0))</f>
        <v/>
      </c>
      <c r="D33" s="22">
        <f>('Forecast'!$E$13-'Forecast'!$D$13)*(1-IFERROR('Forecast'!$D$18/'Forecast'!$D$17,0))</f>
        <v/>
      </c>
      <c r="E33" s="22">
        <f>('Forecast'!$F$13-'Forecast'!$E$13)*(1-IFERROR('Forecast'!$E$18/'Forecast'!$E$17,0))</f>
        <v/>
      </c>
      <c r="F33" s="22">
        <f>('Forecast'!$G$13-'Forecast'!$F$13)*(1-IFERROR('Forecast'!$F$18/'Forecast'!$F$17,0))</f>
        <v/>
      </c>
      <c r="G33" s="22">
        <f>('Forecast'!$H$13-'Forecast'!$G$13)*(1-IFERROR('Forecast'!$G$18/'Forecast'!$G$17,0))</f>
        <v/>
      </c>
      <c r="H33" s="22">
        <f>('Forecast'!$I$13-'Forecast'!$H$13)*(1-IFERROR('Forecast'!$H$18/'Forecast'!$H$17,0))</f>
        <v/>
      </c>
      <c r="I33" s="22">
        <f>('Forecast'!$J$13-'Forecast'!$I$13)*(1-IFERROR('Forecast'!$I$18/'Forecast'!$I$17,0))</f>
        <v/>
      </c>
      <c r="J33" s="22">
        <f>('Forecast'!$K$13-'Forecast'!$J$13)*(1-IFERROR('Forecast'!$J$18/'Forecast'!$J$17,0))</f>
        <v/>
      </c>
      <c r="K33" s="22">
        <f>('Forecast'!$L$13-'Forecast'!$K$13)*(1-IFERROR('Forecast'!$K$18/'Forecast'!$K$17,0))</f>
        <v/>
      </c>
    </row>
    <row r="34">
      <c r="A34" s="6" t="inlineStr">
        <is>
          <t>(-) D&amp;A effect</t>
        </is>
      </c>
      <c r="B34" s="22">
        <f>-('Forecast'!$C$14-'Forecast'!$B$14)*(1-IFERROR('Forecast'!$B$18/'Forecast'!$B$17,0))</f>
        <v/>
      </c>
      <c r="C34" s="22">
        <f>-('Forecast'!$D$14-'Forecast'!$C$14)*(1-IFERROR('Forecast'!$C$18/'Forecast'!$C$17,0))</f>
        <v/>
      </c>
      <c r="D34" s="22">
        <f>-('Forecast'!$E$14-'Forecast'!$D$14)*(1-IFERROR('Forecast'!$D$18/'Forecast'!$D$17,0))</f>
        <v/>
      </c>
      <c r="E34" s="22">
        <f>-('Forecast'!$F$14-'Forecast'!$E$14)*(1-IFERROR('Forecast'!$E$18/'Forecast'!$E$17,0))</f>
        <v/>
      </c>
      <c r="F34" s="22">
        <f>-('Forecast'!$G$14-'Forecast'!$F$14)*(1-IFERROR('Forecast'!$F$18/'Forecast'!$F$17,0))</f>
        <v/>
      </c>
      <c r="G34" s="22">
        <f>-('Forecast'!$H$14-'Forecast'!$G$14)*(1-IFERROR('Forecast'!$G$18/'Forecast'!$G$17,0))</f>
        <v/>
      </c>
      <c r="H34" s="22">
        <f>-('Forecast'!$I$14-'Forecast'!$H$14)*(1-IFERROR('Forecast'!$H$18/'Forecast'!$H$17,0))</f>
        <v/>
      </c>
      <c r="I34" s="22">
        <f>-('Forecast'!$J$14-'Forecast'!$I$14)*(1-IFERROR('Forecast'!$I$18/'Forecast'!$I$17,0))</f>
        <v/>
      </c>
      <c r="J34" s="22">
        <f>-('Forecast'!$K$14-'Forecast'!$J$14)*(1-IFERROR('Forecast'!$J$18/'Forecast'!$J$17,0))</f>
        <v/>
      </c>
      <c r="K34" s="22">
        <f>-('Forecast'!$L$14-'Forecast'!$K$14)*(1-IFERROR('Forecast'!$K$18/'Forecast'!$K$17,0))</f>
        <v/>
      </c>
    </row>
    <row r="35">
      <c r="A35" s="6" t="inlineStr">
        <is>
          <t>(-) Financing (net interest) effect</t>
        </is>
      </c>
      <c r="B35" s="22">
        <f>-('Forecast'!$C$16-'Forecast'!$B$16)*(1-IFERROR('Forecast'!$B$18/'Forecast'!$B$17,0))</f>
        <v/>
      </c>
      <c r="C35" s="22">
        <f>-('Forecast'!$D$16-'Forecast'!$C$16)*(1-IFERROR('Forecast'!$C$18/'Forecast'!$C$17,0))</f>
        <v/>
      </c>
      <c r="D35" s="22">
        <f>-('Forecast'!$E$16-'Forecast'!$D$16)*(1-IFERROR('Forecast'!$D$18/'Forecast'!$D$17,0))</f>
        <v/>
      </c>
      <c r="E35" s="22">
        <f>-('Forecast'!$F$16-'Forecast'!$E$16)*(1-IFERROR('Forecast'!$E$18/'Forecast'!$E$17,0))</f>
        <v/>
      </c>
      <c r="F35" s="22">
        <f>-('Forecast'!$G$16-'Forecast'!$F$16)*(1-IFERROR('Forecast'!$F$18/'Forecast'!$F$17,0))</f>
        <v/>
      </c>
      <c r="G35" s="22">
        <f>-('Forecast'!$H$16-'Forecast'!$G$16)*(1-IFERROR('Forecast'!$G$18/'Forecast'!$G$17,0))</f>
        <v/>
      </c>
      <c r="H35" s="22">
        <f>-('Forecast'!$I$16-'Forecast'!$H$16)*(1-IFERROR('Forecast'!$H$18/'Forecast'!$H$17,0))</f>
        <v/>
      </c>
      <c r="I35" s="22">
        <f>-('Forecast'!$J$16-'Forecast'!$I$16)*(1-IFERROR('Forecast'!$I$18/'Forecast'!$I$17,0))</f>
        <v/>
      </c>
      <c r="J35" s="22">
        <f>-('Forecast'!$K$16-'Forecast'!$J$16)*(1-IFERROR('Forecast'!$J$18/'Forecast'!$J$17,0))</f>
        <v/>
      </c>
      <c r="K35" s="22">
        <f>-('Forecast'!$L$16-'Forecast'!$K$16)*(1-IFERROR('Forecast'!$K$18/'Forecast'!$K$17,0))</f>
        <v/>
      </c>
    </row>
    <row r="36">
      <c r="A36" s="6" t="inlineStr">
        <is>
          <t>(-) Tax-rate effect</t>
        </is>
      </c>
      <c r="B36" s="22">
        <f>-'Forecast'!$C$17*(IFERROR('Forecast'!$C$18/'Forecast'!$C$17,0)-IFERROR('Forecast'!$B$18/'Forecast'!$B$17,0))</f>
        <v/>
      </c>
      <c r="C36" s="22">
        <f>-'Forecast'!$D$17*(IFERROR('Forecast'!$D$18/'Forecast'!$D$17,0)-IFERROR('Forecast'!$C$18/'Forecast'!$C$17,0))</f>
        <v/>
      </c>
      <c r="D36" s="22">
        <f>-'Forecast'!$E$17*(IFERROR('Forecast'!$E$18/'Forecast'!$E$17,0)-IFERROR('Forecast'!$D$18/'Forecast'!$D$17,0))</f>
        <v/>
      </c>
      <c r="E36" s="22">
        <f>-'Forecast'!$F$17*(IFERROR('Forecast'!$F$18/'Forecast'!$F$17,0)-IFERROR('Forecast'!$E$18/'Forecast'!$E$17,0))</f>
        <v/>
      </c>
      <c r="F36" s="22">
        <f>-'Forecast'!$G$17*(IFERROR('Forecast'!$G$18/'Forecast'!$G$17,0)-IFERROR('Forecast'!$F$18/'Forecast'!$F$17,0))</f>
        <v/>
      </c>
      <c r="G36" s="22">
        <f>-'Forecast'!$H$17*(IFERROR('Forecast'!$H$18/'Forecast'!$H$17,0)-IFERROR('Forecast'!$G$18/'Forecast'!$G$17,0))</f>
        <v/>
      </c>
      <c r="H36" s="22">
        <f>-'Forecast'!$I$17*(IFERROR('Forecast'!$I$18/'Forecast'!$I$17,0)-IFERROR('Forecast'!$H$18/'Forecast'!$H$17,0))</f>
        <v/>
      </c>
      <c r="I36" s="22">
        <f>-'Forecast'!$J$17*(IFERROR('Forecast'!$J$18/'Forecast'!$J$17,0)-IFERROR('Forecast'!$I$18/'Forecast'!$I$17,0))</f>
        <v/>
      </c>
      <c r="J36" s="22">
        <f>-'Forecast'!$K$17*(IFERROR('Forecast'!$K$18/'Forecast'!$K$17,0)-IFERROR('Forecast'!$J$18/'Forecast'!$J$17,0))</f>
        <v/>
      </c>
      <c r="K36" s="22">
        <f>-'Forecast'!$L$17*(IFERROR('Forecast'!$L$18/'Forecast'!$L$17,0)-IFERROR('Forecast'!$K$18/'Forecast'!$K$17,0))</f>
        <v/>
      </c>
    </row>
    <row r="37">
      <c r="A37" s="24" t="inlineStr">
        <is>
          <t>(=) Current net income</t>
        </is>
      </c>
      <c r="B37" s="36">
        <f>'Forecast'!$C$19</f>
        <v/>
      </c>
      <c r="C37" s="36">
        <f>'Forecast'!$D$19</f>
        <v/>
      </c>
      <c r="D37" s="36">
        <f>'Forecast'!$E$19</f>
        <v/>
      </c>
      <c r="E37" s="36">
        <f>'Forecast'!$F$19</f>
        <v/>
      </c>
      <c r="F37" s="36">
        <f>'Forecast'!$G$19</f>
        <v/>
      </c>
      <c r="G37" s="36">
        <f>'Forecast'!$H$19</f>
        <v/>
      </c>
      <c r="H37" s="36">
        <f>'Forecast'!$I$19</f>
        <v/>
      </c>
      <c r="I37" s="36">
        <f>'Forecast'!$J$19</f>
        <v/>
      </c>
      <c r="J37" s="36">
        <f>'Forecast'!$K$19</f>
        <v/>
      </c>
      <c r="K37" s="36">
        <f>'Forecast'!$L$19</f>
        <v/>
      </c>
    </row>
    <row r="38">
      <c r="A38" s="30" t="inlineStr">
        <is>
          <t>Check (effects - actual change)</t>
        </is>
      </c>
      <c r="B38" s="22">
        <f>($B$33+$B$34+$B$35+$B$36)-('Forecast'!$C$19-'Forecast'!$B$19)</f>
        <v/>
      </c>
      <c r="C38" s="22">
        <f>($C$33+$C$34+$C$35+$C$36)-('Forecast'!$D$19-'Forecast'!$C$19)</f>
        <v/>
      </c>
      <c r="D38" s="22">
        <f>($D$33+$D$34+$D$35+$D$36)-('Forecast'!$E$19-'Forecast'!$D$19)</f>
        <v/>
      </c>
      <c r="E38" s="22">
        <f>($E$33+$E$34+$E$35+$E$36)-('Forecast'!$F$19-'Forecast'!$E$19)</f>
        <v/>
      </c>
      <c r="F38" s="22">
        <f>($F$33+$F$34+$F$35+$F$36)-('Forecast'!$G$19-'Forecast'!$F$19)</f>
        <v/>
      </c>
      <c r="G38" s="22">
        <f>($G$33+$G$34+$G$35+$G$36)-('Forecast'!$H$19-'Forecast'!$G$19)</f>
        <v/>
      </c>
      <c r="H38" s="22">
        <f>($H$33+$H$34+$H$35+$H$36)-('Forecast'!$I$19-'Forecast'!$H$19)</f>
        <v/>
      </c>
      <c r="I38" s="22">
        <f>($I$33+$I$34+$I$35+$I$36)-('Forecast'!$J$19-'Forecast'!$I$19)</f>
        <v/>
      </c>
      <c r="J38" s="22">
        <f>($J$33+$J$34+$J$35+$J$36)-('Forecast'!$K$19-'Forecast'!$J$19)</f>
        <v/>
      </c>
      <c r="K38" s="22">
        <f>($K$33+$K$34+$K$35+$K$36)-('Forecast'!$L$19-'Forecast'!$K$19)</f>
        <v/>
      </c>
    </row>
  </sheetData>
  <mergeCells count="8">
    <mergeCell ref="A3:K3"/>
    <mergeCell ref="A7:K7"/>
    <mergeCell ref="A2:K2"/>
    <mergeCell ref="A16:K16"/>
    <mergeCell ref="A10:K10"/>
    <mergeCell ref="A1:K1"/>
    <mergeCell ref="A23:K23"/>
    <mergeCell ref="A31:K3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6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FORECAST DIAGNOSTICS</t>
        </is>
      </c>
    </row>
    <row r="2">
      <c r="A2" s="2" t="inlineStr">
        <is>
          <t>Accounting integrity, reasonableness checks and the Forecast Health Score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 ht="20" customHeight="1">
      <c r="A7" s="5" t="inlineStr">
        <is>
          <t>Forecast Health</t>
        </is>
      </c>
    </row>
    <row r="8">
      <c r="A8" s="24" t="inlineStr">
        <is>
          <t>Forecast Health Score (0-100)</t>
        </is>
      </c>
      <c r="B8" s="10">
        <f>ROUND((COUNTIF(C11:C23,"PASS")+0.5*COUNTIF(C11:C23,"WARN"))/11*100,0)</f>
        <v/>
      </c>
      <c r="C8" s="11" t="n"/>
      <c r="D8" s="3" t="inlineStr">
        <is>
          <t>100 = every check passes. WARN counts as half; FAIL as zero.</t>
        </is>
      </c>
    </row>
    <row r="9">
      <c r="A9" s="6" t="inlineStr">
        <is>
          <t>Checks failed / to review</t>
        </is>
      </c>
      <c r="B9" s="21">
        <f>COUNTIF(C11:C23,"FAIL")&amp;" / "&amp;COUNTIF(C11:C23,"WARN")</f>
        <v/>
      </c>
    </row>
    <row r="10" ht="20" customHeight="1">
      <c r="A10" s="5" t="inlineStr">
        <is>
          <t>Accounting Integrity</t>
        </is>
      </c>
    </row>
    <row r="11">
      <c r="A11" s="6" t="inlineStr">
        <is>
          <t>Historical data present</t>
        </is>
      </c>
      <c r="B11" s="29">
        <f>'Historical'!$C$10</f>
        <v/>
      </c>
      <c r="C11" s="12">
        <f>IF($B$11&gt;=1,"PASS","FAIL")</f>
        <v/>
      </c>
      <c r="D11" s="3" t="inlineStr">
        <is>
          <t>Counts the reported years entered on the Historical sheet. Fails on a blank template.</t>
        </is>
      </c>
    </row>
    <row r="12">
      <c r="A12" s="6" t="inlineStr">
        <is>
          <t>Historical statements tie</t>
        </is>
      </c>
      <c r="B12" s="22">
        <f>MAX(MAX('Historical'!$B$45:$P$45),-MIN('Historical'!$B$45:$P$45))</f>
        <v/>
      </c>
      <c r="C12" s="12">
        <f>IF($B$12&lt;=1.0,"PASS","FAIL")</f>
        <v/>
      </c>
      <c r="D12" s="3" t="inlineStr">
        <is>
          <t>Largest |assets - (liabilities + equity)| across the actual years (should be 0).</t>
        </is>
      </c>
    </row>
    <row r="13">
      <c r="A13" s="6" t="inlineStr">
        <is>
          <t>Forecast Assets = Liab + Equity</t>
        </is>
      </c>
      <c r="B13" s="22">
        <f>MAX(MAX('Forecast'!$C$32:$L$32),-MIN('Forecast'!$C$32:$L$32))</f>
        <v/>
      </c>
      <c r="C13" s="12">
        <f>IF($B$13&lt;=1.0,"PASS","FAIL")</f>
        <v/>
      </c>
      <c r="D13" s="3" t="inlineStr">
        <is>
          <t>Largest forecast imbalance (the model reconciles with no plug, so this is 0).</t>
        </is>
      </c>
    </row>
    <row r="15" ht="20" customHeight="1">
      <c r="A15" s="5" t="inlineStr">
        <is>
          <t>Forecast Reasonableness</t>
        </is>
      </c>
    </row>
    <row r="16">
      <c r="A16" s="6" t="inlineStr">
        <is>
          <t>Revenue growth</t>
        </is>
      </c>
      <c r="B16" s="23">
        <f>MAX('Assumptions'!$B$11:$K$11)</f>
        <v/>
      </c>
      <c r="C16" s="12">
        <f>IF(AND(MAX('Assumptions'!$B$11:$K$11)&lt;=0.3,MIN('Assumptions'!$B$11:$K$11)&gt;=-0.2),"PASS","WARN")</f>
        <v/>
      </c>
      <c r="D16" s="3" t="inlineStr">
        <is>
          <t>Warns if any year's growth exceeds 30% or falls below -20%.</t>
        </is>
      </c>
    </row>
    <row r="17">
      <c r="A17" s="6" t="inlineStr">
        <is>
          <t>EBITDA-margin drift (per year)</t>
        </is>
      </c>
      <c r="B17" s="23">
        <f>(IFERROR('Forecast'!$L$13/'Forecast'!$L$12,0)-IFERROR('Forecast'!$C$13/'Forecast'!$C$12,0))/9</f>
        <v/>
      </c>
      <c r="C17" s="12">
        <f>IF(ABS($B$17)&lt;=0.04,"PASS","WARN")</f>
        <v/>
      </c>
      <c r="D17" s="3" t="inlineStr">
        <is>
          <t>Warns if EBITDA margin drifts more than 400 bps per year on average.</t>
        </is>
      </c>
    </row>
    <row r="18">
      <c r="A18" s="6" t="inlineStr">
        <is>
          <t>Positive cash</t>
        </is>
      </c>
      <c r="B18" s="22">
        <f>MIN('Forecast'!$C$21:$L$21)</f>
        <v/>
      </c>
      <c r="C18" s="12">
        <f>IF($B$18&gt;=0,"PASS","FAIL")</f>
        <v/>
      </c>
      <c r="D18" s="3" t="inlineStr">
        <is>
          <t>Fails if the forecast runs cash negative (there is no revolver plug).</t>
        </is>
      </c>
    </row>
    <row r="19">
      <c r="A19" s="6" t="inlineStr">
        <is>
          <t>Positive equity</t>
        </is>
      </c>
      <c r="B19" s="22">
        <f>MIN('Forecast'!$C$30:$L$30)</f>
        <v/>
      </c>
      <c r="C19" s="12">
        <f>IF($B$19&gt;=0,"PASS","FAIL")</f>
        <v/>
      </c>
      <c r="D19" s="3" t="inlineStr">
        <is>
          <t>Fails if forecast equity turns negative.</t>
        </is>
      </c>
    </row>
    <row r="20">
      <c r="A20" s="6" t="inlineStr">
        <is>
          <t>Non-negative debt</t>
        </is>
      </c>
      <c r="B20" s="22">
        <f>MIN('Forecast'!$C$27:$L$27)</f>
        <v/>
      </c>
      <c r="C20" s="12">
        <f>IF($B$20&gt;=0,"PASS","WARN")</f>
        <v/>
      </c>
      <c r="D20" s="3" t="inlineStr">
        <is>
          <t>Warns if net repayment drives the debt balance below zero.</t>
        </is>
      </c>
    </row>
    <row r="21">
      <c r="A21" s="6" t="inlineStr">
        <is>
          <t>Working capital intensity</t>
        </is>
      </c>
      <c r="B21" s="23">
        <f>MAX('Assumptions'!$B$15:$K$15)</f>
        <v/>
      </c>
      <c r="C21" s="12">
        <f>IF($B$21&lt;=0.4,"PASS","WARN")</f>
        <v/>
      </c>
      <c r="D21" s="3" t="inlineStr">
        <is>
          <t>Warns if net working capital exceeds 40% of revenue.</t>
        </is>
      </c>
    </row>
    <row r="22">
      <c r="A22" s="6" t="inlineStr">
        <is>
          <t>Capex intensity</t>
        </is>
      </c>
      <c r="B22" s="23">
        <f>MAX('Assumptions'!$B$14:$K$14)</f>
        <v/>
      </c>
      <c r="C22" s="12">
        <f>IF($B$22&lt;=0.25,"PASS","WARN")</f>
        <v/>
      </c>
      <c r="D22" s="3" t="inlineStr">
        <is>
          <t>Warns if capex exceeds 25% of revenue.</t>
        </is>
      </c>
    </row>
    <row r="23">
      <c r="A23" s="6" t="inlineStr">
        <is>
          <t>Tax rate</t>
        </is>
      </c>
      <c r="B23" s="23">
        <f>MAX('Assumptions'!$B$17:$K$17)</f>
        <v/>
      </c>
      <c r="C23" s="12">
        <f>IF(AND(MAX('Assumptions'!$B$17:$K$17)&lt;=0.5,MIN('Assumptions'!$B$17:$K$17)&gt;=0.0),"PASS","WARN")</f>
        <v/>
      </c>
      <c r="D23" s="3" t="inlineStr">
        <is>
          <t>Warns if the tax rate falls outside 0-50%.</t>
        </is>
      </c>
    </row>
  </sheetData>
  <mergeCells count="8">
    <mergeCell ref="A1:D1"/>
    <mergeCell ref="A3:D3"/>
    <mergeCell ref="A15:D15"/>
    <mergeCell ref="A7:D7"/>
    <mergeCell ref="A2:D2"/>
    <mergeCell ref="B9:C9"/>
    <mergeCell ref="A10:D10"/>
    <mergeCell ref="B8:C8"/>
  </mergeCells>
  <conditionalFormatting sqref="C11:C23">
    <cfRule type="expression" priority="1" dxfId="0" stopIfTrue="1">
      <formula>OR(ISNUMBER(SEARCH("PASS",C11)),ISNUMBER(SEARCH("OK",C11)),ISNUMBER(SEARCH("Balanced",C11)),ISNUMBER(SEARCH("Healthy",C11)),ISNUMBER(SEARCH("Reasonable",C11)),ISNUMBER(SEARCH("Clean",C11)),ISNUMBER(SEARCH("Actual",C11)))</formula>
    </cfRule>
    <cfRule type="expression" priority="2" dxfId="1" stopIfTrue="1">
      <formula>OR(ISNUMBER(SEARCH("WARN",C11)),ISNUMBER(SEARCH("REVIEW",C11)),ISNUMBER(SEARCH("Watch",C11)),ISNUMBER(SEARCH("Elevated",C11)),ISNUMBER(SEARCH("Caution",C11)),ISNUMBER(SEARCH("Check",C11)))</formula>
    </cfRule>
    <cfRule type="expression" priority="3" dxfId="2" stopIfTrue="1">
      <formula>OR(ISNUMBER(SEARCH("FAIL",C11)),ISNUMBER(SEARCH("Negative",C11)),ISNUMBER(SEARCH("Breach",C11)),ISNUMBER(SEARCH("Imbalanced",C11)),ISNUMBER(SEARCH("Error",C11)),ISNUMBER(SEARCH("Unreasonable",C11)))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Institutional Forecasting Engine v2.0</dc:creator>
  <dc:title>&lt;Company name&gt; — Forecasting Engine</dc:title>
  <dcterms:created xsi:type="dcterms:W3CDTF">2026-06-22T18:08:01Z</dcterms:created>
  <dcterms:modified xsi:type="dcterms:W3CDTF">2026-06-22T18:08:01Z</dcterms:modified>
</cp:coreProperties>
</file>
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ettings" sheetId="2" state="visible" r:id="rId2"/>
    <sheet name="Impact Library" sheetId="3" state="visible" r:id="rId3"/>
    <sheet name="Data Tracker" sheetId="4" state="visible" r:id="rId4"/>
    <sheet name="Surprise Engine" sheetId="5" state="visible" r:id="rId5"/>
    <sheet name="Fed Tracker" sheetId="6" state="visible" r:id="rId6"/>
  </sheets>
  <definedNames>
    <definedName name="Fed_Weights">'Settings'!$B$14:$B$20</definedName>
    <definedName name="Lib_Name">'Impact Library'!$B$9:$B$29</definedName>
    <definedName name="Lib_Cat">'Impact Library'!$G$9:$G$29</definedName>
    <definedName name="Lib_Interp_Higher">'Impact Library'!$E$9:$E$29</definedName>
    <definedName name="Lib_Interp_Lower">'Impact Library'!$F$9:$F$29</definedName>
    <definedName name="Lib_PolInfl">'Impact Library'!$P$9:$P$29</definedName>
    <definedName name="Lib_PolGrow">'Impact Library'!$Q$9:$Q$29</definedName>
    <definedName name="Lib_Importance">'Impact Library'!$R$9:$R$29</definedName>
    <definedName name="Lib_Scale">'Impact Library'!$S$9:$S$29</definedName>
    <definedName name="SUR_CAT">'Surprise Engine'!$D$9:$D$48</definedName>
    <definedName name="SUR_INFLIMP">'Surprise Engine'!$K$9:$K$48</definedName>
    <definedName name="SUR_GROWIMP">'Surprise Engine'!$L$9:$L$48</definedName>
    <definedName name="Fed_SubScores">'Fed Tracker'!$C$36:$C$42</definedName>
    <definedName name="Score_Fed">'Fed Tracker'!$C$43</definedName>
    <definedName name="Fed_Bias_Label">'Fed Tracker'!$C$44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0;-0;0"/>
    <numFmt numFmtId="165" formatCode="dd-mmm-yyyy"/>
    <numFmt numFmtId="166" formatCode="+0.00;-0.00;0.00"/>
    <numFmt numFmtId="167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color rgb="006B7986"/>
      <sz val="9"/>
    </font>
    <font>
      <name val="Calibri"/>
      <b val="1"/>
      <color rgb="0020303F"/>
      <sz val="9"/>
    </font>
    <font>
      <name val="Calibri"/>
      <color rgb="0020303F"/>
      <sz val="9"/>
    </font>
    <font>
      <name val="Calibri"/>
      <b val="1"/>
      <color rgb="00FFFFFF"/>
      <sz val="10"/>
    </font>
    <font>
      <name val="Calibri"/>
      <b val="1"/>
      <color rgb="0020303F"/>
      <sz val="10"/>
    </font>
    <font>
      <name val="Calibri"/>
      <color rgb="000000FF"/>
      <sz val="10"/>
    </font>
    <font>
      <name val="Calibri"/>
      <color rgb="001A1A1A"/>
      <sz val="10"/>
    </font>
    <font>
      <name val="Calibri"/>
      <color rgb="001F7A3D"/>
      <sz val="10"/>
    </font>
    <font>
      <name val="Calibri"/>
      <b val="1"/>
      <color rgb="001F7A3D"/>
      <sz val="10"/>
    </font>
    <font>
      <name val="Calibri"/>
      <b val="1"/>
      <color rgb="00FFFFFF"/>
      <sz val="9"/>
    </font>
    <font>
      <name val="Calibri"/>
      <b val="1"/>
      <color rgb="001F7A3D"/>
      <sz val="12"/>
    </font>
  </fonts>
  <fills count="10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F8E1"/>
        <bgColor rgb="00FFF8E1"/>
      </patternFill>
    </fill>
    <fill>
      <patternFill patternType="solid">
        <fgColor rgb="004A789C"/>
        <bgColor rgb="004A789C"/>
      </patternFill>
    </fill>
    <fill>
      <patternFill patternType="solid">
        <fgColor rgb="00FFF7D6"/>
        <bgColor rgb="00FFF7D6"/>
      </patternFill>
    </fill>
    <fill>
      <patternFill patternType="solid">
        <fgColor rgb="00E2EFDA"/>
        <bgColor rgb="00E2EFDA"/>
      </patternFill>
    </fill>
    <fill>
      <patternFill patternType="solid">
        <fgColor rgb="002E5984"/>
        <bgColor rgb="002E5984"/>
      </patternFill>
    </fill>
    <fill>
      <patternFill patternType="solid">
        <fgColor rgb="00E8EEF4"/>
        <bgColor rgb="00E8EEF4"/>
      </patternFill>
    </fill>
    <fill>
      <patternFill patternType="solid">
        <fgColor rgb="00D6EAD9"/>
        <bgColor rgb="00D6EAD9"/>
      </patternFill>
    </fill>
  </fills>
  <borders count="13">
    <border>
      <left/>
      <right/>
      <top/>
      <bottom/>
      <diagonal/>
    </border>
    <border/>
    <border>
      <left style="medium">
        <color rgb="00E6C200"/>
      </left>
      <right style="medium">
        <color rgb="00E6C200"/>
      </right>
      <top style="medium">
        <color rgb="00E6C200"/>
      </top>
      <bottom style="medium">
        <color rgb="00E6C200"/>
      </bottom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left/>
      <right/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 style="thin">
        <color rgb="00D5DCE4"/>
      </bottom>
      <diagonal/>
    </border>
    <border>
      <top style="medium">
        <color rgb="00B7C2CE"/>
      </top>
    </border>
    <border>
      <left/>
      <right/>
      <top style="thin">
        <color rgb="00D5DCE4"/>
      </top>
      <bottom style="thin">
        <color rgb="00D5DCE4"/>
      </bottom>
      <diagonal/>
    </border>
    <border>
      <left/>
      <right/>
      <top style="medium">
        <color rgb="00B7C2CE"/>
      </top>
      <bottom/>
      <diagonal/>
    </border>
    <border>
      <left style="medium">
        <color rgb="00B7C2CE"/>
      </left>
      <right style="medium">
        <color rgb="00B7C2CE"/>
      </right>
      <top style="medium">
        <color rgb="00B7C2CE"/>
      </top>
      <bottom style="medium">
        <color rgb="00B7C2CE"/>
      </bottom>
    </border>
    <border>
      <left/>
      <right style="medium">
        <color rgb="00B7C2CE"/>
      </right>
      <top style="medium">
        <color rgb="00B7C2CE"/>
      </top>
      <bottom/>
      <diagonal/>
    </border>
    <border>
      <left/>
      <right style="medium">
        <color rgb="00B7C2CE"/>
      </right>
      <top style="medium">
        <color rgb="00B7C2CE"/>
      </top>
      <bottom style="medium">
        <color rgb="00B7C2CE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5" borderId="3" applyAlignment="1" applyProtection="1" pivotButton="0" quotePrefix="0" xfId="0">
      <alignment horizontal="center" vertical="center"/>
      <protection locked="0" hidden="0"/>
    </xf>
    <xf numFmtId="0" fontId="0" fillId="0" borderId="6" applyProtection="1" pivotButton="0" quotePrefix="0" xfId="0">
      <protection locked="0" hidden="0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right" vertical="center"/>
    </xf>
    <xf numFmtId="0" fontId="11" fillId="6" borderId="3" applyAlignment="1" pivotButton="0" quotePrefix="0" xfId="0">
      <alignment horizontal="left" vertical="center"/>
    </xf>
    <xf numFmtId="0" fontId="0" fillId="0" borderId="6" pivotButton="0" quotePrefix="0" xfId="0"/>
    <xf numFmtId="0" fontId="3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2" fontId="8" fillId="5" borderId="3" applyAlignment="1" applyProtection="1" pivotButton="0" quotePrefix="0" xfId="0">
      <alignment horizontal="right" vertical="center"/>
      <protection locked="0" hidden="0"/>
    </xf>
    <xf numFmtId="0" fontId="7" fillId="8" borderId="7" applyAlignment="1" pivotButton="0" quotePrefix="0" xfId="0">
      <alignment horizontal="left" vertical="center"/>
    </xf>
    <xf numFmtId="2" fontId="7" fillId="8" borderId="7" applyAlignment="1" pivotButton="0" quotePrefix="0" xfId="0">
      <alignment horizontal="right" vertical="center"/>
    </xf>
    <xf numFmtId="0" fontId="7" fillId="0" borderId="3" applyAlignment="1" pivotButton="0" quotePrefix="0" xfId="0">
      <alignment horizontal="center" vertical="center"/>
    </xf>
    <xf numFmtId="0" fontId="0" fillId="0" borderId="8" pivotButton="0" quotePrefix="0" xfId="0"/>
    <xf numFmtId="0" fontId="12" fillId="7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5" fontId="8" fillId="5" borderId="3" applyAlignment="1" applyProtection="1" pivotButton="0" quotePrefix="0" xfId="0">
      <alignment horizontal="center" vertical="center"/>
      <protection locked="0" hidden="0"/>
    </xf>
    <xf numFmtId="0" fontId="8" fillId="5" borderId="3" applyAlignment="1" applyProtection="1" pivotButton="0" quotePrefix="0" xfId="0">
      <alignment horizontal="left" vertical="center"/>
      <protection locked="0" hidden="0"/>
    </xf>
    <xf numFmtId="166" fontId="9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2" fontId="10" fillId="0" borderId="1" applyAlignment="1" pivotButton="0" quotePrefix="0" xfId="0">
      <alignment horizontal="right" vertical="center"/>
    </xf>
    <xf numFmtId="2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1" fontId="9" fillId="0" borderId="1" applyAlignment="1" pivotButton="0" quotePrefix="0" xfId="0">
      <alignment horizontal="right" vertical="center"/>
    </xf>
    <xf numFmtId="1" fontId="8" fillId="5" borderId="3" applyAlignment="1" applyProtection="1" pivotButton="0" quotePrefix="0" xfId="0">
      <alignment horizontal="right" vertical="center"/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pivotButton="0" quotePrefix="0" xfId="0"/>
    <xf numFmtId="0" fontId="13" fillId="9" borderId="10" applyAlignment="1" pivotButton="0" quotePrefix="0" xfId="0">
      <alignment horizontal="center" vertical="center"/>
    </xf>
    <xf numFmtId="0" fontId="0" fillId="0" borderId="12" pivotButton="0" quotePrefix="0" xfId="0"/>
  </cellXfs>
  <cellStyles count="1">
    <cellStyle name="Normal" xfId="0" builtinId="0" hidden="0"/>
  </cellStyles>
  <dxfs count="6">
    <dxf>
      <font>
        <name val="Calibri"/>
        <b val="1"/>
        <color rgb="001F7A3D"/>
        <sz val="10"/>
      </font>
      <fill>
        <patternFill patternType="solid">
          <fgColor rgb="00C6EFCE"/>
          <bgColor rgb="00C6EFCE"/>
        </patternFill>
      </fill>
    </dxf>
    <dxf>
      <font>
        <name val="Calibri"/>
        <b val="1"/>
        <color rgb="009C6500"/>
        <sz val="10"/>
      </font>
      <fill>
        <patternFill patternType="solid">
          <fgColor rgb="00FFEB9C"/>
          <bgColor rgb="00FFEB9C"/>
        </patternFill>
      </fill>
    </dxf>
    <dxf>
      <font>
        <name val="Calibri"/>
        <b val="1"/>
        <color rgb="002E5984"/>
        <sz val="10"/>
      </font>
      <fill>
        <patternFill patternType="solid">
          <fgColor rgb="00DDEBF7"/>
          <bgColor rgb="00DDEBF7"/>
        </patternFill>
      </fill>
    </dxf>
    <dxf>
      <font>
        <name val="Calibri"/>
        <b val="1"/>
        <color rgb="00595959"/>
        <sz val="10"/>
      </font>
      <fill>
        <patternFill patternType="solid">
          <fgColor rgb="00EDEDED"/>
          <bgColor rgb="00EDEDED"/>
        </patternFill>
      </fill>
    </dxf>
    <dxf>
      <font>
        <name val="Calibri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Calibri"/>
        <b val="1"/>
        <color rgb="001F7A3D"/>
        <sz val="10"/>
      </font>
      <fill>
        <patternFill patternType="solid">
          <fgColor rgb="00E3F2E1"/>
          <bgColor rgb="00E3F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Settings'!A1" TargetMode="External" Id="rId2" /><Relationship Type="http://schemas.openxmlformats.org/officeDocument/2006/relationships/hyperlink" Target="#'Impact Library'!A1" TargetMode="External" Id="rId3" /><Relationship Type="http://schemas.openxmlformats.org/officeDocument/2006/relationships/hyperlink" Target="#'Data Tracker'!A1" TargetMode="External" Id="rId4" /><Relationship Type="http://schemas.openxmlformats.org/officeDocument/2006/relationships/hyperlink" Target="#'Surprise Engine'!A1" TargetMode="External" Id="rId5" /><Relationship Type="http://schemas.openxmlformats.org/officeDocument/2006/relationships/hyperlink" Target="#'Fed Tracker'!A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Settings'!A1" TargetMode="External" Id="rId2" /><Relationship Type="http://schemas.openxmlformats.org/officeDocument/2006/relationships/hyperlink" Target="#'Impact Library'!A1" TargetMode="External" Id="rId3" /><Relationship Type="http://schemas.openxmlformats.org/officeDocument/2006/relationships/hyperlink" Target="#'Data Tracker'!A1" TargetMode="External" Id="rId4" /><Relationship Type="http://schemas.openxmlformats.org/officeDocument/2006/relationships/hyperlink" Target="#'Surprise Engine'!A1" TargetMode="External" Id="rId5" /><Relationship Type="http://schemas.openxmlformats.org/officeDocument/2006/relationships/hyperlink" Target="#'Fed Tracker'!A1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Settings'!A1" TargetMode="External" Id="rId2" /><Relationship Type="http://schemas.openxmlformats.org/officeDocument/2006/relationships/hyperlink" Target="#'Impact Library'!A1" TargetMode="External" Id="rId3" /><Relationship Type="http://schemas.openxmlformats.org/officeDocument/2006/relationships/hyperlink" Target="#'Data Tracker'!A1" TargetMode="External" Id="rId4" /><Relationship Type="http://schemas.openxmlformats.org/officeDocument/2006/relationships/hyperlink" Target="#'Surprise Engine'!A1" TargetMode="External" Id="rId5" /><Relationship Type="http://schemas.openxmlformats.org/officeDocument/2006/relationships/hyperlink" Target="#'Fed Tracker'!A1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Settings'!A1" TargetMode="External" Id="rId2" /><Relationship Type="http://schemas.openxmlformats.org/officeDocument/2006/relationships/hyperlink" Target="#'Impact Library'!A1" TargetMode="External" Id="rId3" /><Relationship Type="http://schemas.openxmlformats.org/officeDocument/2006/relationships/hyperlink" Target="#'Data Tracker'!A1" TargetMode="External" Id="rId4" /><Relationship Type="http://schemas.openxmlformats.org/officeDocument/2006/relationships/hyperlink" Target="#'Surprise Engine'!A1" TargetMode="External" Id="rId5" /><Relationship Type="http://schemas.openxmlformats.org/officeDocument/2006/relationships/hyperlink" Target="#'Fed Tracker'!A1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Settings'!A1" TargetMode="External" Id="rId2" /><Relationship Type="http://schemas.openxmlformats.org/officeDocument/2006/relationships/hyperlink" Target="#'Impact Library'!A1" TargetMode="External" Id="rId3" /><Relationship Type="http://schemas.openxmlformats.org/officeDocument/2006/relationships/hyperlink" Target="#'Data Tracker'!A1" TargetMode="External" Id="rId4" /><Relationship Type="http://schemas.openxmlformats.org/officeDocument/2006/relationships/hyperlink" Target="#'Surprise Engine'!A1" TargetMode="External" Id="rId5" /><Relationship Type="http://schemas.openxmlformats.org/officeDocument/2006/relationships/hyperlink" Target="#'Fed Tracker'!A1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Settings'!A1" TargetMode="External" Id="rId2" /><Relationship Type="http://schemas.openxmlformats.org/officeDocument/2006/relationships/hyperlink" Target="#'Impact Library'!A1" TargetMode="External" Id="rId3" /><Relationship Type="http://schemas.openxmlformats.org/officeDocument/2006/relationships/hyperlink" Target="#'Data Tracker'!A1" TargetMode="External" Id="rId4" /><Relationship Type="http://schemas.openxmlformats.org/officeDocument/2006/relationships/hyperlink" Target="#'Surprise Engine'!A1" TargetMode="External" Id="rId5" /><Relationship Type="http://schemas.openxmlformats.org/officeDocument/2006/relationships/hyperlink" Target="#'Fed Tracker'!A1" TargetMode="External" Id="rId6" /></Relationships>
</file>

<file path=xl/worksheets/sheet1.xml><?xml version="1.0" encoding="utf-8"?>
<worksheet xmlns="http://schemas.openxmlformats.org/spreadsheetml/2006/main">
  <sheetPr>
    <tabColor rgb="006B7986"/>
    <outlinePr summaryBelow="1" summaryRight="1"/>
    <pageSetUpPr fitToPage="1"/>
  </sheetPr>
  <dimension ref="A1:H3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MACRO MARKET INTELLIGENCE SYSTEM</t>
        </is>
      </c>
    </row>
    <row r="2">
      <c r="A2" s="2" t="inlineStr">
        <is>
          <t>Core engine (Phase 1-2) - read this first</t>
        </is>
      </c>
    </row>
    <row r="3">
      <c r="A3" s="3" t="inlineStr">
        <is>
          <t>Macro Market Intelligence System  -  v0.9 (core)</t>
        </is>
      </c>
    </row>
    <row r="5" ht="16" customHeight="1">
      <c r="A5" s="4" t="inlineStr">
        <is>
          <t>What this is</t>
        </is>
      </c>
    </row>
    <row r="6" ht="37" customHeight="1">
      <c r="A6" s="5" t="inlineStr">
        <is>
          <t>This workbook helps you monitor the macro environment and translate it into market and portfolio implications. This is the CORE build: the input log and the first two scoring engines (data surprise and Fed bias). The market modules, scenario tools and executive dashboard follow in the next phase.</t>
        </is>
      </c>
    </row>
    <row r="7" ht="25" customHeight="1">
      <c r="A7" s="5" t="inlineStr">
        <is>
          <t>You maintain just two sheets: the Data Tracker (releases) and the Fed Tracker (policy). Everything else calculates. Tune all weights and lists on the Settings sheet.</t>
        </is>
      </c>
    </row>
    <row r="10" ht="18" customHeight="1">
      <c r="A10" s="6" t="inlineStr">
        <is>
          <t>Colour legend</t>
        </is>
      </c>
    </row>
    <row r="11">
      <c r="A11" s="7" t="inlineStr">
        <is>
          <t>Input - you type here</t>
        </is>
      </c>
      <c r="C11" s="8" t="inlineStr">
        <is>
          <t>example</t>
        </is>
      </c>
      <c r="D11" s="9" t="n"/>
    </row>
    <row r="12">
      <c r="A12" s="7" t="inlineStr">
        <is>
          <t>Formula / derived</t>
        </is>
      </c>
      <c r="C12" s="10" t="inlineStr">
        <is>
          <t>example</t>
        </is>
      </c>
    </row>
    <row r="13">
      <c r="A13" s="7" t="inlineStr">
        <is>
          <t>Linked from another sheet</t>
        </is>
      </c>
      <c r="C13" s="11" t="inlineStr">
        <is>
          <t>example</t>
        </is>
      </c>
    </row>
    <row r="14">
      <c r="A14" s="7" t="inlineStr">
        <is>
          <t>Key output / score</t>
        </is>
      </c>
      <c r="C14" s="12" t="inlineStr">
        <is>
          <t>example</t>
        </is>
      </c>
      <c r="D14" s="13" t="n"/>
    </row>
    <row r="16" ht="18" customHeight="1">
      <c r="A16" s="6" t="inlineStr">
        <is>
          <t>How it flows (3 layers)</t>
        </is>
      </c>
    </row>
    <row r="17">
      <c r="A17" s="14" t="inlineStr">
        <is>
          <t>INPUT  -&gt;  Data Tracker, Fed Tracker, Settings  (you maintain these)</t>
        </is>
      </c>
    </row>
    <row r="18">
      <c r="A18" s="14" t="inlineStr">
        <is>
          <t>ENGINE -&gt;  Surprise Engine, Fed bias score  (formulas score the inputs)</t>
        </is>
      </c>
    </row>
    <row r="19">
      <c r="A19" s="14" t="inlineStr">
        <is>
          <t>OUTPUT -&gt;  signals and arrows you read, and - in the next phase - a one-page dashboard</t>
        </is>
      </c>
    </row>
    <row r="21" ht="18" customHeight="1">
      <c r="A21" s="6" t="inlineStr">
        <is>
          <t>Contents (click to jump)</t>
        </is>
      </c>
    </row>
    <row r="22">
      <c r="A22" s="10" t="inlineStr">
        <is>
          <t>Cover</t>
        </is>
      </c>
      <c r="C22" s="14" t="inlineStr">
        <is>
          <t>This page - guide, legend and contents.</t>
        </is>
      </c>
    </row>
    <row r="23">
      <c r="A23" s="10" t="inlineStr">
        <is>
          <t>Settings</t>
        </is>
      </c>
      <c r="C23" s="14" t="inlineStr">
        <is>
          <t>Control panel: dropdown lists, Fed score weights, thresholds.</t>
        </is>
      </c>
    </row>
    <row r="24">
      <c r="A24" s="10" t="inlineStr">
        <is>
          <t>Impact Library</t>
        </is>
      </c>
      <c r="C24" s="14" t="inlineStr">
        <is>
          <t>How each of 21 macro indicators usually moves markets.</t>
        </is>
      </c>
    </row>
    <row r="25">
      <c r="A25" s="10" t="inlineStr">
        <is>
          <t>Data Tracker</t>
        </is>
      </c>
      <c r="C25" s="14" t="inlineStr">
        <is>
          <t>Log every release here (an input sheet).</t>
        </is>
      </c>
    </row>
    <row r="26">
      <c r="A26" s="10" t="inlineStr">
        <is>
          <t>Surprise Engine</t>
        </is>
      </c>
      <c r="C26" s="14" t="inlineStr">
        <is>
          <t>Scores each release: surprise vs forecast -&gt; signals -&gt; asset arrows.</t>
        </is>
      </c>
    </row>
    <row r="27">
      <c r="A27" s="10" t="inlineStr">
        <is>
          <t>Fed Tracker</t>
        </is>
      </c>
      <c r="C27" s="14" t="inlineStr">
        <is>
          <t>Fed policy state, speeches, and the hawkish/dovish score.</t>
        </is>
      </c>
    </row>
    <row r="29" ht="18" customHeight="1">
      <c r="A29" s="6" t="inlineStr">
        <is>
          <t>Coming in the next build phase</t>
        </is>
      </c>
    </row>
    <row r="30">
      <c r="A30" s="14" t="inlineStr">
        <is>
          <t>Executive Dashboard  ·  USD Dashboard  ·  Bond Module  ·  Geopolitical Risk  ·  Oil &amp; Commodity  ·  Cross-Asset Matrix  ·  Scenario Engine  ·  Regime Classifier  ·  Portfolio Link  ·  Market Note Generator  ·  Watchlist  ·  Executive Snapshot  ·  Glossary</t>
        </is>
      </c>
    </row>
    <row r="32" ht="18" customHeight="1">
      <c r="A32" s="6" t="inlineStr">
        <is>
          <t>How to update</t>
        </is>
      </c>
    </row>
    <row r="33" ht="25" customHeight="1">
      <c r="A33" s="14" t="inlineStr">
        <is>
          <t>Daily/on release: add a row to the Data Tracker (pick the indicator from the dropdown), enter Actual / Forecast / Previous. The Surprise Engine scores it instantly.</t>
        </is>
      </c>
    </row>
    <row r="34" ht="14" customHeight="1">
      <c r="A34" s="14" t="inlineStr">
        <is>
          <t>Weekly: update the Fed Tracker (speeches, implied path, yield moves) and re-read the Fed bias score.</t>
        </is>
      </c>
    </row>
    <row r="35" ht="14" customHeight="1">
      <c r="A35" s="14" t="inlineStr">
        <is>
          <t>As needed: adjust weights, lists or indicator polarity on Settings / Impact Library.</t>
        </is>
      </c>
    </row>
    <row r="37" ht="16" customHeight="1">
      <c r="A37" s="4" t="inlineStr">
        <is>
          <t>Disclaimer</t>
        </is>
      </c>
    </row>
    <row r="38" ht="25" customHeight="1">
      <c r="A38" s="5" t="inlineStr">
        <is>
          <t>Intelligence and decision-support tool for monitoring macro and geopolitical risk. Its scores are transparent, weighted heuristics - a structured way to organise judgement, not a guaranteed predictor of market moves.</t>
        </is>
      </c>
    </row>
  </sheetData>
  <mergeCells count="30">
    <mergeCell ref="C25:H25"/>
    <mergeCell ref="A30:H30"/>
    <mergeCell ref="C22:H22"/>
    <mergeCell ref="C14:D14"/>
    <mergeCell ref="A1:H1"/>
    <mergeCell ref="A6:H6"/>
    <mergeCell ref="A7:H7"/>
    <mergeCell ref="C27:H27"/>
    <mergeCell ref="A16:H16"/>
    <mergeCell ref="C23:H23"/>
    <mergeCell ref="A37:H37"/>
    <mergeCell ref="A18:H18"/>
    <mergeCell ref="C12:D12"/>
    <mergeCell ref="A3:H3"/>
    <mergeCell ref="A21:H21"/>
    <mergeCell ref="C11:D11"/>
    <mergeCell ref="A2:H2"/>
    <mergeCell ref="A33:H33"/>
    <mergeCell ref="A5:H5"/>
    <mergeCell ref="A32:H32"/>
    <mergeCell ref="A17:H17"/>
    <mergeCell ref="C24:H24"/>
    <mergeCell ref="A29:H29"/>
    <mergeCell ref="A35:H35"/>
    <mergeCell ref="A38:H38"/>
    <mergeCell ref="A10:H10"/>
    <mergeCell ref="A19:H19"/>
    <mergeCell ref="C13:D13"/>
    <mergeCell ref="C26:H26"/>
    <mergeCell ref="A34:H34"/>
  </mergeCells>
  <hyperlinks>
    <hyperlink xmlns:r="http://schemas.openxmlformats.org/officeDocument/2006/relationships" ref="A22" r:id="rId1"/>
    <hyperlink xmlns:r="http://schemas.openxmlformats.org/officeDocument/2006/relationships" ref="A23" r:id="rId2"/>
    <hyperlink xmlns:r="http://schemas.openxmlformats.org/officeDocument/2006/relationships" ref="A24" r:id="rId3"/>
    <hyperlink xmlns:r="http://schemas.openxmlformats.org/officeDocument/2006/relationships" ref="A25" r:id="rId4"/>
    <hyperlink xmlns:r="http://schemas.openxmlformats.org/officeDocument/2006/relationships" ref="A26" r:id="rId5"/>
    <hyperlink xmlns:r="http://schemas.openxmlformats.org/officeDocument/2006/relationships" ref="A27" r:id="rId6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6B7986"/>
    <outlinePr summaryBelow="1" summaryRight="1"/>
    <pageSetUpPr fitToPage="1"/>
  </sheetPr>
  <dimension ref="A1:I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SETTINGS &amp; LISTS</t>
        </is>
      </c>
    </row>
    <row r="2">
      <c r="A2" s="2" t="inlineStr">
        <is>
          <t>One control panel: every dropdown list, weight and threshold</t>
        </is>
      </c>
    </row>
    <row r="3">
      <c r="A3" s="3" t="inlineStr">
        <is>
          <t>Macro Market Intelligence System  -  v0.9 (core)</t>
        </is>
      </c>
    </row>
    <row r="5">
      <c r="A5" s="15" t="inlineStr">
        <is>
          <t>Cover</t>
        </is>
      </c>
      <c r="B5" s="15" t="inlineStr">
        <is>
          <t>Settings</t>
        </is>
      </c>
      <c r="C5" s="15" t="inlineStr">
        <is>
          <t>Impact Library</t>
        </is>
      </c>
      <c r="D5" s="15" t="inlineStr">
        <is>
          <t>Data Tracker</t>
        </is>
      </c>
      <c r="E5" s="15" t="inlineStr">
        <is>
          <t>Surprise Engine</t>
        </is>
      </c>
      <c r="F5" s="15" t="inlineStr">
        <is>
          <t>Fed Tracker</t>
        </is>
      </c>
    </row>
    <row r="8" ht="16" customHeight="1">
      <c r="A8" s="4" t="inlineStr">
        <is>
          <t>What this sheet does</t>
        </is>
      </c>
    </row>
    <row r="9" ht="25" customHeight="1">
      <c r="A9" s="5" t="inlineStr">
        <is>
          <t>Nothing analytical is hidden. Tune the model here: change a weight or a list and every sheet that uses it updates. The Fed weights below are the only numbers that change how the Fed bias score is calculated.</t>
        </is>
      </c>
    </row>
    <row r="12" ht="18" customHeight="1">
      <c r="A12" s="6" t="inlineStr">
        <is>
          <t>Fed bias score - sub-score weights (must sum to 1.00)</t>
        </is>
      </c>
    </row>
    <row r="13">
      <c r="A13" s="16" t="inlineStr">
        <is>
          <t>Sub-score</t>
        </is>
      </c>
      <c r="B13" s="17" t="inlineStr">
        <is>
          <t>Weight</t>
        </is>
      </c>
      <c r="C13" s="16" t="inlineStr">
        <is>
          <t>What it captures</t>
        </is>
      </c>
    </row>
    <row r="14">
      <c r="A14" s="7" t="inlineStr">
        <is>
          <t>Inflation surprises</t>
        </is>
      </c>
      <c r="B14" s="18" t="n">
        <v>0.25</v>
      </c>
      <c r="C14" s="14" t="inlineStr">
        <is>
          <t>CPI / Core CPI / PCE surprises (from the Surprise Engine)</t>
        </is>
      </c>
    </row>
    <row r="15">
      <c r="A15" s="7" t="inlineStr">
        <is>
          <t>Labor-market strength</t>
        </is>
      </c>
      <c r="B15" s="18" t="n">
        <v>0.2</v>
      </c>
      <c r="C15" s="14" t="inlineStr">
        <is>
          <t>payrolls / unemployment / wages / claims / JOLTS surprises</t>
        </is>
      </c>
    </row>
    <row r="16">
      <c r="A16" s="7" t="inlineStr">
        <is>
          <t>Growth strength</t>
        </is>
      </c>
      <c r="B16" s="18" t="n">
        <v>0.15</v>
      </c>
      <c r="C16" s="14" t="inlineStr">
        <is>
          <t>GDP / ISM / PMI / retail growth surprises</t>
        </is>
      </c>
    </row>
    <row r="17">
      <c r="A17" s="7" t="inlineStr">
        <is>
          <t>Fed-speech tone</t>
        </is>
      </c>
      <c r="B17" s="18" t="n">
        <v>0.15</v>
      </c>
      <c r="C17" s="14" t="inlineStr">
        <is>
          <t>your read of recent Fed speeches (-2..+2)</t>
        </is>
      </c>
    </row>
    <row r="18">
      <c r="A18" s="7" t="inlineStr">
        <is>
          <t>Market-implied rate change</t>
        </is>
      </c>
      <c r="B18" s="18" t="n">
        <v>0.1</v>
      </c>
      <c r="C18" s="14" t="inlineStr">
        <is>
          <t>change in the market-implied policy path (bps)</t>
        </is>
      </c>
    </row>
    <row r="19">
      <c r="A19" s="7" t="inlineStr">
        <is>
          <t>Yield-curve move (2Y)</t>
        </is>
      </c>
      <c r="B19" s="18" t="n">
        <v>0.1</v>
      </c>
      <c r="C19" s="14" t="inlineStr">
        <is>
          <t>2Y Treasury yield move since the last meeting (bps)</t>
        </is>
      </c>
    </row>
    <row r="20">
      <c r="A20" s="7" t="inlineStr">
        <is>
          <t>Real-yield move (10Y)</t>
        </is>
      </c>
      <c r="B20" s="18" t="n">
        <v>0.05</v>
      </c>
      <c r="C20" s="14" t="inlineStr">
        <is>
          <t>10Y real-yield move (bps)</t>
        </is>
      </c>
    </row>
    <row r="21">
      <c r="A21" s="19" t="inlineStr">
        <is>
          <t>Total</t>
        </is>
      </c>
      <c r="B21" s="20">
        <f>SUM(B14:B20)</f>
        <v/>
      </c>
      <c r="C21" s="21">
        <f>IF(ABS(B21-1)&lt;0.001,"OK - weights sum to 1.00","WARNING: weights must sum to 1.00")</f>
        <v/>
      </c>
      <c r="D21" s="22" t="n"/>
      <c r="E21" s="22" t="n"/>
      <c r="F21" s="22" t="n"/>
      <c r="G21" s="22" t="n"/>
      <c r="H21" s="22" t="n"/>
      <c r="I21" s="13" t="n"/>
    </row>
    <row r="23" ht="18" customHeight="1">
      <c r="A23" s="6" t="inlineStr">
        <is>
          <t>Fed bias bands (applied to the composite score)</t>
        </is>
      </c>
    </row>
    <row r="24">
      <c r="A24" s="14" t="inlineStr">
        <is>
          <t>score &gt;= +1.00 -&gt; Hawkish  ·  score &gt;= +0.33 -&gt; Mildly hawkish  ·  score &gt;= -0.33 -&gt; Neutral  ·  score &gt;= -1.00 -&gt; Mildly dovish  ·  below -1.00 -&gt; Dovish</t>
        </is>
      </c>
    </row>
    <row r="25">
      <c r="A25" s="14" t="inlineStr">
        <is>
          <t>Surprise Engine z-score bands:  |z| &lt; 0.5 = Neutral · z &gt;= 0.5 = Hot (above forecast) · z &lt;= -0.5 = Cold (below forecast).</t>
        </is>
      </c>
    </row>
    <row r="27" ht="18" customHeight="1">
      <c r="A27" s="6" t="inlineStr">
        <is>
          <t>Dropdown lists (reference)</t>
        </is>
      </c>
    </row>
    <row r="28">
      <c r="A28" s="7" t="inlineStr">
        <is>
          <t>Country/Region</t>
        </is>
      </c>
      <c r="D28" s="7" t="inlineStr">
        <is>
          <t>Frequency</t>
        </is>
      </c>
      <c r="G28" s="7" t="inlineStr">
        <is>
          <t>Importance</t>
        </is>
      </c>
    </row>
    <row r="29">
      <c r="A29" s="14" t="inlineStr">
        <is>
          <t>US</t>
        </is>
      </c>
      <c r="D29" s="14" t="inlineStr">
        <is>
          <t>Monthly</t>
        </is>
      </c>
      <c r="G29" s="14" t="inlineStr">
        <is>
          <t>1</t>
        </is>
      </c>
    </row>
    <row r="30">
      <c r="A30" s="14" t="inlineStr">
        <is>
          <t>Eurozone</t>
        </is>
      </c>
      <c r="D30" s="14" t="inlineStr">
        <is>
          <t>Weekly</t>
        </is>
      </c>
      <c r="G30" s="14" t="inlineStr">
        <is>
          <t>2</t>
        </is>
      </c>
    </row>
    <row r="31">
      <c r="A31" s="14" t="inlineStr">
        <is>
          <t>UK</t>
        </is>
      </c>
      <c r="D31" s="14" t="inlineStr">
        <is>
          <t>Quarterly</t>
        </is>
      </c>
      <c r="G31" s="14" t="inlineStr">
        <is>
          <t>3</t>
        </is>
      </c>
    </row>
    <row r="32">
      <c r="A32" s="14" t="inlineStr">
        <is>
          <t>Japan</t>
        </is>
      </c>
      <c r="D32" s="14" t="inlineStr">
        <is>
          <t>Daily</t>
        </is>
      </c>
      <c r="G32" s="14" t="inlineStr">
        <is>
          <t>4</t>
        </is>
      </c>
    </row>
    <row r="33">
      <c r="A33" s="14" t="inlineStr">
        <is>
          <t>China</t>
        </is>
      </c>
      <c r="D33" s="14" t="inlineStr">
        <is>
          <t>Ad hoc</t>
        </is>
      </c>
      <c r="G33" s="14" t="inlineStr">
        <is>
          <t>5</t>
        </is>
      </c>
    </row>
    <row r="34">
      <c r="A34" s="14" t="inlineStr">
        <is>
          <t>Global</t>
        </is>
      </c>
    </row>
    <row r="35">
      <c r="A35" s="14" t="inlineStr">
        <is>
          <t>Kuwait</t>
        </is>
      </c>
      <c r="D35" s="7" t="inlineStr">
        <is>
          <t>Fed / CB bias</t>
        </is>
      </c>
      <c r="G35" s="7" t="inlineStr">
        <is>
          <t>Direction</t>
        </is>
      </c>
    </row>
    <row r="36">
      <c r="A36" s="14" t="inlineStr">
        <is>
          <t>GCC</t>
        </is>
      </c>
      <c r="D36" s="14" t="inlineStr">
        <is>
          <t>Hawkish</t>
        </is>
      </c>
      <c r="G36" s="14" t="inlineStr">
        <is>
          <t>Up</t>
        </is>
      </c>
    </row>
    <row r="37">
      <c r="A37" s="14" t="inlineStr">
        <is>
          <t>EM</t>
        </is>
      </c>
      <c r="D37" s="14" t="inlineStr">
        <is>
          <t>Mildly hawkish</t>
        </is>
      </c>
      <c r="G37" s="14" t="inlineStr">
        <is>
          <t>Flat</t>
        </is>
      </c>
    </row>
    <row r="38">
      <c r="D38" s="14" t="inlineStr">
        <is>
          <t>Neutral</t>
        </is>
      </c>
      <c r="G38" s="14" t="inlineStr">
        <is>
          <t>Down</t>
        </is>
      </c>
    </row>
    <row r="39">
      <c r="A39" s="7" t="inlineStr">
        <is>
          <t>Confidence</t>
        </is>
      </c>
      <c r="D39" s="14" t="inlineStr">
        <is>
          <t>Mildly dovish</t>
        </is>
      </c>
    </row>
    <row r="40">
      <c r="A40" s="14" t="inlineStr">
        <is>
          <t>Low</t>
        </is>
      </c>
      <c r="D40" s="14" t="inlineStr">
        <is>
          <t>Dovish</t>
        </is>
      </c>
      <c r="G40" s="7" t="inlineStr">
        <is>
          <t>Decision</t>
        </is>
      </c>
    </row>
    <row r="41">
      <c r="A41" s="14" t="inlineStr">
        <is>
          <t>Medium</t>
        </is>
      </c>
      <c r="G41" s="14" t="inlineStr">
        <is>
          <t>Hike</t>
        </is>
      </c>
    </row>
    <row r="42">
      <c r="A42" s="14" t="inlineStr">
        <is>
          <t>High</t>
        </is>
      </c>
      <c r="D42" s="7" t="inlineStr">
        <is>
          <t>Dot-plot</t>
        </is>
      </c>
      <c r="G42" s="14" t="inlineStr">
        <is>
          <t>Hold</t>
        </is>
      </c>
    </row>
    <row r="43">
      <c r="D43" s="14" t="inlineStr">
        <is>
          <t>More hikes</t>
        </is>
      </c>
      <c r="G43" s="14" t="inlineStr">
        <is>
          <t>Cut</t>
        </is>
      </c>
    </row>
    <row r="44">
      <c r="A44" s="7" t="inlineStr">
        <is>
          <t>Speech tone (-2..+2)</t>
        </is>
      </c>
      <c r="D44" s="14" t="inlineStr">
        <is>
          <t>Fewer cuts</t>
        </is>
      </c>
    </row>
    <row r="45">
      <c r="A45" s="14" t="inlineStr">
        <is>
          <t>-2</t>
        </is>
      </c>
      <c r="D45" s="14" t="inlineStr">
        <is>
          <t>On hold</t>
        </is>
      </c>
    </row>
    <row r="46">
      <c r="A46" s="14" t="inlineStr">
        <is>
          <t>-1</t>
        </is>
      </c>
      <c r="D46" s="14" t="inlineStr">
        <is>
          <t>More cuts</t>
        </is>
      </c>
    </row>
    <row r="47">
      <c r="A47" s="14" t="inlineStr">
        <is>
          <t>0</t>
        </is>
      </c>
      <c r="D47" s="14" t="inlineStr">
        <is>
          <t>Cutting</t>
        </is>
      </c>
    </row>
    <row r="48">
      <c r="A48" s="14" t="inlineStr">
        <is>
          <t>1</t>
        </is>
      </c>
    </row>
    <row r="49">
      <c r="A49" s="14" t="inlineStr">
        <is>
          <t>2</t>
        </is>
      </c>
      <c r="D49" s="7" t="inlineStr">
        <is>
          <t>CB bias</t>
        </is>
      </c>
    </row>
    <row r="50">
      <c r="D50" s="14" t="inlineStr">
        <is>
          <t>Hawkish</t>
        </is>
      </c>
    </row>
    <row r="51">
      <c r="A51" s="7" t="inlineStr">
        <is>
          <t>Category</t>
        </is>
      </c>
      <c r="D51" s="14" t="inlineStr">
        <is>
          <t>Mildly hawkish</t>
        </is>
      </c>
    </row>
    <row r="52">
      <c r="A52" s="14" t="inlineStr">
        <is>
          <t>Inflation</t>
        </is>
      </c>
      <c r="D52" s="14" t="inlineStr">
        <is>
          <t>Neutral</t>
        </is>
      </c>
    </row>
    <row r="53">
      <c r="A53" s="14" t="inlineStr">
        <is>
          <t>Labor</t>
        </is>
      </c>
      <c r="D53" s="14" t="inlineStr">
        <is>
          <t>Mildly dovish</t>
        </is>
      </c>
    </row>
    <row r="54">
      <c r="A54" s="14" t="inlineStr">
        <is>
          <t>Growth</t>
        </is>
      </c>
      <c r="D54" s="14" t="inlineStr">
        <is>
          <t>Dovish</t>
        </is>
      </c>
    </row>
    <row r="55">
      <c r="A55" s="14" t="inlineStr">
        <is>
          <t>Trade</t>
        </is>
      </c>
    </row>
    <row r="56">
      <c r="A56" s="14" t="inlineStr">
        <is>
          <t>Fiscal</t>
        </is>
      </c>
    </row>
    <row r="57">
      <c r="A57" s="14" t="inlineStr">
        <is>
          <t>Energy</t>
        </is>
      </c>
    </row>
  </sheetData>
  <mergeCells count="30">
    <mergeCell ref="A25:I25"/>
    <mergeCell ref="C17:I17"/>
    <mergeCell ref="A51:B51"/>
    <mergeCell ref="A27:I27"/>
    <mergeCell ref="A3:I3"/>
    <mergeCell ref="A12:I12"/>
    <mergeCell ref="C19:I19"/>
    <mergeCell ref="C13:I13"/>
    <mergeCell ref="A2:I2"/>
    <mergeCell ref="C18:I18"/>
    <mergeCell ref="D49:E49"/>
    <mergeCell ref="A23:I23"/>
    <mergeCell ref="A8:I8"/>
    <mergeCell ref="G28:H28"/>
    <mergeCell ref="C15:I15"/>
    <mergeCell ref="C14:I14"/>
    <mergeCell ref="C20:I20"/>
    <mergeCell ref="A9:I9"/>
    <mergeCell ref="D28:E28"/>
    <mergeCell ref="C16:I16"/>
    <mergeCell ref="A24:I24"/>
    <mergeCell ref="G35:H35"/>
    <mergeCell ref="D42:E42"/>
    <mergeCell ref="C21:I21"/>
    <mergeCell ref="A28:B28"/>
    <mergeCell ref="A1:I1"/>
    <mergeCell ref="A44:B44"/>
    <mergeCell ref="G40:H40"/>
    <mergeCell ref="A39:B39"/>
    <mergeCell ref="D35:E35"/>
  </mergeCells>
  <conditionalFormatting sqref="C21">
    <cfRule type="cellIs" priority="1" operator="equal" dxfId="0">
      <formula>"OK - weights sum to 1.00"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T2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2" max="2"/>
    <col width="26" customWidth="1" min="3" max="3"/>
    <col width="26" customWidth="1" min="4" max="4"/>
    <col width="30" customWidth="1" min="5" max="5"/>
    <col width="30" customWidth="1" min="6" max="6"/>
    <col width="11" customWidth="1" min="7" max="7"/>
    <col width="20" customWidth="1" min="8" max="8"/>
    <col width="7" customWidth="1" min="9" max="9"/>
    <col width="7" customWidth="1" min="10" max="10"/>
    <col width="7" customWidth="1" min="11" max="11"/>
    <col width="9" customWidth="1" min="12" max="12"/>
    <col width="7" customWidth="1" min="13" max="13"/>
    <col width="7" customWidth="1" min="14" max="14"/>
    <col width="12" customWidth="1" min="15" max="15"/>
    <col width="8" customWidth="1" min="16" max="16"/>
    <col width="8" customWidth="1" min="17" max="17"/>
    <col width="6" customWidth="1" min="18" max="18"/>
    <col width="7" customWidth="1" min="19" max="19"/>
    <col width="34" customWidth="1" min="20" max="20"/>
  </cols>
  <sheetData>
    <row r="1" ht="26" customHeight="1">
      <c r="A1" s="1" t="inlineStr">
        <is>
          <t>INDICATOR IMPACT LIBRARY</t>
        </is>
      </c>
    </row>
    <row r="2">
      <c r="A2" s="2" t="inlineStr">
        <is>
          <t>How each macro indicator usually affects markets (the reference the engines look up)</t>
        </is>
      </c>
    </row>
    <row r="3">
      <c r="A3" s="3" t="inlineStr">
        <is>
          <t>Macro Market Intelligence System  -  v0.9 (core)</t>
        </is>
      </c>
    </row>
    <row r="5">
      <c r="A5" s="15" t="inlineStr">
        <is>
          <t>Cover</t>
        </is>
      </c>
      <c r="B5" s="15" t="inlineStr">
        <is>
          <t>Settings</t>
        </is>
      </c>
      <c r="C5" s="15" t="inlineStr">
        <is>
          <t>Impact Library</t>
        </is>
      </c>
      <c r="D5" s="15" t="inlineStr">
        <is>
          <t>Data Tracker</t>
        </is>
      </c>
      <c r="E5" s="15" t="inlineStr">
        <is>
          <t>Surprise Engine</t>
        </is>
      </c>
      <c r="F5" s="15" t="inlineStr">
        <is>
          <t>Fed Tracker</t>
        </is>
      </c>
    </row>
    <row r="6">
      <c r="A6" s="14" t="inlineStr">
        <is>
          <t>One row per indicator. The Surprise Engine and Fed Tracker look up the polarity, importance and scale columns from here. Edit the text and numbers to fit your own playbook.</t>
        </is>
      </c>
    </row>
    <row r="8" ht="28" customHeight="1">
      <c r="B8" s="23" t="inlineStr">
        <is>
          <t>Indicator</t>
        </is>
      </c>
      <c r="C8" s="23" t="inlineStr">
        <is>
          <t>What it measures</t>
        </is>
      </c>
      <c r="D8" s="23" t="inlineStr">
        <is>
          <t>Why it matters</t>
        </is>
      </c>
      <c r="E8" s="23" t="inlineStr">
        <is>
          <t>Higher-than-expected read</t>
        </is>
      </c>
      <c r="F8" s="23" t="inlineStr">
        <is>
          <t>Lower-than-expected read</t>
        </is>
      </c>
      <c r="G8" s="23" t="inlineStr">
        <is>
          <t>Category</t>
        </is>
      </c>
      <c r="H8" s="23" t="inlineStr">
        <is>
          <t>Fed impact</t>
        </is>
      </c>
      <c r="I8" s="23" t="inlineStr">
        <is>
          <t>USD</t>
        </is>
      </c>
      <c r="J8" s="23" t="inlineStr">
        <is>
          <t>UST yld</t>
        </is>
      </c>
      <c r="K8" s="23" t="inlineStr">
        <is>
          <t>UST px</t>
        </is>
      </c>
      <c r="L8" s="23" t="inlineStr">
        <is>
          <t>Equities</t>
        </is>
      </c>
      <c r="M8" s="23" t="inlineStr">
        <is>
          <t>Gold</t>
        </is>
      </c>
      <c r="N8" s="23" t="inlineStr">
        <is>
          <t>Oil</t>
        </is>
      </c>
      <c r="O8" s="23" t="inlineStr">
        <is>
          <t>GCC</t>
        </is>
      </c>
      <c r="P8" s="23" t="inlineStr">
        <is>
          <t>Pol.Infl</t>
        </is>
      </c>
      <c r="Q8" s="23" t="inlineStr">
        <is>
          <t>Pol.Grow</t>
        </is>
      </c>
      <c r="R8" s="23" t="inlineStr">
        <is>
          <t>Imp</t>
        </is>
      </c>
      <c r="S8" s="23" t="inlineStr">
        <is>
          <t>Scale</t>
        </is>
      </c>
      <c r="T8" s="23" t="inlineStr">
        <is>
          <t>Exceptions / context</t>
        </is>
      </c>
    </row>
    <row r="9" ht="42" customHeight="1">
      <c r="B9" s="7" t="inlineStr">
        <is>
          <t>CPI y/y</t>
        </is>
      </c>
      <c r="C9" s="3" t="inlineStr">
        <is>
          <t>consumer price inflation, headline</t>
        </is>
      </c>
      <c r="D9" s="3" t="inlineStr">
        <is>
          <t>the main inflation gauge; drives Fed expectations and real yields</t>
        </is>
      </c>
      <c r="E9" s="3" t="inlineStr">
        <is>
          <t>Hotter -&gt; hawkish; supports USD &amp; yields, pressures bonds, gold and equities</t>
        </is>
      </c>
      <c r="F9" s="3" t="inlineStr">
        <is>
          <t>Cooler -&gt; dovish; supports bonds, gold and risk assets</t>
        </is>
      </c>
      <c r="G9" s="24" t="inlineStr">
        <is>
          <t>Inflation</t>
        </is>
      </c>
      <c r="H9" s="3" t="inlineStr">
        <is>
          <t>Higher -&gt; fewer / later cuts</t>
        </is>
      </c>
      <c r="I9" s="24" t="inlineStr">
        <is>
          <t>↑</t>
        </is>
      </c>
      <c r="J9" s="24" t="inlineStr">
        <is>
          <t>↑</t>
        </is>
      </c>
      <c r="K9" s="24" t="inlineStr">
        <is>
          <t>↓</t>
        </is>
      </c>
      <c r="L9" s="24" t="inlineStr">
        <is>
          <t>↓</t>
        </is>
      </c>
      <c r="M9" s="24" t="inlineStr">
        <is>
          <t>↓</t>
        </is>
      </c>
      <c r="N9" s="24" t="inlineStr">
        <is>
          <t>↔</t>
        </is>
      </c>
      <c r="O9" s="24" t="inlineStr">
        <is>
          <t>↔ (USD peg)</t>
        </is>
      </c>
      <c r="P9" s="25" t="n">
        <v>1</v>
      </c>
      <c r="Q9" s="25" t="n">
        <v>0</v>
      </c>
      <c r="R9" s="24" t="n">
        <v>5</v>
      </c>
      <c r="S9" s="24" t="n">
        <v>0.2</v>
      </c>
      <c r="T9" s="3" t="inlineStr">
        <is>
          <t>Watch core vs headline; energy and base effects can distort.</t>
        </is>
      </c>
    </row>
    <row r="10" ht="42" customHeight="1">
      <c r="B10" s="7" t="inlineStr">
        <is>
          <t>Core CPI y/y</t>
        </is>
      </c>
      <c r="C10" s="3" t="inlineStr">
        <is>
          <t>CPI excluding food and energy</t>
        </is>
      </c>
      <c r="D10" s="3" t="inlineStr">
        <is>
          <t>cleaner inflation trend the Fed focuses on</t>
        </is>
      </c>
      <c r="E10" s="3" t="inlineStr">
        <is>
          <t>Sticky core -&gt; hawkish; bond- and gold-negative</t>
        </is>
      </c>
      <c r="F10" s="3" t="inlineStr">
        <is>
          <t>Cooling core -&gt; dovish; bond- and gold-positive</t>
        </is>
      </c>
      <c r="G10" s="24" t="inlineStr">
        <is>
          <t>Inflation</t>
        </is>
      </c>
      <c r="H10" s="3" t="inlineStr">
        <is>
          <t>Higher -&gt; hawkish</t>
        </is>
      </c>
      <c r="I10" s="24" t="inlineStr">
        <is>
          <t>↑</t>
        </is>
      </c>
      <c r="J10" s="24" t="inlineStr">
        <is>
          <t>↑</t>
        </is>
      </c>
      <c r="K10" s="24" t="inlineStr">
        <is>
          <t>↓</t>
        </is>
      </c>
      <c r="L10" s="24" t="inlineStr">
        <is>
          <t>↓</t>
        </is>
      </c>
      <c r="M10" s="24" t="inlineStr">
        <is>
          <t>↓</t>
        </is>
      </c>
      <c r="N10" s="24" t="inlineStr">
        <is>
          <t>↔</t>
        </is>
      </c>
      <c r="O10" s="24" t="inlineStr">
        <is>
          <t>↔</t>
        </is>
      </c>
      <c r="P10" s="25" t="n">
        <v>1</v>
      </c>
      <c r="Q10" s="25" t="n">
        <v>0</v>
      </c>
      <c r="R10" s="24" t="n">
        <v>5</v>
      </c>
      <c r="S10" s="24" t="n">
        <v>0.2</v>
      </c>
      <c r="T10" s="3" t="inlineStr">
        <is>
          <t>Shelter lags; core services (ex-housing) is the stickiest part.</t>
        </is>
      </c>
    </row>
    <row r="11" ht="42" customHeight="1">
      <c r="B11" s="7" t="inlineStr">
        <is>
          <t>PCE y/y</t>
        </is>
      </c>
      <c r="C11" s="3" t="inlineStr">
        <is>
          <t>personal consumption price index</t>
        </is>
      </c>
      <c r="D11" s="3" t="inlineStr">
        <is>
          <t>a broad inflation measure across a wide basket</t>
        </is>
      </c>
      <c r="E11" s="3" t="inlineStr">
        <is>
          <t>Hotter -&gt; hawkish</t>
        </is>
      </c>
      <c r="F11" s="3" t="inlineStr">
        <is>
          <t>Cooler -&gt; dovish</t>
        </is>
      </c>
      <c r="G11" s="24" t="inlineStr">
        <is>
          <t>Inflation</t>
        </is>
      </c>
      <c r="H11" s="3" t="inlineStr">
        <is>
          <t>Higher -&gt; hawkish</t>
        </is>
      </c>
      <c r="I11" s="24" t="inlineStr">
        <is>
          <t>↑</t>
        </is>
      </c>
      <c r="J11" s="24" t="inlineStr">
        <is>
          <t>↑</t>
        </is>
      </c>
      <c r="K11" s="24" t="inlineStr">
        <is>
          <t>↓</t>
        </is>
      </c>
      <c r="L11" s="24" t="inlineStr">
        <is>
          <t>↓</t>
        </is>
      </c>
      <c r="M11" s="24" t="inlineStr">
        <is>
          <t>↓</t>
        </is>
      </c>
      <c r="N11" s="24" t="inlineStr">
        <is>
          <t>↔</t>
        </is>
      </c>
      <c r="O11" s="24" t="inlineStr">
        <is>
          <t>↔</t>
        </is>
      </c>
      <c r="P11" s="25" t="n">
        <v>1</v>
      </c>
      <c r="Q11" s="25" t="n">
        <v>0</v>
      </c>
      <c r="R11" s="24" t="n">
        <v>4</v>
      </c>
      <c r="S11" s="24" t="n">
        <v>0.2</v>
      </c>
      <c r="T11" s="3" t="inlineStr">
        <is>
          <t>Broader basket than CPI.</t>
        </is>
      </c>
    </row>
    <row r="12" ht="42" customHeight="1">
      <c r="B12" s="7" t="inlineStr">
        <is>
          <t>Core PCE y/y</t>
        </is>
      </c>
      <c r="C12" s="3" t="inlineStr">
        <is>
          <t>PCE excluding food and energy</t>
        </is>
      </c>
      <c r="D12" s="3" t="inlineStr">
        <is>
          <t>the Fed's PREFERRED inflation gauge (2% target)</t>
        </is>
      </c>
      <c r="E12" s="3" t="inlineStr">
        <is>
          <t>Above target -&gt; hawkish</t>
        </is>
      </c>
      <c r="F12" s="3" t="inlineStr">
        <is>
          <t>Toward target -&gt; dovish</t>
        </is>
      </c>
      <c r="G12" s="24" t="inlineStr">
        <is>
          <t>Inflation</t>
        </is>
      </c>
      <c r="H12" s="3" t="inlineStr">
        <is>
          <t>Higher -&gt; hawkish</t>
        </is>
      </c>
      <c r="I12" s="24" t="inlineStr">
        <is>
          <t>↑</t>
        </is>
      </c>
      <c r="J12" s="24" t="inlineStr">
        <is>
          <t>↑</t>
        </is>
      </c>
      <c r="K12" s="24" t="inlineStr">
        <is>
          <t>↓</t>
        </is>
      </c>
      <c r="L12" s="24" t="inlineStr">
        <is>
          <t>↓</t>
        </is>
      </c>
      <c r="M12" s="24" t="inlineStr">
        <is>
          <t>↓</t>
        </is>
      </c>
      <c r="N12" s="24" t="inlineStr">
        <is>
          <t>↔</t>
        </is>
      </c>
      <c r="O12" s="24" t="inlineStr">
        <is>
          <t>↔</t>
        </is>
      </c>
      <c r="P12" s="25" t="n">
        <v>1</v>
      </c>
      <c r="Q12" s="25" t="n">
        <v>0</v>
      </c>
      <c r="R12" s="24" t="n">
        <v>5</v>
      </c>
      <c r="S12" s="24" t="n">
        <v>0.2</v>
      </c>
      <c r="T12" s="3" t="inlineStr">
        <is>
          <t>This is the Fed's target metric.</t>
        </is>
      </c>
    </row>
    <row r="13" ht="42" customHeight="1">
      <c r="B13" s="7" t="inlineStr">
        <is>
          <t>GDP q/q ann</t>
        </is>
      </c>
      <c r="C13" s="3" t="inlineStr">
        <is>
          <t>real output growth, annualized</t>
        </is>
      </c>
      <c r="D13" s="3" t="inlineStr">
        <is>
          <t>headline growth; expansion vs recession</t>
        </is>
      </c>
      <c r="E13" s="3" t="inlineStr">
        <is>
          <t>Strong -&gt; risk-on, mildly hawkish (delays cuts)</t>
        </is>
      </c>
      <c r="F13" s="3" t="inlineStr">
        <is>
          <t>Weak -&gt; recession fear, dovish</t>
        </is>
      </c>
      <c r="G13" s="24" t="inlineStr">
        <is>
          <t>Growth</t>
        </is>
      </c>
      <c r="H13" s="3" t="inlineStr">
        <is>
          <t>Higher -&gt; mildly hawkish</t>
        </is>
      </c>
      <c r="I13" s="24" t="inlineStr">
        <is>
          <t>↑</t>
        </is>
      </c>
      <c r="J13" s="24" t="inlineStr">
        <is>
          <t>↑</t>
        </is>
      </c>
      <c r="K13" s="24" t="inlineStr">
        <is>
          <t>↑*</t>
        </is>
      </c>
      <c r="L13" s="24" t="inlineStr">
        <is>
          <t>↑</t>
        </is>
      </c>
      <c r="M13" s="24" t="inlineStr">
        <is>
          <t>↔</t>
        </is>
      </c>
      <c r="N13" s="24" t="inlineStr">
        <is>
          <t>↑</t>
        </is>
      </c>
      <c r="O13" s="24" t="inlineStr">
        <is>
          <t>↔</t>
        </is>
      </c>
      <c r="P13" s="25" t="n">
        <v>0</v>
      </c>
      <c r="Q13" s="25" t="n">
        <v>1</v>
      </c>
      <c r="R13" s="24" t="n">
        <v>4</v>
      </c>
      <c r="S13" s="24" t="n">
        <v>0.5</v>
      </c>
      <c r="T13" s="3" t="inlineStr">
        <is>
          <t>Backward-looking; watch composition (inventories, net exports).</t>
        </is>
      </c>
    </row>
    <row r="14" ht="42" customHeight="1">
      <c r="B14" s="7" t="inlineStr">
        <is>
          <t>Nonfarm payrolls</t>
        </is>
      </c>
      <c r="C14" s="3" t="inlineStr">
        <is>
          <t>net new jobs excluding farming</t>
        </is>
      </c>
      <c r="D14" s="3" t="inlineStr">
        <is>
          <t>the top labor print; jobs = income = demand</t>
        </is>
      </c>
      <c r="E14" s="3" t="inlineStr">
        <is>
          <t>Strong jobs -&gt; hawkish; USD &amp; yields up, bonds down</t>
        </is>
      </c>
      <c r="F14" s="3" t="inlineStr">
        <is>
          <t>Weak jobs -&gt; dovish, but recession fear can hit equities</t>
        </is>
      </c>
      <c r="G14" s="24" t="inlineStr">
        <is>
          <t>Labor</t>
        </is>
      </c>
      <c r="H14" s="3" t="inlineStr">
        <is>
          <t>Higher -&gt; hawkish</t>
        </is>
      </c>
      <c r="I14" s="24" t="inlineStr">
        <is>
          <t>↑</t>
        </is>
      </c>
      <c r="J14" s="24" t="inlineStr">
        <is>
          <t>↑</t>
        </is>
      </c>
      <c r="K14" s="24" t="inlineStr">
        <is>
          <t>↓</t>
        </is>
      </c>
      <c r="L14" s="24" t="inlineStr">
        <is>
          <t>Mixed</t>
        </is>
      </c>
      <c r="M14" s="24" t="inlineStr">
        <is>
          <t>↓</t>
        </is>
      </c>
      <c r="N14" s="24" t="inlineStr">
        <is>
          <t>↑</t>
        </is>
      </c>
      <c r="O14" s="24" t="inlineStr">
        <is>
          <t>↔</t>
        </is>
      </c>
      <c r="P14" s="25" t="n">
        <v>1</v>
      </c>
      <c r="Q14" s="25" t="n">
        <v>1</v>
      </c>
      <c r="R14" s="24" t="n">
        <v>5</v>
      </c>
      <c r="S14" s="24" t="n">
        <v>50</v>
      </c>
      <c r="T14" s="3" t="inlineStr">
        <is>
          <t>Revisions and the household survey can flip the read.</t>
        </is>
      </c>
    </row>
    <row r="15" ht="42" customHeight="1">
      <c r="B15" s="7" t="inlineStr">
        <is>
          <t>Unemployment rate</t>
        </is>
      </c>
      <c r="C15" s="3" t="inlineStr">
        <is>
          <t>share of the labor force unemployed</t>
        </is>
      </c>
      <c r="D15" s="3" t="inlineStr">
        <is>
          <t>the Fed's employment mandate; a recession trigger (Sahm rule)</t>
        </is>
      </c>
      <c r="E15" s="3" t="inlineStr">
        <is>
          <t>Higher -&gt; dovish, growth-negative</t>
        </is>
      </c>
      <c r="F15" s="3" t="inlineStr">
        <is>
          <t>Lower -&gt; hawkish, tight labor</t>
        </is>
      </c>
      <c r="G15" s="24" t="inlineStr">
        <is>
          <t>Labor</t>
        </is>
      </c>
      <c r="H15" s="3" t="inlineStr">
        <is>
          <t>Higher -&gt; dovish (cuts)</t>
        </is>
      </c>
      <c r="I15" s="24" t="inlineStr">
        <is>
          <t>↓</t>
        </is>
      </c>
      <c r="J15" s="24" t="inlineStr">
        <is>
          <t>↓</t>
        </is>
      </c>
      <c r="K15" s="24" t="inlineStr">
        <is>
          <t>↑</t>
        </is>
      </c>
      <c r="L15" s="24" t="inlineStr">
        <is>
          <t>Mixed</t>
        </is>
      </c>
      <c r="M15" s="24" t="inlineStr">
        <is>
          <t>↑</t>
        </is>
      </c>
      <c r="N15" s="24" t="inlineStr">
        <is>
          <t>↓</t>
        </is>
      </c>
      <c r="O15" s="24" t="inlineStr">
        <is>
          <t>↔</t>
        </is>
      </c>
      <c r="P15" s="25" t="n">
        <v>-1</v>
      </c>
      <c r="Q15" s="25" t="n">
        <v>-1</v>
      </c>
      <c r="R15" s="24" t="n">
        <v>4</v>
      </c>
      <c r="S15" s="24" t="n">
        <v>0.1</v>
      </c>
      <c r="T15" s="3" t="inlineStr">
        <is>
          <t>Participation swings distort it; read with payrolls.</t>
        </is>
      </c>
    </row>
    <row r="16" ht="42" customHeight="1">
      <c r="B16" s="7" t="inlineStr">
        <is>
          <t>Avg hourly earnings y/y</t>
        </is>
      </c>
      <c r="C16" s="3" t="inlineStr">
        <is>
          <t>wage growth</t>
        </is>
      </c>
      <c r="D16" s="3" t="inlineStr">
        <is>
          <t>wages feed the services inflation the Fed fears most</t>
        </is>
      </c>
      <c r="E16" s="3" t="inlineStr">
        <is>
          <t>Hot wages -&gt; hawkish</t>
        </is>
      </c>
      <c r="F16" s="3" t="inlineStr">
        <is>
          <t>Cooling wages -&gt; dovish</t>
        </is>
      </c>
      <c r="G16" s="24" t="inlineStr">
        <is>
          <t>Labor</t>
        </is>
      </c>
      <c r="H16" s="3" t="inlineStr">
        <is>
          <t>Higher -&gt; hawkish</t>
        </is>
      </c>
      <c r="I16" s="24" t="inlineStr">
        <is>
          <t>↑</t>
        </is>
      </c>
      <c r="J16" s="24" t="inlineStr">
        <is>
          <t>↑</t>
        </is>
      </c>
      <c r="K16" s="24" t="inlineStr">
        <is>
          <t>↓</t>
        </is>
      </c>
      <c r="L16" s="24" t="inlineStr">
        <is>
          <t>↓</t>
        </is>
      </c>
      <c r="M16" s="24" t="inlineStr">
        <is>
          <t>↓</t>
        </is>
      </c>
      <c r="N16" s="24" t="inlineStr">
        <is>
          <t>↔</t>
        </is>
      </c>
      <c r="O16" s="24" t="inlineStr">
        <is>
          <t>↔</t>
        </is>
      </c>
      <c r="P16" s="25" t="n">
        <v>1</v>
      </c>
      <c r="Q16" s="25" t="n">
        <v>1</v>
      </c>
      <c r="R16" s="24" t="n">
        <v>4</v>
      </c>
      <c r="S16" s="24" t="n">
        <v>0.2</v>
      </c>
      <c r="T16" s="3" t="inlineStr">
        <is>
          <t>Job-mix (composition) effects can mislead month to month.</t>
        </is>
      </c>
    </row>
    <row r="17" ht="42" customHeight="1">
      <c r="B17" s="7" t="inlineStr">
        <is>
          <t>Initial jobless claims</t>
        </is>
      </c>
      <c r="C17" s="3" t="inlineStr">
        <is>
          <t>new unemployment filings (weekly)</t>
        </is>
      </c>
      <c r="D17" s="3" t="inlineStr">
        <is>
          <t>the most timely labor signal</t>
        </is>
      </c>
      <c r="E17" s="3" t="inlineStr">
        <is>
          <t>Rising claims -&gt; dovish, labor weakening</t>
        </is>
      </c>
      <c r="F17" s="3" t="inlineStr">
        <is>
          <t>Falling claims -&gt; hawkish, labor strong</t>
        </is>
      </c>
      <c r="G17" s="24" t="inlineStr">
        <is>
          <t>Labor</t>
        </is>
      </c>
      <c r="H17" s="3" t="inlineStr">
        <is>
          <t>Higher -&gt; dovish</t>
        </is>
      </c>
      <c r="I17" s="24" t="inlineStr">
        <is>
          <t>↓</t>
        </is>
      </c>
      <c r="J17" s="24" t="inlineStr">
        <is>
          <t>↓</t>
        </is>
      </c>
      <c r="K17" s="24" t="inlineStr">
        <is>
          <t>↑</t>
        </is>
      </c>
      <c r="L17" s="24" t="inlineStr">
        <is>
          <t>Mixed</t>
        </is>
      </c>
      <c r="M17" s="24" t="inlineStr">
        <is>
          <t>↑</t>
        </is>
      </c>
      <c r="N17" s="24" t="inlineStr">
        <is>
          <t>↓</t>
        </is>
      </c>
      <c r="O17" s="24" t="inlineStr">
        <is>
          <t>↔</t>
        </is>
      </c>
      <c r="P17" s="25" t="n">
        <v>-1</v>
      </c>
      <c r="Q17" s="25" t="n">
        <v>-1</v>
      </c>
      <c r="R17" s="24" t="n">
        <v>3</v>
      </c>
      <c r="S17" s="24" t="n">
        <v>15</v>
      </c>
      <c r="T17" s="3" t="inlineStr">
        <is>
          <t>Noisy weekly; watch the 4-week moving average.</t>
        </is>
      </c>
    </row>
    <row r="18" ht="42" customHeight="1">
      <c r="B18" s="7" t="inlineStr">
        <is>
          <t>JOLTS job openings</t>
        </is>
      </c>
      <c r="C18" s="3" t="inlineStr">
        <is>
          <t>unfilled job vacancies</t>
        </is>
      </c>
      <c r="D18" s="3" t="inlineStr">
        <is>
          <t>labor demand and tightness</t>
        </is>
      </c>
      <c r="E18" s="3" t="inlineStr">
        <is>
          <t>More openings -&gt; hawkish (tight labor)</t>
        </is>
      </c>
      <c r="F18" s="3" t="inlineStr">
        <is>
          <t>Fewer -&gt; dovish (loosening)</t>
        </is>
      </c>
      <c r="G18" s="24" t="inlineStr">
        <is>
          <t>Labor</t>
        </is>
      </c>
      <c r="H18" s="3" t="inlineStr">
        <is>
          <t>Higher -&gt; hawkish</t>
        </is>
      </c>
      <c r="I18" s="24" t="inlineStr">
        <is>
          <t>↑</t>
        </is>
      </c>
      <c r="J18" s="24" t="inlineStr">
        <is>
          <t>↑</t>
        </is>
      </c>
      <c r="K18" s="24" t="inlineStr">
        <is>
          <t>↓</t>
        </is>
      </c>
      <c r="L18" s="24" t="inlineStr">
        <is>
          <t>Mixed</t>
        </is>
      </c>
      <c r="M18" s="24" t="inlineStr">
        <is>
          <t>↓</t>
        </is>
      </c>
      <c r="N18" s="24" t="inlineStr">
        <is>
          <t>↔</t>
        </is>
      </c>
      <c r="O18" s="24" t="inlineStr">
        <is>
          <t>↔</t>
        </is>
      </c>
      <c r="P18" s="25" t="n">
        <v>1</v>
      </c>
      <c r="Q18" s="25" t="n">
        <v>1</v>
      </c>
      <c r="R18" s="24" t="n">
        <v>3</v>
      </c>
      <c r="S18" s="24" t="n">
        <v>0.2</v>
      </c>
      <c r="T18" s="3" t="inlineStr">
        <is>
          <t>Reported with an extra month lag vs payrolls.</t>
        </is>
      </c>
    </row>
    <row r="19" ht="42" customHeight="1">
      <c r="B19" s="7" t="inlineStr">
        <is>
          <t>ISM Manufacturing</t>
        </is>
      </c>
      <c r="C19" s="3" t="inlineStr">
        <is>
          <t>factory activity (&gt;50 = expansion)</t>
        </is>
      </c>
      <c r="D19" s="3" t="inlineStr">
        <is>
          <t>a leading cyclical gauge</t>
        </is>
      </c>
      <c r="E19" s="3" t="inlineStr">
        <is>
          <t>Expansion -&gt; risk-on, mildly hawkish</t>
        </is>
      </c>
      <c r="F19" s="3" t="inlineStr">
        <is>
          <t>Contraction -&gt; growth fear, dovish</t>
        </is>
      </c>
      <c r="G19" s="24" t="inlineStr">
        <is>
          <t>Growth</t>
        </is>
      </c>
      <c r="H19" s="3" t="inlineStr">
        <is>
          <t>Higher -&gt; mildly hawkish</t>
        </is>
      </c>
      <c r="I19" s="24" t="inlineStr">
        <is>
          <t>↑</t>
        </is>
      </c>
      <c r="J19" s="24" t="inlineStr">
        <is>
          <t>↑</t>
        </is>
      </c>
      <c r="K19" s="24" t="inlineStr">
        <is>
          <t>↓</t>
        </is>
      </c>
      <c r="L19" s="24" t="inlineStr">
        <is>
          <t>↑</t>
        </is>
      </c>
      <c r="M19" s="24" t="inlineStr">
        <is>
          <t>↔</t>
        </is>
      </c>
      <c r="N19" s="24" t="inlineStr">
        <is>
          <t>↑</t>
        </is>
      </c>
      <c r="O19" s="24" t="inlineStr">
        <is>
          <t>↔</t>
        </is>
      </c>
      <c r="P19" s="25" t="n">
        <v>1</v>
      </c>
      <c r="Q19" s="25" t="n">
        <v>1</v>
      </c>
      <c r="R19" s="24" t="n">
        <v>4</v>
      </c>
      <c r="S19" s="24" t="n">
        <v>1</v>
      </c>
      <c r="T19" s="3" t="inlineStr">
        <is>
          <t>The prices-paid sub-index is the inflation tell.</t>
        </is>
      </c>
    </row>
    <row r="20" ht="42" customHeight="1">
      <c r="B20" s="7" t="inlineStr">
        <is>
          <t>ISM Services</t>
        </is>
      </c>
      <c r="C20" s="3" t="inlineStr">
        <is>
          <t>services activity (&gt;50 = expansion)</t>
        </is>
      </c>
      <c r="D20" s="3" t="inlineStr">
        <is>
          <t>services are ~70% of the US economy</t>
        </is>
      </c>
      <c r="E20" s="3" t="inlineStr">
        <is>
          <t>Firm services -&gt; hawkish, risk-on</t>
        </is>
      </c>
      <c r="F20" s="3" t="inlineStr">
        <is>
          <t>Soft -&gt; dovish, growth fear</t>
        </is>
      </c>
      <c r="G20" s="24" t="inlineStr">
        <is>
          <t>Growth</t>
        </is>
      </c>
      <c r="H20" s="3" t="inlineStr">
        <is>
          <t>Higher -&gt; hawkish</t>
        </is>
      </c>
      <c r="I20" s="24" t="inlineStr">
        <is>
          <t>↑</t>
        </is>
      </c>
      <c r="J20" s="24" t="inlineStr">
        <is>
          <t>↑</t>
        </is>
      </c>
      <c r="K20" s="24" t="inlineStr">
        <is>
          <t>↓</t>
        </is>
      </c>
      <c r="L20" s="24" t="inlineStr">
        <is>
          <t>↑</t>
        </is>
      </c>
      <c r="M20" s="24" t="inlineStr">
        <is>
          <t>↔</t>
        </is>
      </c>
      <c r="N20" s="24" t="inlineStr">
        <is>
          <t>↑</t>
        </is>
      </c>
      <c r="O20" s="24" t="inlineStr">
        <is>
          <t>↔</t>
        </is>
      </c>
      <c r="P20" s="25" t="n">
        <v>1</v>
      </c>
      <c r="Q20" s="25" t="n">
        <v>1</v>
      </c>
      <c r="R20" s="24" t="n">
        <v>4</v>
      </c>
      <c r="S20" s="24" t="n">
        <v>1</v>
      </c>
      <c r="T20" s="3" t="inlineStr">
        <is>
          <t>More important than manufacturing for the US cycle.</t>
        </is>
      </c>
    </row>
    <row r="21" ht="42" customHeight="1">
      <c r="B21" s="7" t="inlineStr">
        <is>
          <t>S&amp;P Global PMI</t>
        </is>
      </c>
      <c r="C21" s="3" t="inlineStr">
        <is>
          <t>private-sector activity survey (composite)</t>
        </is>
      </c>
      <c r="D21" s="3" t="inlineStr">
        <is>
          <t>timely, globally comparable growth read</t>
        </is>
      </c>
      <c r="E21" s="3" t="inlineStr">
        <is>
          <t>Expansion -&gt; risk-on</t>
        </is>
      </c>
      <c r="F21" s="3" t="inlineStr">
        <is>
          <t>Contraction -&gt; risk-off</t>
        </is>
      </c>
      <c r="G21" s="24" t="inlineStr">
        <is>
          <t>Growth</t>
        </is>
      </c>
      <c r="H21" s="3" t="inlineStr">
        <is>
          <t>Higher -&gt; mildly hawkish</t>
        </is>
      </c>
      <c r="I21" s="24" t="inlineStr">
        <is>
          <t>↑</t>
        </is>
      </c>
      <c r="J21" s="24" t="inlineStr">
        <is>
          <t>↑</t>
        </is>
      </c>
      <c r="K21" s="24" t="inlineStr">
        <is>
          <t>↓</t>
        </is>
      </c>
      <c r="L21" s="24" t="inlineStr">
        <is>
          <t>↑</t>
        </is>
      </c>
      <c r="M21" s="24" t="inlineStr">
        <is>
          <t>↔</t>
        </is>
      </c>
      <c r="N21" s="24" t="inlineStr">
        <is>
          <t>↑</t>
        </is>
      </c>
      <c r="O21" s="24" t="inlineStr">
        <is>
          <t>↔</t>
        </is>
      </c>
      <c r="P21" s="25" t="n">
        <v>1</v>
      </c>
      <c r="Q21" s="25" t="n">
        <v>1</v>
      </c>
      <c r="R21" s="24" t="n">
        <v>3</v>
      </c>
      <c r="S21" s="24" t="n">
        <v>1</v>
      </c>
      <c r="T21" s="3" t="inlineStr">
        <is>
          <t>Flash vs final releases; useful for cross-country comparison.</t>
        </is>
      </c>
    </row>
    <row r="22" ht="42" customHeight="1">
      <c r="B22" s="7" t="inlineStr">
        <is>
          <t>Retail sales m/m</t>
        </is>
      </c>
      <c r="C22" s="3" t="inlineStr">
        <is>
          <t>consumer spending</t>
        </is>
      </c>
      <c r="D22" s="3" t="inlineStr">
        <is>
          <t>the consumer is the US growth engine</t>
        </is>
      </c>
      <c r="E22" s="3" t="inlineStr">
        <is>
          <t>Strong -&gt; growth+, can delay cuts</t>
        </is>
      </c>
      <c r="F22" s="3" t="inlineStr">
        <is>
          <t>Weak -&gt; growth fear</t>
        </is>
      </c>
      <c r="G22" s="24" t="inlineStr">
        <is>
          <t>Growth</t>
        </is>
      </c>
      <c r="H22" s="3" t="inlineStr">
        <is>
          <t>Higher -&gt; mildly hawkish</t>
        </is>
      </c>
      <c r="I22" s="24" t="inlineStr">
        <is>
          <t>↑</t>
        </is>
      </c>
      <c r="J22" s="24" t="inlineStr">
        <is>
          <t>↑</t>
        </is>
      </c>
      <c r="K22" s="24" t="inlineStr">
        <is>
          <t>Mixed</t>
        </is>
      </c>
      <c r="L22" s="24" t="inlineStr">
        <is>
          <t>↑*</t>
        </is>
      </c>
      <c r="M22" s="24" t="inlineStr">
        <is>
          <t>↔</t>
        </is>
      </c>
      <c r="N22" s="24" t="inlineStr">
        <is>
          <t>↑</t>
        </is>
      </c>
      <c r="O22" s="24" t="inlineStr">
        <is>
          <t>↔</t>
        </is>
      </c>
      <c r="P22" s="25" t="n">
        <v>1</v>
      </c>
      <c r="Q22" s="25" t="n">
        <v>1</v>
      </c>
      <c r="R22" s="24" t="n">
        <v>4</v>
      </c>
      <c r="S22" s="24" t="n">
        <v>0.3</v>
      </c>
      <c r="T22" s="3" t="inlineStr">
        <is>
          <t>Watch the control group and autos/gas swings.</t>
        </is>
      </c>
    </row>
    <row r="23" ht="42" customHeight="1">
      <c r="B23" s="7" t="inlineStr">
        <is>
          <t>Consumer confidence</t>
        </is>
      </c>
      <c r="C23" s="3" t="inlineStr">
        <is>
          <t>household sentiment</t>
        </is>
      </c>
      <c r="D23" s="3" t="inlineStr">
        <is>
          <t>a leading indicator of future spending</t>
        </is>
      </c>
      <c r="E23" s="3" t="inlineStr">
        <is>
          <t>Confident -&gt; growth+</t>
        </is>
      </c>
      <c r="F23" s="3" t="inlineStr">
        <is>
          <t>Worried -&gt; growth-</t>
        </is>
      </c>
      <c r="G23" s="24" t="inlineStr">
        <is>
          <t>Growth</t>
        </is>
      </c>
      <c r="H23" s="3" t="inlineStr">
        <is>
          <t>Higher -&gt; mildly hawkish</t>
        </is>
      </c>
      <c r="I23" s="24" t="inlineStr">
        <is>
          <t>↑</t>
        </is>
      </c>
      <c r="J23" s="24" t="inlineStr">
        <is>
          <t>↔</t>
        </is>
      </c>
      <c r="K23" s="24" t="inlineStr">
        <is>
          <t>↔</t>
        </is>
      </c>
      <c r="L23" s="24" t="inlineStr">
        <is>
          <t>↑</t>
        </is>
      </c>
      <c r="M23" s="24" t="inlineStr">
        <is>
          <t>↔</t>
        </is>
      </c>
      <c r="N23" s="24" t="inlineStr">
        <is>
          <t>↔</t>
        </is>
      </c>
      <c r="O23" s="24" t="inlineStr">
        <is>
          <t>↔</t>
        </is>
      </c>
      <c r="P23" s="25" t="n">
        <v>0</v>
      </c>
      <c r="Q23" s="25" t="n">
        <v>1</v>
      </c>
      <c r="R23" s="24" t="n">
        <v>3</v>
      </c>
      <c r="S23" s="24" t="n">
        <v>2</v>
      </c>
      <c r="T23" s="3" t="inlineStr">
        <is>
          <t>Sentiment and actual spending can diverge.</t>
        </is>
      </c>
    </row>
    <row r="24" ht="42" customHeight="1">
      <c r="B24" s="7" t="inlineStr">
        <is>
          <t>Housing starts</t>
        </is>
      </c>
      <c r="C24" s="3" t="inlineStr">
        <is>
          <t>new residential construction</t>
        </is>
      </c>
      <c r="D24" s="3" t="inlineStr">
        <is>
          <t>a rate-sensitive cyclical indicator</t>
        </is>
      </c>
      <c r="E24" s="3" t="inlineStr">
        <is>
          <t>More building -&gt; growth+</t>
        </is>
      </c>
      <c r="F24" s="3" t="inlineStr">
        <is>
          <t>Fewer -&gt; slowdown</t>
        </is>
      </c>
      <c r="G24" s="24" t="inlineStr">
        <is>
          <t>Growth</t>
        </is>
      </c>
      <c r="H24" s="3" t="inlineStr">
        <is>
          <t>Higher -&gt; mildly hawkish</t>
        </is>
      </c>
      <c r="I24" s="24" t="inlineStr">
        <is>
          <t>↔</t>
        </is>
      </c>
      <c r="J24" s="24" t="inlineStr">
        <is>
          <t>↔</t>
        </is>
      </c>
      <c r="K24" s="24" t="inlineStr">
        <is>
          <t>↔</t>
        </is>
      </c>
      <c r="L24" s="24" t="inlineStr">
        <is>
          <t>↑</t>
        </is>
      </c>
      <c r="M24" s="24" t="inlineStr">
        <is>
          <t>↔</t>
        </is>
      </c>
      <c r="N24" s="24" t="inlineStr">
        <is>
          <t>↔</t>
        </is>
      </c>
      <c r="O24" s="24" t="inlineStr">
        <is>
          <t>↔</t>
        </is>
      </c>
      <c r="P24" s="25" t="n">
        <v>0</v>
      </c>
      <c r="Q24" s="25" t="n">
        <v>1</v>
      </c>
      <c r="R24" s="24" t="n">
        <v>2</v>
      </c>
      <c r="S24" s="24" t="n">
        <v>0.05</v>
      </c>
      <c r="T24" s="3" t="inlineStr">
        <is>
          <t>Very sensitive to mortgage rates and weather.</t>
        </is>
      </c>
    </row>
    <row r="25" ht="42" customHeight="1">
      <c r="B25" s="7" t="inlineStr">
        <is>
          <t>Durable goods m/m</t>
        </is>
      </c>
      <c r="C25" s="3" t="inlineStr">
        <is>
          <t>orders for long-lived goods</t>
        </is>
      </c>
      <c r="D25" s="3" t="inlineStr">
        <is>
          <t>a business-investment gauge</t>
        </is>
      </c>
      <c r="E25" s="3" t="inlineStr">
        <is>
          <t>Strong orders -&gt; growth+</t>
        </is>
      </c>
      <c r="F25" s="3" t="inlineStr">
        <is>
          <t>Weak -&gt; slowdown</t>
        </is>
      </c>
      <c r="G25" s="24" t="inlineStr">
        <is>
          <t>Growth</t>
        </is>
      </c>
      <c r="H25" s="3" t="inlineStr">
        <is>
          <t>Higher -&gt; mildly hawkish</t>
        </is>
      </c>
      <c r="I25" s="24" t="inlineStr">
        <is>
          <t>↔</t>
        </is>
      </c>
      <c r="J25" s="24" t="inlineStr">
        <is>
          <t>↔</t>
        </is>
      </c>
      <c r="K25" s="24" t="inlineStr">
        <is>
          <t>↔</t>
        </is>
      </c>
      <c r="L25" s="24" t="inlineStr">
        <is>
          <t>↑</t>
        </is>
      </c>
      <c r="M25" s="24" t="inlineStr">
        <is>
          <t>↔</t>
        </is>
      </c>
      <c r="N25" s="24" t="inlineStr">
        <is>
          <t>↔</t>
        </is>
      </c>
      <c r="O25" s="24" t="inlineStr">
        <is>
          <t>↔</t>
        </is>
      </c>
      <c r="P25" s="25" t="n">
        <v>0</v>
      </c>
      <c r="Q25" s="25" t="n">
        <v>1</v>
      </c>
      <c r="R25" s="24" t="n">
        <v>2</v>
      </c>
      <c r="S25" s="24" t="n">
        <v>0.8</v>
      </c>
      <c r="T25" s="3" t="inlineStr">
        <is>
          <t>Aircraft orders make it lumpy; watch ex-transportation.</t>
        </is>
      </c>
    </row>
    <row r="26" ht="42" customHeight="1">
      <c r="B26" s="7" t="inlineStr">
        <is>
          <t>Trade balance</t>
        </is>
      </c>
      <c r="C26" s="3" t="inlineStr">
        <is>
          <t>exports minus imports</t>
        </is>
      </c>
      <c r="D26" s="3" t="inlineStr">
        <is>
          <t>growth composition and USD flows</t>
        </is>
      </c>
      <c r="E26" s="3" t="inlineStr">
        <is>
          <t>Smaller deficit -&gt; mild USD+</t>
        </is>
      </c>
      <c r="F26" s="3" t="inlineStr">
        <is>
          <t>Wider deficit -&gt; mild USD-</t>
        </is>
      </c>
      <c r="G26" s="24" t="inlineStr">
        <is>
          <t>Trade</t>
        </is>
      </c>
      <c r="H26" s="3" t="inlineStr">
        <is>
          <t>Limited</t>
        </is>
      </c>
      <c r="I26" s="24" t="inlineStr">
        <is>
          <t>↔</t>
        </is>
      </c>
      <c r="J26" s="24" t="inlineStr">
        <is>
          <t>↔</t>
        </is>
      </c>
      <c r="K26" s="24" t="inlineStr">
        <is>
          <t>↔</t>
        </is>
      </c>
      <c r="L26" s="24" t="inlineStr">
        <is>
          <t>↔</t>
        </is>
      </c>
      <c r="M26" s="24" t="inlineStr">
        <is>
          <t>↔</t>
        </is>
      </c>
      <c r="N26" s="24" t="inlineStr">
        <is>
          <t>↔</t>
        </is>
      </c>
      <c r="O26" s="24" t="inlineStr">
        <is>
          <t>↔</t>
        </is>
      </c>
      <c r="P26" s="25" t="n">
        <v>0</v>
      </c>
      <c r="Q26" s="25" t="n">
        <v>0</v>
      </c>
      <c r="R26" s="24" t="n">
        <v>2</v>
      </c>
      <c r="S26" s="24" t="n">
        <v>5</v>
      </c>
      <c r="T26" s="3" t="inlineStr">
        <is>
          <t>Usually reported as a negative number (a deficit).</t>
        </is>
      </c>
    </row>
    <row r="27" ht="42" customHeight="1">
      <c r="B27" s="7" t="inlineStr">
        <is>
          <t>Federal budget balance</t>
        </is>
      </c>
      <c r="C27" s="3" t="inlineStr">
        <is>
          <t>government surplus / deficit</t>
        </is>
      </c>
      <c r="D27" s="3" t="inlineStr">
        <is>
          <t>Treasury supply and term premium</t>
        </is>
      </c>
      <c r="E27" s="3" t="inlineStr">
        <is>
          <t>Bigger deficit -&gt; more bond supply -&gt; yields up</t>
        </is>
      </c>
      <c r="F27" s="3" t="inlineStr">
        <is>
          <t>Smaller deficit -&gt; supportive for bonds</t>
        </is>
      </c>
      <c r="G27" s="24" t="inlineStr">
        <is>
          <t>Fiscal</t>
        </is>
      </c>
      <c r="H27" s="3" t="inlineStr">
        <is>
          <t>Limited (supply channel)</t>
        </is>
      </c>
      <c r="I27" s="24" t="inlineStr">
        <is>
          <t>↔</t>
        </is>
      </c>
      <c r="J27" s="24" t="inlineStr">
        <is>
          <t>↑</t>
        </is>
      </c>
      <c r="K27" s="24" t="inlineStr">
        <is>
          <t>↓</t>
        </is>
      </c>
      <c r="L27" s="24" t="inlineStr">
        <is>
          <t>↔</t>
        </is>
      </c>
      <c r="M27" s="24" t="inlineStr">
        <is>
          <t>↔</t>
        </is>
      </c>
      <c r="N27" s="24" t="inlineStr">
        <is>
          <t>↔</t>
        </is>
      </c>
      <c r="O27" s="24" t="inlineStr">
        <is>
          <t>↔</t>
        </is>
      </c>
      <c r="P27" s="25" t="n">
        <v>1</v>
      </c>
      <c r="Q27" s="25" t="n">
        <v>0</v>
      </c>
      <c r="R27" s="24" t="n">
        <v>2</v>
      </c>
      <c r="S27" s="24" t="n">
        <v>20</v>
      </c>
      <c r="T27" s="3" t="inlineStr">
        <is>
          <t>Seasonal; watch the rolling 12-month trend, not one month.</t>
        </is>
      </c>
    </row>
    <row r="28" ht="42" customHeight="1">
      <c r="B28" s="7" t="inlineStr">
        <is>
          <t>EIA crude inventories</t>
        </is>
      </c>
      <c r="C28" s="3" t="inlineStr">
        <is>
          <t>weekly US crude stock change</t>
        </is>
      </c>
      <c r="D28" s="3" t="inlineStr">
        <is>
          <t>the near-term oil supply/demand balance</t>
        </is>
      </c>
      <c r="E28" s="3" t="inlineStr">
        <is>
          <t>Builds -&gt; bearish oil -&gt; disinflationary</t>
        </is>
      </c>
      <c r="F28" s="3" t="inlineStr">
        <is>
          <t>Draws -&gt; bullish oil -&gt; inflationary</t>
        </is>
      </c>
      <c r="G28" s="24" t="inlineStr">
        <is>
          <t>Energy</t>
        </is>
      </c>
      <c r="H28" s="3" t="inlineStr">
        <is>
          <t>Via oil / inflation</t>
        </is>
      </c>
      <c r="I28" s="24" t="inlineStr">
        <is>
          <t>↔</t>
        </is>
      </c>
      <c r="J28" s="24" t="inlineStr">
        <is>
          <t>↔</t>
        </is>
      </c>
      <c r="K28" s="24" t="inlineStr">
        <is>
          <t>↔</t>
        </is>
      </c>
      <c r="L28" s="24" t="inlineStr">
        <is>
          <t>↔</t>
        </is>
      </c>
      <c r="M28" s="24" t="inlineStr">
        <is>
          <t>↔</t>
        </is>
      </c>
      <c r="N28" s="24" t="inlineStr">
        <is>
          <t>↓</t>
        </is>
      </c>
      <c r="O28" s="24" t="inlineStr">
        <is>
          <t>↓ (lower oil)</t>
        </is>
      </c>
      <c r="P28" s="25" t="n">
        <v>-1</v>
      </c>
      <c r="Q28" s="25" t="n">
        <v>0</v>
      </c>
      <c r="R28" s="24" t="n">
        <v>2</v>
      </c>
      <c r="S28" s="24" t="n">
        <v>2</v>
      </c>
      <c r="T28" s="3" t="inlineStr">
        <is>
          <t>Very noisy weekly; watch the trend and product stocks.</t>
        </is>
      </c>
    </row>
    <row r="29" ht="42" customHeight="1">
      <c r="B29" s="7" t="inlineStr">
        <is>
          <t>Global/China PMI</t>
        </is>
      </c>
      <c r="C29" s="3" t="inlineStr">
        <is>
          <t>ex-US global activity (e.g. China)</t>
        </is>
      </c>
      <c r="D29" s="3" t="inlineStr">
        <is>
          <t>global demand, commodities, EM and GCC</t>
        </is>
      </c>
      <c r="E29" s="3" t="inlineStr">
        <is>
          <t>Global expansion -&gt; risk-on, oil+</t>
        </is>
      </c>
      <c r="F29" s="3" t="inlineStr">
        <is>
          <t>Global slowdown -&gt; risk-off, oil-</t>
        </is>
      </c>
      <c r="G29" s="24" t="inlineStr">
        <is>
          <t>Growth</t>
        </is>
      </c>
      <c r="H29" s="3" t="inlineStr">
        <is>
          <t>Indirect</t>
        </is>
      </c>
      <c r="I29" s="24" t="inlineStr">
        <is>
          <t>↓</t>
        </is>
      </c>
      <c r="J29" s="24" t="inlineStr">
        <is>
          <t>↑</t>
        </is>
      </c>
      <c r="K29" s="24" t="inlineStr">
        <is>
          <t>↓</t>
        </is>
      </c>
      <c r="L29" s="24" t="inlineStr">
        <is>
          <t>↑</t>
        </is>
      </c>
      <c r="M29" s="24" t="inlineStr">
        <is>
          <t>↔</t>
        </is>
      </c>
      <c r="N29" s="24" t="inlineStr">
        <is>
          <t>↑</t>
        </is>
      </c>
      <c r="O29" s="24" t="inlineStr">
        <is>
          <t>↑ (oil demand)</t>
        </is>
      </c>
      <c r="P29" s="25" t="n">
        <v>0</v>
      </c>
      <c r="Q29" s="25" t="n">
        <v>1</v>
      </c>
      <c r="R29" s="24" t="n">
        <v>3</v>
      </c>
      <c r="S29" s="24" t="n">
        <v>1</v>
      </c>
      <c r="T29" s="3" t="inlineStr">
        <is>
          <t>China property and policy dominate the swings.</t>
        </is>
      </c>
    </row>
  </sheetData>
  <mergeCells count="4">
    <mergeCell ref="A1:T1"/>
    <mergeCell ref="A3:T3"/>
    <mergeCell ref="A2:T2"/>
    <mergeCell ref="A6:T6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00FF"/>
    <outlinePr summaryBelow="1" summaryRight="1"/>
    <pageSetUpPr fitToPage="1"/>
  </sheetPr>
  <dimension ref="A1:N48"/>
  <sheetViews>
    <sheetView showGridLines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9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11" customWidth="1" min="9" max="9"/>
    <col width="10" customWidth="1" min="10" max="10"/>
    <col width="9" customWidth="1" min="11" max="11"/>
    <col width="6" customWidth="1" min="12" max="12"/>
    <col width="10" customWidth="1" min="13" max="13"/>
    <col width="24" customWidth="1" min="14" max="14"/>
  </cols>
  <sheetData>
    <row r="1" ht="26" customHeight="1">
      <c r="A1" s="1" t="inlineStr">
        <is>
          <t>MACRO DATA TRACKER</t>
        </is>
      </c>
    </row>
    <row r="2">
      <c r="A2" s="2" t="inlineStr">
        <is>
          <t>Log every release here - this and the Fed sheet are your inputs</t>
        </is>
      </c>
    </row>
    <row r="3">
      <c r="A3" s="3" t="inlineStr">
        <is>
          <t>Macro Market Intelligence System  -  v0.9 (core)</t>
        </is>
      </c>
    </row>
    <row r="5">
      <c r="A5" s="15" t="inlineStr">
        <is>
          <t>Cover</t>
        </is>
      </c>
      <c r="B5" s="15" t="inlineStr">
        <is>
          <t>Settings</t>
        </is>
      </c>
      <c r="C5" s="15" t="inlineStr">
        <is>
          <t>Impact Library</t>
        </is>
      </c>
      <c r="D5" s="15" t="inlineStr">
        <is>
          <t>Data Tracker</t>
        </is>
      </c>
      <c r="E5" s="15" t="inlineStr">
        <is>
          <t>Surprise Engine</t>
        </is>
      </c>
      <c r="F5" s="15" t="inlineStr">
        <is>
          <t>Fed Tracker</t>
        </is>
      </c>
    </row>
    <row r="6">
      <c r="A6" s="14" t="inlineStr">
        <is>
          <t>Type releases in the yellow cells. Surprise, Hot/Cold and Importance fill in automatically. Pick the indicator from the dropdown so it matches the Impact Library. Blank rows are yours to fill.</t>
        </is>
      </c>
    </row>
    <row r="8" ht="16" customHeight="1">
      <c r="B8" s="17" t="inlineStr">
        <is>
          <t>Date</t>
        </is>
      </c>
      <c r="C8" s="17" t="inlineStr">
        <is>
          <t>Country</t>
        </is>
      </c>
      <c r="D8" s="16" t="inlineStr">
        <is>
          <t>Indicator</t>
        </is>
      </c>
      <c r="E8" s="17" t="inlineStr">
        <is>
          <t>Actual</t>
        </is>
      </c>
      <c r="F8" s="17" t="inlineStr">
        <is>
          <t>Forecast</t>
        </is>
      </c>
      <c r="G8" s="17" t="inlineStr">
        <is>
          <t>Previous</t>
        </is>
      </c>
      <c r="H8" s="17" t="inlineStr">
        <is>
          <t>Unit</t>
        </is>
      </c>
      <c r="I8" s="17" t="inlineStr">
        <is>
          <t>Frequency</t>
        </is>
      </c>
      <c r="J8" s="17" t="inlineStr">
        <is>
          <t>Surprise</t>
        </is>
      </c>
      <c r="K8" s="17" t="inlineStr">
        <is>
          <t>Hot/Cold</t>
        </is>
      </c>
      <c r="L8" s="17" t="inlineStr">
        <is>
          <t>Imp</t>
        </is>
      </c>
      <c r="M8" s="16" t="inlineStr">
        <is>
          <t>Source</t>
        </is>
      </c>
      <c r="N8" s="16" t="inlineStr">
        <is>
          <t>Notes</t>
        </is>
      </c>
    </row>
    <row r="9">
      <c r="B9" s="26" t="n"/>
      <c r="C9" s="8" t="n"/>
      <c r="D9" s="27" t="n"/>
      <c r="E9" s="18" t="n"/>
      <c r="F9" s="18" t="n"/>
      <c r="G9" s="18" t="n"/>
      <c r="H9" s="8" t="n"/>
      <c r="I9" s="8" t="n"/>
      <c r="J9" s="28">
        <f>IF($D9="","",$E9-$F9)</f>
        <v/>
      </c>
      <c r="K9" s="24">
        <f>IF($D9="","",IF(ABS(IFERROR(($E9-$F9)/INDEX(Lib_Scale,MATCH($D9,Lib_Name,0)),0))&lt;0.5,"Neutral",IF($E9&gt;$F9,"Hot","Cold")))</f>
        <v/>
      </c>
      <c r="L9" s="24">
        <f>IF($D9="","",IFERROR(INDEX(Lib_Importance,MATCH($D9,Lib_Name,0)),""))</f>
        <v/>
      </c>
      <c r="M9" s="27" t="n"/>
      <c r="N9" s="27" t="n"/>
    </row>
    <row r="10">
      <c r="B10" s="26" t="n"/>
      <c r="C10" s="8" t="n"/>
      <c r="D10" s="27" t="n"/>
      <c r="E10" s="18" t="n"/>
      <c r="F10" s="18" t="n"/>
      <c r="G10" s="18" t="n"/>
      <c r="H10" s="8" t="n"/>
      <c r="I10" s="8" t="n"/>
      <c r="J10" s="28">
        <f>IF($D10="","",$E10-$F10)</f>
        <v/>
      </c>
      <c r="K10" s="24">
        <f>IF($D10="","",IF(ABS(IFERROR(($E10-$F10)/INDEX(Lib_Scale,MATCH($D10,Lib_Name,0)),0))&lt;0.5,"Neutral",IF($E10&gt;$F10,"Hot","Cold")))</f>
        <v/>
      </c>
      <c r="L10" s="24">
        <f>IF($D10="","",IFERROR(INDEX(Lib_Importance,MATCH($D10,Lib_Name,0)),""))</f>
        <v/>
      </c>
      <c r="M10" s="27" t="n"/>
      <c r="N10" s="27" t="n"/>
    </row>
    <row r="11">
      <c r="B11" s="26" t="n"/>
      <c r="C11" s="8" t="n"/>
      <c r="D11" s="27" t="n"/>
      <c r="E11" s="18" t="n"/>
      <c r="F11" s="18" t="n"/>
      <c r="G11" s="18" t="n"/>
      <c r="H11" s="8" t="n"/>
      <c r="I11" s="8" t="n"/>
      <c r="J11" s="28">
        <f>IF($D11="","",$E11-$F11)</f>
        <v/>
      </c>
      <c r="K11" s="24">
        <f>IF($D11="","",IF(ABS(IFERROR(($E11-$F11)/INDEX(Lib_Scale,MATCH($D11,Lib_Name,0)),0))&lt;0.5,"Neutral",IF($E11&gt;$F11,"Hot","Cold")))</f>
        <v/>
      </c>
      <c r="L11" s="24">
        <f>IF($D11="","",IFERROR(INDEX(Lib_Importance,MATCH($D11,Lib_Name,0)),""))</f>
        <v/>
      </c>
      <c r="M11" s="27" t="n"/>
      <c r="N11" s="27" t="n"/>
    </row>
    <row r="12">
      <c r="B12" s="26" t="n"/>
      <c r="C12" s="8" t="n"/>
      <c r="D12" s="27" t="n"/>
      <c r="E12" s="18" t="n"/>
      <c r="F12" s="18" t="n"/>
      <c r="G12" s="18" t="n"/>
      <c r="H12" s="8" t="n"/>
      <c r="I12" s="8" t="n"/>
      <c r="J12" s="28">
        <f>IF($D12="","",$E12-$F12)</f>
        <v/>
      </c>
      <c r="K12" s="24">
        <f>IF($D12="","",IF(ABS(IFERROR(($E12-$F12)/INDEX(Lib_Scale,MATCH($D12,Lib_Name,0)),0))&lt;0.5,"Neutral",IF($E12&gt;$F12,"Hot","Cold")))</f>
        <v/>
      </c>
      <c r="L12" s="24">
        <f>IF($D12="","",IFERROR(INDEX(Lib_Importance,MATCH($D12,Lib_Name,0)),""))</f>
        <v/>
      </c>
      <c r="M12" s="27" t="n"/>
      <c r="N12" s="27" t="n"/>
    </row>
    <row r="13">
      <c r="B13" s="26" t="n"/>
      <c r="C13" s="8" t="n"/>
      <c r="D13" s="27" t="n"/>
      <c r="E13" s="18" t="n"/>
      <c r="F13" s="18" t="n"/>
      <c r="G13" s="18" t="n"/>
      <c r="H13" s="8" t="n"/>
      <c r="I13" s="8" t="n"/>
      <c r="J13" s="28">
        <f>IF($D13="","",$E13-$F13)</f>
        <v/>
      </c>
      <c r="K13" s="24">
        <f>IF($D13="","",IF(ABS(IFERROR(($E13-$F13)/INDEX(Lib_Scale,MATCH($D13,Lib_Name,0)),0))&lt;0.5,"Neutral",IF($E13&gt;$F13,"Hot","Cold")))</f>
        <v/>
      </c>
      <c r="L13" s="24">
        <f>IF($D13="","",IFERROR(INDEX(Lib_Importance,MATCH($D13,Lib_Name,0)),""))</f>
        <v/>
      </c>
      <c r="M13" s="27" t="n"/>
      <c r="N13" s="27" t="n"/>
    </row>
    <row r="14">
      <c r="B14" s="26" t="n"/>
      <c r="C14" s="8" t="n"/>
      <c r="D14" s="27" t="n"/>
      <c r="E14" s="18" t="n"/>
      <c r="F14" s="18" t="n"/>
      <c r="G14" s="18" t="n"/>
      <c r="H14" s="8" t="n"/>
      <c r="I14" s="8" t="n"/>
      <c r="J14" s="28">
        <f>IF($D14="","",$E14-$F14)</f>
        <v/>
      </c>
      <c r="K14" s="24">
        <f>IF($D14="","",IF(ABS(IFERROR(($E14-$F14)/INDEX(Lib_Scale,MATCH($D14,Lib_Name,0)),0))&lt;0.5,"Neutral",IF($E14&gt;$F14,"Hot","Cold")))</f>
        <v/>
      </c>
      <c r="L14" s="24">
        <f>IF($D14="","",IFERROR(INDEX(Lib_Importance,MATCH($D14,Lib_Name,0)),""))</f>
        <v/>
      </c>
      <c r="M14" s="27" t="n"/>
      <c r="N14" s="27" t="n"/>
    </row>
    <row r="15">
      <c r="B15" s="26" t="n"/>
      <c r="C15" s="8" t="n"/>
      <c r="D15" s="27" t="n"/>
      <c r="E15" s="18" t="n"/>
      <c r="F15" s="18" t="n"/>
      <c r="G15" s="18" t="n"/>
      <c r="H15" s="8" t="n"/>
      <c r="I15" s="8" t="n"/>
      <c r="J15" s="28">
        <f>IF($D15="","",$E15-$F15)</f>
        <v/>
      </c>
      <c r="K15" s="24">
        <f>IF($D15="","",IF(ABS(IFERROR(($E15-$F15)/INDEX(Lib_Scale,MATCH($D15,Lib_Name,0)),0))&lt;0.5,"Neutral",IF($E15&gt;$F15,"Hot","Cold")))</f>
        <v/>
      </c>
      <c r="L15" s="24">
        <f>IF($D15="","",IFERROR(INDEX(Lib_Importance,MATCH($D15,Lib_Name,0)),""))</f>
        <v/>
      </c>
      <c r="M15" s="27" t="n"/>
      <c r="N15" s="27" t="n"/>
    </row>
    <row r="16">
      <c r="B16" s="26" t="n"/>
      <c r="C16" s="8" t="n"/>
      <c r="D16" s="27" t="n"/>
      <c r="E16" s="18" t="n"/>
      <c r="F16" s="18" t="n"/>
      <c r="G16" s="18" t="n"/>
      <c r="H16" s="8" t="n"/>
      <c r="I16" s="8" t="n"/>
      <c r="J16" s="28">
        <f>IF($D16="","",$E16-$F16)</f>
        <v/>
      </c>
      <c r="K16" s="24">
        <f>IF($D16="","",IF(ABS(IFERROR(($E16-$F16)/INDEX(Lib_Scale,MATCH($D16,Lib_Name,0)),0))&lt;0.5,"Neutral",IF($E16&gt;$F16,"Hot","Cold")))</f>
        <v/>
      </c>
      <c r="L16" s="24">
        <f>IF($D16="","",IFERROR(INDEX(Lib_Importance,MATCH($D16,Lib_Name,0)),""))</f>
        <v/>
      </c>
      <c r="M16" s="27" t="n"/>
      <c r="N16" s="27" t="n"/>
    </row>
    <row r="17">
      <c r="B17" s="26" t="n"/>
      <c r="C17" s="8" t="n"/>
      <c r="D17" s="27" t="n"/>
      <c r="E17" s="18" t="n"/>
      <c r="F17" s="18" t="n"/>
      <c r="G17" s="18" t="n"/>
      <c r="H17" s="8" t="n"/>
      <c r="I17" s="8" t="n"/>
      <c r="J17" s="28">
        <f>IF($D17="","",$E17-$F17)</f>
        <v/>
      </c>
      <c r="K17" s="24">
        <f>IF($D17="","",IF(ABS(IFERROR(($E17-$F17)/INDEX(Lib_Scale,MATCH($D17,Lib_Name,0)),0))&lt;0.5,"Neutral",IF($E17&gt;$F17,"Hot","Cold")))</f>
        <v/>
      </c>
      <c r="L17" s="24">
        <f>IF($D17="","",IFERROR(INDEX(Lib_Importance,MATCH($D17,Lib_Name,0)),""))</f>
        <v/>
      </c>
      <c r="M17" s="27" t="n"/>
      <c r="N17" s="27" t="n"/>
    </row>
    <row r="18">
      <c r="B18" s="26" t="n"/>
      <c r="C18" s="8" t="n"/>
      <c r="D18" s="27" t="n"/>
      <c r="E18" s="18" t="n"/>
      <c r="F18" s="18" t="n"/>
      <c r="G18" s="18" t="n"/>
      <c r="H18" s="8" t="n"/>
      <c r="I18" s="8" t="n"/>
      <c r="J18" s="28">
        <f>IF($D18="","",$E18-$F18)</f>
        <v/>
      </c>
      <c r="K18" s="24">
        <f>IF($D18="","",IF(ABS(IFERROR(($E18-$F18)/INDEX(Lib_Scale,MATCH($D18,Lib_Name,0)),0))&lt;0.5,"Neutral",IF($E18&gt;$F18,"Hot","Cold")))</f>
        <v/>
      </c>
      <c r="L18" s="24">
        <f>IF($D18="","",IFERROR(INDEX(Lib_Importance,MATCH($D18,Lib_Name,0)),""))</f>
        <v/>
      </c>
      <c r="M18" s="27" t="n"/>
      <c r="N18" s="27" t="n"/>
    </row>
    <row r="19">
      <c r="B19" s="26" t="n"/>
      <c r="C19" s="8" t="n"/>
      <c r="D19" s="27" t="n"/>
      <c r="E19" s="18" t="n"/>
      <c r="F19" s="18" t="n"/>
      <c r="G19" s="18" t="n"/>
      <c r="H19" s="8" t="n"/>
      <c r="I19" s="8" t="n"/>
      <c r="J19" s="28">
        <f>IF($D19="","",$E19-$F19)</f>
        <v/>
      </c>
      <c r="K19" s="24">
        <f>IF($D19="","",IF(ABS(IFERROR(($E19-$F19)/INDEX(Lib_Scale,MATCH($D19,Lib_Name,0)),0))&lt;0.5,"Neutral",IF($E19&gt;$F19,"Hot","Cold")))</f>
        <v/>
      </c>
      <c r="L19" s="24">
        <f>IF($D19="","",IFERROR(INDEX(Lib_Importance,MATCH($D19,Lib_Name,0)),""))</f>
        <v/>
      </c>
      <c r="M19" s="27" t="n"/>
      <c r="N19" s="27" t="n"/>
    </row>
    <row r="20">
      <c r="B20" s="26" t="n"/>
      <c r="C20" s="8" t="n"/>
      <c r="D20" s="27" t="n"/>
      <c r="E20" s="18" t="n"/>
      <c r="F20" s="18" t="n"/>
      <c r="G20" s="18" t="n"/>
      <c r="H20" s="8" t="n"/>
      <c r="I20" s="8" t="n"/>
      <c r="J20" s="28">
        <f>IF($D20="","",$E20-$F20)</f>
        <v/>
      </c>
      <c r="K20" s="24">
        <f>IF($D20="","",IF(ABS(IFERROR(($E20-$F20)/INDEX(Lib_Scale,MATCH($D20,Lib_Name,0)),0))&lt;0.5,"Neutral",IF($E20&gt;$F20,"Hot","Cold")))</f>
        <v/>
      </c>
      <c r="L20" s="24">
        <f>IF($D20="","",IFERROR(INDEX(Lib_Importance,MATCH($D20,Lib_Name,0)),""))</f>
        <v/>
      </c>
      <c r="M20" s="27" t="n"/>
      <c r="N20" s="27" t="n"/>
    </row>
    <row r="21">
      <c r="B21" s="26" t="n"/>
      <c r="C21" s="8" t="n"/>
      <c r="D21" s="27" t="n"/>
      <c r="E21" s="18" t="n"/>
      <c r="F21" s="18" t="n"/>
      <c r="G21" s="18" t="n"/>
      <c r="H21" s="8" t="n"/>
      <c r="I21" s="8" t="n"/>
      <c r="J21" s="28">
        <f>IF($D21="","",$E21-$F21)</f>
        <v/>
      </c>
      <c r="K21" s="24">
        <f>IF($D21="","",IF(ABS(IFERROR(($E21-$F21)/INDEX(Lib_Scale,MATCH($D21,Lib_Name,0)),0))&lt;0.5,"Neutral",IF($E21&gt;$F21,"Hot","Cold")))</f>
        <v/>
      </c>
      <c r="L21" s="24">
        <f>IF($D21="","",IFERROR(INDEX(Lib_Importance,MATCH($D21,Lib_Name,0)),""))</f>
        <v/>
      </c>
      <c r="M21" s="27" t="n"/>
      <c r="N21" s="27" t="n"/>
    </row>
    <row r="22">
      <c r="B22" s="26" t="n"/>
      <c r="C22" s="8" t="n"/>
      <c r="D22" s="27" t="n"/>
      <c r="E22" s="18" t="n"/>
      <c r="F22" s="18" t="n"/>
      <c r="G22" s="18" t="n"/>
      <c r="H22" s="8" t="n"/>
      <c r="I22" s="8" t="n"/>
      <c r="J22" s="28">
        <f>IF($D22="","",$E22-$F22)</f>
        <v/>
      </c>
      <c r="K22" s="24">
        <f>IF($D22="","",IF(ABS(IFERROR(($E22-$F22)/INDEX(Lib_Scale,MATCH($D22,Lib_Name,0)),0))&lt;0.5,"Neutral",IF($E22&gt;$F22,"Hot","Cold")))</f>
        <v/>
      </c>
      <c r="L22" s="24">
        <f>IF($D22="","",IFERROR(INDEX(Lib_Importance,MATCH($D22,Lib_Name,0)),""))</f>
        <v/>
      </c>
      <c r="M22" s="27" t="n"/>
      <c r="N22" s="27" t="n"/>
    </row>
    <row r="23">
      <c r="B23" s="26" t="n"/>
      <c r="C23" s="8" t="n"/>
      <c r="D23" s="27" t="n"/>
      <c r="E23" s="18" t="n"/>
      <c r="F23" s="18" t="n"/>
      <c r="G23" s="18" t="n"/>
      <c r="H23" s="8" t="n"/>
      <c r="I23" s="8" t="n"/>
      <c r="J23" s="28">
        <f>IF($D23="","",$E23-$F23)</f>
        <v/>
      </c>
      <c r="K23" s="24">
        <f>IF($D23="","",IF(ABS(IFERROR(($E23-$F23)/INDEX(Lib_Scale,MATCH($D23,Lib_Name,0)),0))&lt;0.5,"Neutral",IF($E23&gt;$F23,"Hot","Cold")))</f>
        <v/>
      </c>
      <c r="L23" s="24">
        <f>IF($D23="","",IFERROR(INDEX(Lib_Importance,MATCH($D23,Lib_Name,0)),""))</f>
        <v/>
      </c>
      <c r="M23" s="27" t="n"/>
      <c r="N23" s="27" t="n"/>
    </row>
    <row r="24">
      <c r="B24" s="26" t="n"/>
      <c r="C24" s="8" t="n"/>
      <c r="D24" s="27" t="n"/>
      <c r="E24" s="18" t="n"/>
      <c r="F24" s="18" t="n"/>
      <c r="G24" s="18" t="n"/>
      <c r="H24" s="8" t="n"/>
      <c r="I24" s="8" t="n"/>
      <c r="J24" s="28">
        <f>IF($D24="","",$E24-$F24)</f>
        <v/>
      </c>
      <c r="K24" s="24">
        <f>IF($D24="","",IF(ABS(IFERROR(($E24-$F24)/INDEX(Lib_Scale,MATCH($D24,Lib_Name,0)),0))&lt;0.5,"Neutral",IF($E24&gt;$F24,"Hot","Cold")))</f>
        <v/>
      </c>
      <c r="L24" s="24">
        <f>IF($D24="","",IFERROR(INDEX(Lib_Importance,MATCH($D24,Lib_Name,0)),""))</f>
        <v/>
      </c>
      <c r="M24" s="27" t="n"/>
      <c r="N24" s="27" t="n"/>
    </row>
    <row r="25">
      <c r="B25" s="26" t="n"/>
      <c r="C25" s="8" t="n"/>
      <c r="D25" s="27" t="n"/>
      <c r="E25" s="18" t="n"/>
      <c r="F25" s="18" t="n"/>
      <c r="G25" s="18" t="n"/>
      <c r="H25" s="8" t="n"/>
      <c r="I25" s="8" t="n"/>
      <c r="J25" s="28">
        <f>IF($D25="","",$E25-$F25)</f>
        <v/>
      </c>
      <c r="K25" s="24">
        <f>IF($D25="","",IF(ABS(IFERROR(($E25-$F25)/INDEX(Lib_Scale,MATCH($D25,Lib_Name,0)),0))&lt;0.5,"Neutral",IF($E25&gt;$F25,"Hot","Cold")))</f>
        <v/>
      </c>
      <c r="L25" s="24">
        <f>IF($D25="","",IFERROR(INDEX(Lib_Importance,MATCH($D25,Lib_Name,0)),""))</f>
        <v/>
      </c>
      <c r="M25" s="27" t="n"/>
      <c r="N25" s="27" t="n"/>
    </row>
    <row r="26">
      <c r="B26" s="26" t="n"/>
      <c r="C26" s="8" t="n"/>
      <c r="D26" s="27" t="n"/>
      <c r="E26" s="18" t="n"/>
      <c r="F26" s="18" t="n"/>
      <c r="G26" s="18" t="n"/>
      <c r="H26" s="8" t="n"/>
      <c r="I26" s="8" t="n"/>
      <c r="J26" s="28">
        <f>IF($D26="","",$E26-$F26)</f>
        <v/>
      </c>
      <c r="K26" s="24">
        <f>IF($D26="","",IF(ABS(IFERROR(($E26-$F26)/INDEX(Lib_Scale,MATCH($D26,Lib_Name,0)),0))&lt;0.5,"Neutral",IF($E26&gt;$F26,"Hot","Cold")))</f>
        <v/>
      </c>
      <c r="L26" s="24">
        <f>IF($D26="","",IFERROR(INDEX(Lib_Importance,MATCH($D26,Lib_Name,0)),""))</f>
        <v/>
      </c>
      <c r="M26" s="27" t="n"/>
      <c r="N26" s="27" t="n"/>
    </row>
    <row r="27">
      <c r="B27" s="26" t="n"/>
      <c r="C27" s="8" t="n"/>
      <c r="D27" s="27" t="n"/>
      <c r="E27" s="18" t="n"/>
      <c r="F27" s="18" t="n"/>
      <c r="G27" s="18" t="n"/>
      <c r="H27" s="8" t="n"/>
      <c r="I27" s="8" t="n"/>
      <c r="J27" s="28">
        <f>IF($D27="","",$E27-$F27)</f>
        <v/>
      </c>
      <c r="K27" s="24">
        <f>IF($D27="","",IF(ABS(IFERROR(($E27-$F27)/INDEX(Lib_Scale,MATCH($D27,Lib_Name,0)),0))&lt;0.5,"Neutral",IF($E27&gt;$F27,"Hot","Cold")))</f>
        <v/>
      </c>
      <c r="L27" s="24">
        <f>IF($D27="","",IFERROR(INDEX(Lib_Importance,MATCH($D27,Lib_Name,0)),""))</f>
        <v/>
      </c>
      <c r="M27" s="27" t="n"/>
      <c r="N27" s="27" t="n"/>
    </row>
    <row r="28">
      <c r="B28" s="26" t="n"/>
      <c r="C28" s="8" t="n"/>
      <c r="D28" s="27" t="n"/>
      <c r="E28" s="18" t="n"/>
      <c r="F28" s="18" t="n"/>
      <c r="G28" s="18" t="n"/>
      <c r="H28" s="8" t="n"/>
      <c r="I28" s="8" t="n"/>
      <c r="J28" s="28">
        <f>IF($D28="","",$E28-$F28)</f>
        <v/>
      </c>
      <c r="K28" s="24">
        <f>IF($D28="","",IF(ABS(IFERROR(($E28-$F28)/INDEX(Lib_Scale,MATCH($D28,Lib_Name,0)),0))&lt;0.5,"Neutral",IF($E28&gt;$F28,"Hot","Cold")))</f>
        <v/>
      </c>
      <c r="L28" s="24">
        <f>IF($D28="","",IFERROR(INDEX(Lib_Importance,MATCH($D28,Lib_Name,0)),""))</f>
        <v/>
      </c>
      <c r="M28" s="27" t="n"/>
      <c r="N28" s="27" t="n"/>
    </row>
    <row r="29">
      <c r="B29" s="26" t="n"/>
      <c r="C29" s="8" t="n"/>
      <c r="D29" s="27" t="n"/>
      <c r="E29" s="18" t="n"/>
      <c r="F29" s="18" t="n"/>
      <c r="G29" s="18" t="n"/>
      <c r="H29" s="8" t="n"/>
      <c r="I29" s="8" t="n"/>
      <c r="J29" s="28">
        <f>IF($D29="","",$E29-$F29)</f>
        <v/>
      </c>
      <c r="K29" s="24">
        <f>IF($D29="","",IF(ABS(IFERROR(($E29-$F29)/INDEX(Lib_Scale,MATCH($D29,Lib_Name,0)),0))&lt;0.5,"Neutral",IF($E29&gt;$F29,"Hot","Cold")))</f>
        <v/>
      </c>
      <c r="L29" s="24">
        <f>IF($D29="","",IFERROR(INDEX(Lib_Importance,MATCH($D29,Lib_Name,0)),""))</f>
        <v/>
      </c>
      <c r="M29" s="27" t="n"/>
      <c r="N29" s="27" t="n"/>
    </row>
    <row r="30">
      <c r="B30" s="26" t="n"/>
      <c r="C30" s="8" t="n"/>
      <c r="D30" s="27" t="n"/>
      <c r="E30" s="18" t="n"/>
      <c r="F30" s="18" t="n"/>
      <c r="G30" s="18" t="n"/>
      <c r="H30" s="8" t="n"/>
      <c r="I30" s="8" t="n"/>
      <c r="J30" s="28">
        <f>IF($D30="","",$E30-$F30)</f>
        <v/>
      </c>
      <c r="K30" s="24">
        <f>IF($D30="","",IF(ABS(IFERROR(($E30-$F30)/INDEX(Lib_Scale,MATCH($D30,Lib_Name,0)),0))&lt;0.5,"Neutral",IF($E30&gt;$F30,"Hot","Cold")))</f>
        <v/>
      </c>
      <c r="L30" s="24">
        <f>IF($D30="","",IFERROR(INDEX(Lib_Importance,MATCH($D30,Lib_Name,0)),""))</f>
        <v/>
      </c>
      <c r="M30" s="27" t="n"/>
      <c r="N30" s="27" t="n"/>
    </row>
    <row r="31">
      <c r="B31" s="26" t="n"/>
      <c r="C31" s="8" t="n"/>
      <c r="D31" s="27" t="n"/>
      <c r="E31" s="18" t="n"/>
      <c r="F31" s="18" t="n"/>
      <c r="G31" s="18" t="n"/>
      <c r="H31" s="8" t="n"/>
      <c r="I31" s="8" t="n"/>
      <c r="J31" s="28">
        <f>IF($D31="","",$E31-$F31)</f>
        <v/>
      </c>
      <c r="K31" s="24">
        <f>IF($D31="","",IF(ABS(IFERROR(($E31-$F31)/INDEX(Lib_Scale,MATCH($D31,Lib_Name,0)),0))&lt;0.5,"Neutral",IF($E31&gt;$F31,"Hot","Cold")))</f>
        <v/>
      </c>
      <c r="L31" s="24">
        <f>IF($D31="","",IFERROR(INDEX(Lib_Importance,MATCH($D31,Lib_Name,0)),""))</f>
        <v/>
      </c>
      <c r="M31" s="27" t="n"/>
      <c r="N31" s="27" t="n"/>
    </row>
    <row r="32">
      <c r="B32" s="26" t="n"/>
      <c r="C32" s="8" t="n"/>
      <c r="D32" s="27" t="n"/>
      <c r="E32" s="18" t="n"/>
      <c r="F32" s="18" t="n"/>
      <c r="G32" s="18" t="n"/>
      <c r="H32" s="8" t="n"/>
      <c r="I32" s="8" t="n"/>
      <c r="J32" s="28">
        <f>IF($D32="","",$E32-$F32)</f>
        <v/>
      </c>
      <c r="K32" s="24">
        <f>IF($D32="","",IF(ABS(IFERROR(($E32-$F32)/INDEX(Lib_Scale,MATCH($D32,Lib_Name,0)),0))&lt;0.5,"Neutral",IF($E32&gt;$F32,"Hot","Cold")))</f>
        <v/>
      </c>
      <c r="L32" s="24">
        <f>IF($D32="","",IFERROR(INDEX(Lib_Importance,MATCH($D32,Lib_Name,0)),""))</f>
        <v/>
      </c>
      <c r="M32" s="27" t="n"/>
      <c r="N32" s="27" t="n"/>
    </row>
    <row r="33">
      <c r="B33" s="26" t="n"/>
      <c r="C33" s="8" t="n"/>
      <c r="D33" s="27" t="n"/>
      <c r="E33" s="18" t="n"/>
      <c r="F33" s="18" t="n"/>
      <c r="G33" s="18" t="n"/>
      <c r="H33" s="8" t="n"/>
      <c r="I33" s="8" t="n"/>
      <c r="J33" s="28">
        <f>IF($D33="","",$E33-$F33)</f>
        <v/>
      </c>
      <c r="K33" s="24">
        <f>IF($D33="","",IF(ABS(IFERROR(($E33-$F33)/INDEX(Lib_Scale,MATCH($D33,Lib_Name,0)),0))&lt;0.5,"Neutral",IF($E33&gt;$F33,"Hot","Cold")))</f>
        <v/>
      </c>
      <c r="L33" s="24">
        <f>IF($D33="","",IFERROR(INDEX(Lib_Importance,MATCH($D33,Lib_Name,0)),""))</f>
        <v/>
      </c>
      <c r="M33" s="27" t="n"/>
      <c r="N33" s="27" t="n"/>
    </row>
    <row r="34">
      <c r="B34" s="26" t="n"/>
      <c r="C34" s="8" t="n"/>
      <c r="D34" s="27" t="n"/>
      <c r="E34" s="18" t="n"/>
      <c r="F34" s="18" t="n"/>
      <c r="G34" s="18" t="n"/>
      <c r="H34" s="8" t="n"/>
      <c r="I34" s="8" t="n"/>
      <c r="J34" s="28">
        <f>IF($D34="","",$E34-$F34)</f>
        <v/>
      </c>
      <c r="K34" s="24">
        <f>IF($D34="","",IF(ABS(IFERROR(($E34-$F34)/INDEX(Lib_Scale,MATCH($D34,Lib_Name,0)),0))&lt;0.5,"Neutral",IF($E34&gt;$F34,"Hot","Cold")))</f>
        <v/>
      </c>
      <c r="L34" s="24">
        <f>IF($D34="","",IFERROR(INDEX(Lib_Importance,MATCH($D34,Lib_Name,0)),""))</f>
        <v/>
      </c>
      <c r="M34" s="27" t="n"/>
      <c r="N34" s="27" t="n"/>
    </row>
    <row r="35">
      <c r="B35" s="26" t="n"/>
      <c r="C35" s="8" t="n"/>
      <c r="D35" s="27" t="n"/>
      <c r="E35" s="18" t="n"/>
      <c r="F35" s="18" t="n"/>
      <c r="G35" s="18" t="n"/>
      <c r="H35" s="8" t="n"/>
      <c r="I35" s="8" t="n"/>
      <c r="J35" s="28">
        <f>IF($D35="","",$E35-$F35)</f>
        <v/>
      </c>
      <c r="K35" s="24">
        <f>IF($D35="","",IF(ABS(IFERROR(($E35-$F35)/INDEX(Lib_Scale,MATCH($D35,Lib_Name,0)),0))&lt;0.5,"Neutral",IF($E35&gt;$F35,"Hot","Cold")))</f>
        <v/>
      </c>
      <c r="L35" s="24">
        <f>IF($D35="","",IFERROR(INDEX(Lib_Importance,MATCH($D35,Lib_Name,0)),""))</f>
        <v/>
      </c>
      <c r="M35" s="27" t="n"/>
      <c r="N35" s="27" t="n"/>
    </row>
    <row r="36">
      <c r="B36" s="26" t="n"/>
      <c r="C36" s="8" t="n"/>
      <c r="D36" s="27" t="n"/>
      <c r="E36" s="18" t="n"/>
      <c r="F36" s="18" t="n"/>
      <c r="G36" s="18" t="n"/>
      <c r="H36" s="8" t="n"/>
      <c r="I36" s="8" t="n"/>
      <c r="J36" s="28">
        <f>IF($D36="","",$E36-$F36)</f>
        <v/>
      </c>
      <c r="K36" s="24">
        <f>IF($D36="","",IF(ABS(IFERROR(($E36-$F36)/INDEX(Lib_Scale,MATCH($D36,Lib_Name,0)),0))&lt;0.5,"Neutral",IF($E36&gt;$F36,"Hot","Cold")))</f>
        <v/>
      </c>
      <c r="L36" s="24">
        <f>IF($D36="","",IFERROR(INDEX(Lib_Importance,MATCH($D36,Lib_Name,0)),""))</f>
        <v/>
      </c>
      <c r="M36" s="27" t="n"/>
      <c r="N36" s="27" t="n"/>
    </row>
    <row r="37">
      <c r="B37" s="26" t="n"/>
      <c r="C37" s="8" t="n"/>
      <c r="D37" s="27" t="n"/>
      <c r="E37" s="18" t="n"/>
      <c r="F37" s="18" t="n"/>
      <c r="G37" s="18" t="n"/>
      <c r="H37" s="8" t="n"/>
      <c r="I37" s="8" t="n"/>
      <c r="J37" s="28">
        <f>IF($D37="","",$E37-$F37)</f>
        <v/>
      </c>
      <c r="K37" s="24">
        <f>IF($D37="","",IF(ABS(IFERROR(($E37-$F37)/INDEX(Lib_Scale,MATCH($D37,Lib_Name,0)),0))&lt;0.5,"Neutral",IF($E37&gt;$F37,"Hot","Cold")))</f>
        <v/>
      </c>
      <c r="L37" s="24">
        <f>IF($D37="","",IFERROR(INDEX(Lib_Importance,MATCH($D37,Lib_Name,0)),""))</f>
        <v/>
      </c>
      <c r="M37" s="27" t="n"/>
      <c r="N37" s="27" t="n"/>
    </row>
    <row r="38">
      <c r="B38" s="26" t="n"/>
      <c r="C38" s="8" t="n"/>
      <c r="D38" s="27" t="n"/>
      <c r="E38" s="18" t="n"/>
      <c r="F38" s="18" t="n"/>
      <c r="G38" s="18" t="n"/>
      <c r="H38" s="8" t="n"/>
      <c r="I38" s="8" t="n"/>
      <c r="J38" s="28">
        <f>IF($D38="","",$E38-$F38)</f>
        <v/>
      </c>
      <c r="K38" s="24">
        <f>IF($D38="","",IF(ABS(IFERROR(($E38-$F38)/INDEX(Lib_Scale,MATCH($D38,Lib_Name,0)),0))&lt;0.5,"Neutral",IF($E38&gt;$F38,"Hot","Cold")))</f>
        <v/>
      </c>
      <c r="L38" s="24">
        <f>IF($D38="","",IFERROR(INDEX(Lib_Importance,MATCH($D38,Lib_Name,0)),""))</f>
        <v/>
      </c>
      <c r="M38" s="27" t="n"/>
      <c r="N38" s="27" t="n"/>
    </row>
    <row r="39">
      <c r="B39" s="26" t="n"/>
      <c r="C39" s="8" t="n"/>
      <c r="D39" s="27" t="n"/>
      <c r="E39" s="18" t="n"/>
      <c r="F39" s="18" t="n"/>
      <c r="G39" s="18" t="n"/>
      <c r="H39" s="8" t="n"/>
      <c r="I39" s="8" t="n"/>
      <c r="J39" s="28">
        <f>IF($D39="","",$E39-$F39)</f>
        <v/>
      </c>
      <c r="K39" s="24">
        <f>IF($D39="","",IF(ABS(IFERROR(($E39-$F39)/INDEX(Lib_Scale,MATCH($D39,Lib_Name,0)),0))&lt;0.5,"Neutral",IF($E39&gt;$F39,"Hot","Cold")))</f>
        <v/>
      </c>
      <c r="L39" s="24">
        <f>IF($D39="","",IFERROR(INDEX(Lib_Importance,MATCH($D39,Lib_Name,0)),""))</f>
        <v/>
      </c>
      <c r="M39" s="27" t="n"/>
      <c r="N39" s="27" t="n"/>
    </row>
    <row r="40">
      <c r="B40" s="26" t="n"/>
      <c r="C40" s="8" t="n"/>
      <c r="D40" s="27" t="n"/>
      <c r="E40" s="18" t="n"/>
      <c r="F40" s="18" t="n"/>
      <c r="G40" s="18" t="n"/>
      <c r="H40" s="8" t="n"/>
      <c r="I40" s="8" t="n"/>
      <c r="J40" s="28">
        <f>IF($D40="","",$E40-$F40)</f>
        <v/>
      </c>
      <c r="K40" s="24">
        <f>IF($D40="","",IF(ABS(IFERROR(($E40-$F40)/INDEX(Lib_Scale,MATCH($D40,Lib_Name,0)),0))&lt;0.5,"Neutral",IF($E40&gt;$F40,"Hot","Cold")))</f>
        <v/>
      </c>
      <c r="L40" s="24">
        <f>IF($D40="","",IFERROR(INDEX(Lib_Importance,MATCH($D40,Lib_Name,0)),""))</f>
        <v/>
      </c>
      <c r="M40" s="27" t="n"/>
      <c r="N40" s="27" t="n"/>
    </row>
    <row r="41">
      <c r="B41" s="26" t="n"/>
      <c r="C41" s="8" t="n"/>
      <c r="D41" s="27" t="n"/>
      <c r="E41" s="18" t="n"/>
      <c r="F41" s="18" t="n"/>
      <c r="G41" s="18" t="n"/>
      <c r="H41" s="8" t="n"/>
      <c r="I41" s="8" t="n"/>
      <c r="J41" s="28">
        <f>IF($D41="","",$E41-$F41)</f>
        <v/>
      </c>
      <c r="K41" s="24">
        <f>IF($D41="","",IF(ABS(IFERROR(($E41-$F41)/INDEX(Lib_Scale,MATCH($D41,Lib_Name,0)),0))&lt;0.5,"Neutral",IF($E41&gt;$F41,"Hot","Cold")))</f>
        <v/>
      </c>
      <c r="L41" s="24">
        <f>IF($D41="","",IFERROR(INDEX(Lib_Importance,MATCH($D41,Lib_Name,0)),""))</f>
        <v/>
      </c>
      <c r="M41" s="27" t="n"/>
      <c r="N41" s="27" t="n"/>
    </row>
    <row r="42">
      <c r="B42" s="26" t="n"/>
      <c r="C42" s="8" t="n"/>
      <c r="D42" s="27" t="n"/>
      <c r="E42" s="18" t="n"/>
      <c r="F42" s="18" t="n"/>
      <c r="G42" s="18" t="n"/>
      <c r="H42" s="8" t="n"/>
      <c r="I42" s="8" t="n"/>
      <c r="J42" s="28">
        <f>IF($D42="","",$E42-$F42)</f>
        <v/>
      </c>
      <c r="K42" s="24">
        <f>IF($D42="","",IF(ABS(IFERROR(($E42-$F42)/INDEX(Lib_Scale,MATCH($D42,Lib_Name,0)),0))&lt;0.5,"Neutral",IF($E42&gt;$F42,"Hot","Cold")))</f>
        <v/>
      </c>
      <c r="L42" s="24">
        <f>IF($D42="","",IFERROR(INDEX(Lib_Importance,MATCH($D42,Lib_Name,0)),""))</f>
        <v/>
      </c>
      <c r="M42" s="27" t="n"/>
      <c r="N42" s="27" t="n"/>
    </row>
    <row r="43">
      <c r="B43" s="26" t="n"/>
      <c r="C43" s="8" t="n"/>
      <c r="D43" s="27" t="n"/>
      <c r="E43" s="18" t="n"/>
      <c r="F43" s="18" t="n"/>
      <c r="G43" s="18" t="n"/>
      <c r="H43" s="8" t="n"/>
      <c r="I43" s="8" t="n"/>
      <c r="J43" s="28">
        <f>IF($D43="","",$E43-$F43)</f>
        <v/>
      </c>
      <c r="K43" s="24">
        <f>IF($D43="","",IF(ABS(IFERROR(($E43-$F43)/INDEX(Lib_Scale,MATCH($D43,Lib_Name,0)),0))&lt;0.5,"Neutral",IF($E43&gt;$F43,"Hot","Cold")))</f>
        <v/>
      </c>
      <c r="L43" s="24">
        <f>IF($D43="","",IFERROR(INDEX(Lib_Importance,MATCH($D43,Lib_Name,0)),""))</f>
        <v/>
      </c>
      <c r="M43" s="27" t="n"/>
      <c r="N43" s="27" t="n"/>
    </row>
    <row r="44">
      <c r="B44" s="26" t="n"/>
      <c r="C44" s="8" t="n"/>
      <c r="D44" s="27" t="n"/>
      <c r="E44" s="18" t="n"/>
      <c r="F44" s="18" t="n"/>
      <c r="G44" s="18" t="n"/>
      <c r="H44" s="8" t="n"/>
      <c r="I44" s="8" t="n"/>
      <c r="J44" s="28">
        <f>IF($D44="","",$E44-$F44)</f>
        <v/>
      </c>
      <c r="K44" s="24">
        <f>IF($D44="","",IF(ABS(IFERROR(($E44-$F44)/INDEX(Lib_Scale,MATCH($D44,Lib_Name,0)),0))&lt;0.5,"Neutral",IF($E44&gt;$F44,"Hot","Cold")))</f>
        <v/>
      </c>
      <c r="L44" s="24">
        <f>IF($D44="","",IFERROR(INDEX(Lib_Importance,MATCH($D44,Lib_Name,0)),""))</f>
        <v/>
      </c>
      <c r="M44" s="27" t="n"/>
      <c r="N44" s="27" t="n"/>
    </row>
    <row r="45">
      <c r="B45" s="26" t="n"/>
      <c r="C45" s="8" t="n"/>
      <c r="D45" s="27" t="n"/>
      <c r="E45" s="18" t="n"/>
      <c r="F45" s="18" t="n"/>
      <c r="G45" s="18" t="n"/>
      <c r="H45" s="8" t="n"/>
      <c r="I45" s="8" t="n"/>
      <c r="J45" s="28">
        <f>IF($D45="","",$E45-$F45)</f>
        <v/>
      </c>
      <c r="K45" s="24">
        <f>IF($D45="","",IF(ABS(IFERROR(($E45-$F45)/INDEX(Lib_Scale,MATCH($D45,Lib_Name,0)),0))&lt;0.5,"Neutral",IF($E45&gt;$F45,"Hot","Cold")))</f>
        <v/>
      </c>
      <c r="L45" s="24">
        <f>IF($D45="","",IFERROR(INDEX(Lib_Importance,MATCH($D45,Lib_Name,0)),""))</f>
        <v/>
      </c>
      <c r="M45" s="27" t="n"/>
      <c r="N45" s="27" t="n"/>
    </row>
    <row r="46">
      <c r="B46" s="26" t="n"/>
      <c r="C46" s="8" t="n"/>
      <c r="D46" s="27" t="n"/>
      <c r="E46" s="18" t="n"/>
      <c r="F46" s="18" t="n"/>
      <c r="G46" s="18" t="n"/>
      <c r="H46" s="8" t="n"/>
      <c r="I46" s="8" t="n"/>
      <c r="J46" s="28">
        <f>IF($D46="","",$E46-$F46)</f>
        <v/>
      </c>
      <c r="K46" s="24">
        <f>IF($D46="","",IF(ABS(IFERROR(($E46-$F46)/INDEX(Lib_Scale,MATCH($D46,Lib_Name,0)),0))&lt;0.5,"Neutral",IF($E46&gt;$F46,"Hot","Cold")))</f>
        <v/>
      </c>
      <c r="L46" s="24">
        <f>IF($D46="","",IFERROR(INDEX(Lib_Importance,MATCH($D46,Lib_Name,0)),""))</f>
        <v/>
      </c>
      <c r="M46" s="27" t="n"/>
      <c r="N46" s="27" t="n"/>
    </row>
    <row r="47">
      <c r="B47" s="26" t="n"/>
      <c r="C47" s="8" t="n"/>
      <c r="D47" s="27" t="n"/>
      <c r="E47" s="18" t="n"/>
      <c r="F47" s="18" t="n"/>
      <c r="G47" s="18" t="n"/>
      <c r="H47" s="8" t="n"/>
      <c r="I47" s="8" t="n"/>
      <c r="J47" s="28">
        <f>IF($D47="","",$E47-$F47)</f>
        <v/>
      </c>
      <c r="K47" s="24">
        <f>IF($D47="","",IF(ABS(IFERROR(($E47-$F47)/INDEX(Lib_Scale,MATCH($D47,Lib_Name,0)),0))&lt;0.5,"Neutral",IF($E47&gt;$F47,"Hot","Cold")))</f>
        <v/>
      </c>
      <c r="L47" s="24">
        <f>IF($D47="","",IFERROR(INDEX(Lib_Importance,MATCH($D47,Lib_Name,0)),""))</f>
        <v/>
      </c>
      <c r="M47" s="27" t="n"/>
      <c r="N47" s="27" t="n"/>
    </row>
    <row r="48">
      <c r="B48" s="26" t="n"/>
      <c r="C48" s="8" t="n"/>
      <c r="D48" s="27" t="n"/>
      <c r="E48" s="18" t="n"/>
      <c r="F48" s="18" t="n"/>
      <c r="G48" s="18" t="n"/>
      <c r="H48" s="8" t="n"/>
      <c r="I48" s="8" t="n"/>
      <c r="J48" s="28">
        <f>IF($D48="","",$E48-$F48)</f>
        <v/>
      </c>
      <c r="K48" s="24">
        <f>IF($D48="","",IF(ABS(IFERROR(($E48-$F48)/INDEX(Lib_Scale,MATCH($D48,Lib_Name,0)),0))&lt;0.5,"Neutral",IF($E48&gt;$F48,"Hot","Cold")))</f>
        <v/>
      </c>
      <c r="L48" s="24">
        <f>IF($D48="","",IFERROR(INDEX(Lib_Importance,MATCH($D48,Lib_Name,0)),""))</f>
        <v/>
      </c>
      <c r="M48" s="27" t="n"/>
      <c r="N48" s="27" t="n"/>
    </row>
  </sheetData>
  <mergeCells count="4">
    <mergeCell ref="A6:N6"/>
    <mergeCell ref="A3:N3"/>
    <mergeCell ref="A2:N2"/>
    <mergeCell ref="A1:N1"/>
  </mergeCells>
  <conditionalFormatting sqref="K9:K48">
    <cfRule type="cellIs" priority="1" operator="equal" dxfId="1">
      <formula>"Hot"</formula>
    </cfRule>
    <cfRule type="cellIs" priority="2" operator="equal" dxfId="2">
      <formula>"Cold"</formula>
    </cfRule>
    <cfRule type="cellIs" priority="3" operator="equal" dxfId="3">
      <formula>"Neutral"</formula>
    </cfRule>
  </conditionalFormatting>
  <dataValidations count="120">
    <dataValidation sqref="C9" showDropDown="0" showInputMessage="0" showErrorMessage="1" allowBlank="1" type="list">
      <formula1>"US,Eurozone,UK,Japan,China,Global,Kuwait,GCC,EM"</formula1>
    </dataValidation>
    <dataValidation sqref="D9" showDropDown="0" showInputMessage="0" showErrorMessage="1" allowBlank="1" type="list">
      <formula1>=Lib_Name</formula1>
    </dataValidation>
    <dataValidation sqref="I9" showDropDown="0" showInputMessage="0" showErrorMessage="1" allowBlank="1" type="list">
      <formula1>"Monthly,Weekly,Quarterly,Daily,Ad hoc"</formula1>
    </dataValidation>
    <dataValidation sqref="C10" showDropDown="0" showInputMessage="0" showErrorMessage="1" allowBlank="1" type="list">
      <formula1>"US,Eurozone,UK,Japan,China,Global,Kuwait,GCC,EM"</formula1>
    </dataValidation>
    <dataValidation sqref="D10" showDropDown="0" showInputMessage="0" showErrorMessage="1" allowBlank="1" type="list">
      <formula1>=Lib_Name</formula1>
    </dataValidation>
    <dataValidation sqref="I10" showDropDown="0" showInputMessage="0" showErrorMessage="1" allowBlank="1" type="list">
      <formula1>"Monthly,Weekly,Quarterly,Daily,Ad hoc"</formula1>
    </dataValidation>
    <dataValidation sqref="C11" showDropDown="0" showInputMessage="0" showErrorMessage="1" allowBlank="1" type="list">
      <formula1>"US,Eurozone,UK,Japan,China,Global,Kuwait,GCC,EM"</formula1>
    </dataValidation>
    <dataValidation sqref="D11" showDropDown="0" showInputMessage="0" showErrorMessage="1" allowBlank="1" type="list">
      <formula1>=Lib_Name</formula1>
    </dataValidation>
    <dataValidation sqref="I11" showDropDown="0" showInputMessage="0" showErrorMessage="1" allowBlank="1" type="list">
      <formula1>"Monthly,Weekly,Quarterly,Daily,Ad hoc"</formula1>
    </dataValidation>
    <dataValidation sqref="C12" showDropDown="0" showInputMessage="0" showErrorMessage="1" allowBlank="1" type="list">
      <formula1>"US,Eurozone,UK,Japan,China,Global,Kuwait,GCC,EM"</formula1>
    </dataValidation>
    <dataValidation sqref="D12" showDropDown="0" showInputMessage="0" showErrorMessage="1" allowBlank="1" type="list">
      <formula1>=Lib_Name</formula1>
    </dataValidation>
    <dataValidation sqref="I12" showDropDown="0" showInputMessage="0" showErrorMessage="1" allowBlank="1" type="list">
      <formula1>"Monthly,Weekly,Quarterly,Daily,Ad hoc"</formula1>
    </dataValidation>
    <dataValidation sqref="C13" showDropDown="0" showInputMessage="0" showErrorMessage="1" allowBlank="1" type="list">
      <formula1>"US,Eurozone,UK,Japan,China,Global,Kuwait,GCC,EM"</formula1>
    </dataValidation>
    <dataValidation sqref="D13" showDropDown="0" showInputMessage="0" showErrorMessage="1" allowBlank="1" type="list">
      <formula1>=Lib_Name</formula1>
    </dataValidation>
    <dataValidation sqref="I13" showDropDown="0" showInputMessage="0" showErrorMessage="1" allowBlank="1" type="list">
      <formula1>"Monthly,Weekly,Quarterly,Daily,Ad hoc"</formula1>
    </dataValidation>
    <dataValidation sqref="C14" showDropDown="0" showInputMessage="0" showErrorMessage="1" allowBlank="1" type="list">
      <formula1>"US,Eurozone,UK,Japan,China,Global,Kuwait,GCC,EM"</formula1>
    </dataValidation>
    <dataValidation sqref="D14" showDropDown="0" showInputMessage="0" showErrorMessage="1" allowBlank="1" type="list">
      <formula1>=Lib_Name</formula1>
    </dataValidation>
    <dataValidation sqref="I14" showDropDown="0" showInputMessage="0" showErrorMessage="1" allowBlank="1" type="list">
      <formula1>"Monthly,Weekly,Quarterly,Daily,Ad hoc"</formula1>
    </dataValidation>
    <dataValidation sqref="C15" showDropDown="0" showInputMessage="0" showErrorMessage="1" allowBlank="1" type="list">
      <formula1>"US,Eurozone,UK,Japan,China,Global,Kuwait,GCC,EM"</formula1>
    </dataValidation>
    <dataValidation sqref="D15" showDropDown="0" showInputMessage="0" showErrorMessage="1" allowBlank="1" type="list">
      <formula1>=Lib_Name</formula1>
    </dataValidation>
    <dataValidation sqref="I15" showDropDown="0" showInputMessage="0" showErrorMessage="1" allowBlank="1" type="list">
      <formula1>"Monthly,Weekly,Quarterly,Daily,Ad hoc"</formula1>
    </dataValidation>
    <dataValidation sqref="C16" showDropDown="0" showInputMessage="0" showErrorMessage="1" allowBlank="1" type="list">
      <formula1>"US,Eurozone,UK,Japan,China,Global,Kuwait,GCC,EM"</formula1>
    </dataValidation>
    <dataValidation sqref="D16" showDropDown="0" showInputMessage="0" showErrorMessage="1" allowBlank="1" type="list">
      <formula1>=Lib_Name</formula1>
    </dataValidation>
    <dataValidation sqref="I16" showDropDown="0" showInputMessage="0" showErrorMessage="1" allowBlank="1" type="list">
      <formula1>"Monthly,Weekly,Quarterly,Daily,Ad hoc"</formula1>
    </dataValidation>
    <dataValidation sqref="C17" showDropDown="0" showInputMessage="0" showErrorMessage="1" allowBlank="1" type="list">
      <formula1>"US,Eurozone,UK,Japan,China,Global,Kuwait,GCC,EM"</formula1>
    </dataValidation>
    <dataValidation sqref="D17" showDropDown="0" showInputMessage="0" showErrorMessage="1" allowBlank="1" type="list">
      <formula1>=Lib_Name</formula1>
    </dataValidation>
    <dataValidation sqref="I17" showDropDown="0" showInputMessage="0" showErrorMessage="1" allowBlank="1" type="list">
      <formula1>"Monthly,Weekly,Quarterly,Daily,Ad hoc"</formula1>
    </dataValidation>
    <dataValidation sqref="C18" showDropDown="0" showInputMessage="0" showErrorMessage="1" allowBlank="1" type="list">
      <formula1>"US,Eurozone,UK,Japan,China,Global,Kuwait,GCC,EM"</formula1>
    </dataValidation>
    <dataValidation sqref="D18" showDropDown="0" showInputMessage="0" showErrorMessage="1" allowBlank="1" type="list">
      <formula1>=Lib_Name</formula1>
    </dataValidation>
    <dataValidation sqref="I18" showDropDown="0" showInputMessage="0" showErrorMessage="1" allowBlank="1" type="list">
      <formula1>"Monthly,Weekly,Quarterly,Daily,Ad hoc"</formula1>
    </dataValidation>
    <dataValidation sqref="C19" showDropDown="0" showInputMessage="0" showErrorMessage="1" allowBlank="1" type="list">
      <formula1>"US,Eurozone,UK,Japan,China,Global,Kuwait,GCC,EM"</formula1>
    </dataValidation>
    <dataValidation sqref="D19" showDropDown="0" showInputMessage="0" showErrorMessage="1" allowBlank="1" type="list">
      <formula1>=Lib_Name</formula1>
    </dataValidation>
    <dataValidation sqref="I19" showDropDown="0" showInputMessage="0" showErrorMessage="1" allowBlank="1" type="list">
      <formula1>"Monthly,Weekly,Quarterly,Daily,Ad hoc"</formula1>
    </dataValidation>
    <dataValidation sqref="C20" showDropDown="0" showInputMessage="0" showErrorMessage="1" allowBlank="1" type="list">
      <formula1>"US,Eurozone,UK,Japan,China,Global,Kuwait,GCC,EM"</formula1>
    </dataValidation>
    <dataValidation sqref="D20" showDropDown="0" showInputMessage="0" showErrorMessage="1" allowBlank="1" type="list">
      <formula1>=Lib_Name</formula1>
    </dataValidation>
    <dataValidation sqref="I20" showDropDown="0" showInputMessage="0" showErrorMessage="1" allowBlank="1" type="list">
      <formula1>"Monthly,Weekly,Quarterly,Daily,Ad hoc"</formula1>
    </dataValidation>
    <dataValidation sqref="C21" showDropDown="0" showInputMessage="0" showErrorMessage="1" allowBlank="1" type="list">
      <formula1>"US,Eurozone,UK,Japan,China,Global,Kuwait,GCC,EM"</formula1>
    </dataValidation>
    <dataValidation sqref="D21" showDropDown="0" showInputMessage="0" showErrorMessage="1" allowBlank="1" type="list">
      <formula1>=Lib_Name</formula1>
    </dataValidation>
    <dataValidation sqref="I21" showDropDown="0" showInputMessage="0" showErrorMessage="1" allowBlank="1" type="list">
      <formula1>"Monthly,Weekly,Quarterly,Daily,Ad hoc"</formula1>
    </dataValidation>
    <dataValidation sqref="C22" showDropDown="0" showInputMessage="0" showErrorMessage="1" allowBlank="1" type="list">
      <formula1>"US,Eurozone,UK,Japan,China,Global,Kuwait,GCC,EM"</formula1>
    </dataValidation>
    <dataValidation sqref="D22" showDropDown="0" showInputMessage="0" showErrorMessage="1" allowBlank="1" type="list">
      <formula1>=Lib_Name</formula1>
    </dataValidation>
    <dataValidation sqref="I22" showDropDown="0" showInputMessage="0" showErrorMessage="1" allowBlank="1" type="list">
      <formula1>"Monthly,Weekly,Quarterly,Daily,Ad hoc"</formula1>
    </dataValidation>
    <dataValidation sqref="C23" showDropDown="0" showInputMessage="0" showErrorMessage="1" allowBlank="1" type="list">
      <formula1>"US,Eurozone,UK,Japan,China,Global,Kuwait,GCC,EM"</formula1>
    </dataValidation>
    <dataValidation sqref="D23" showDropDown="0" showInputMessage="0" showErrorMessage="1" allowBlank="1" type="list">
      <formula1>=Lib_Name</formula1>
    </dataValidation>
    <dataValidation sqref="I23" showDropDown="0" showInputMessage="0" showErrorMessage="1" allowBlank="1" type="list">
      <formula1>"Monthly,Weekly,Quarterly,Daily,Ad hoc"</formula1>
    </dataValidation>
    <dataValidation sqref="C24" showDropDown="0" showInputMessage="0" showErrorMessage="1" allowBlank="1" type="list">
      <formula1>"US,Eurozone,UK,Japan,China,Global,Kuwait,GCC,EM"</formula1>
    </dataValidation>
    <dataValidation sqref="D24" showDropDown="0" showInputMessage="0" showErrorMessage="1" allowBlank="1" type="list">
      <formula1>=Lib_Name</formula1>
    </dataValidation>
    <dataValidation sqref="I24" showDropDown="0" showInputMessage="0" showErrorMessage="1" allowBlank="1" type="list">
      <formula1>"Monthly,Weekly,Quarterly,Daily,Ad hoc"</formula1>
    </dataValidation>
    <dataValidation sqref="C25" showDropDown="0" showInputMessage="0" showErrorMessage="1" allowBlank="1" type="list">
      <formula1>"US,Eurozone,UK,Japan,China,Global,Kuwait,GCC,EM"</formula1>
    </dataValidation>
    <dataValidation sqref="D25" showDropDown="0" showInputMessage="0" showErrorMessage="1" allowBlank="1" type="list">
      <formula1>=Lib_Name</formula1>
    </dataValidation>
    <dataValidation sqref="I25" showDropDown="0" showInputMessage="0" showErrorMessage="1" allowBlank="1" type="list">
      <formula1>"Monthly,Weekly,Quarterly,Daily,Ad hoc"</formula1>
    </dataValidation>
    <dataValidation sqref="C26" showDropDown="0" showInputMessage="0" showErrorMessage="1" allowBlank="1" type="list">
      <formula1>"US,Eurozone,UK,Japan,China,Global,Kuwait,GCC,EM"</formula1>
    </dataValidation>
    <dataValidation sqref="D26" showDropDown="0" showInputMessage="0" showErrorMessage="1" allowBlank="1" type="list">
      <formula1>=Lib_Name</formula1>
    </dataValidation>
    <dataValidation sqref="I26" showDropDown="0" showInputMessage="0" showErrorMessage="1" allowBlank="1" type="list">
      <formula1>"Monthly,Weekly,Quarterly,Daily,Ad hoc"</formula1>
    </dataValidation>
    <dataValidation sqref="C27" showDropDown="0" showInputMessage="0" showErrorMessage="1" allowBlank="1" type="list">
      <formula1>"US,Eurozone,UK,Japan,China,Global,Kuwait,GCC,EM"</formula1>
    </dataValidation>
    <dataValidation sqref="D27" showDropDown="0" showInputMessage="0" showErrorMessage="1" allowBlank="1" type="list">
      <formula1>=Lib_Name</formula1>
    </dataValidation>
    <dataValidation sqref="I27" showDropDown="0" showInputMessage="0" showErrorMessage="1" allowBlank="1" type="list">
      <formula1>"Monthly,Weekly,Quarterly,Daily,Ad hoc"</formula1>
    </dataValidation>
    <dataValidation sqref="C28" showDropDown="0" showInputMessage="0" showErrorMessage="1" allowBlank="1" type="list">
      <formula1>"US,Eurozone,UK,Japan,China,Global,Kuwait,GCC,EM"</formula1>
    </dataValidation>
    <dataValidation sqref="D28" showDropDown="0" showInputMessage="0" showErrorMessage="1" allowBlank="1" type="list">
      <formula1>=Lib_Name</formula1>
    </dataValidation>
    <dataValidation sqref="I28" showDropDown="0" showInputMessage="0" showErrorMessage="1" allowBlank="1" type="list">
      <formula1>"Monthly,Weekly,Quarterly,Daily,Ad hoc"</formula1>
    </dataValidation>
    <dataValidation sqref="C29" showDropDown="0" showInputMessage="0" showErrorMessage="1" allowBlank="1" type="list">
      <formula1>"US,Eurozone,UK,Japan,China,Global,Kuwait,GCC,EM"</formula1>
    </dataValidation>
    <dataValidation sqref="D29" showDropDown="0" showInputMessage="0" showErrorMessage="1" allowBlank="1" type="list">
      <formula1>=Lib_Name</formula1>
    </dataValidation>
    <dataValidation sqref="I29" showDropDown="0" showInputMessage="0" showErrorMessage="1" allowBlank="1" type="list">
      <formula1>"Monthly,Weekly,Quarterly,Daily,Ad hoc"</formula1>
    </dataValidation>
    <dataValidation sqref="C30" showDropDown="0" showInputMessage="0" showErrorMessage="1" allowBlank="1" type="list">
      <formula1>"US,Eurozone,UK,Japan,China,Global,Kuwait,GCC,EM"</formula1>
    </dataValidation>
    <dataValidation sqref="D30" showDropDown="0" showInputMessage="0" showErrorMessage="1" allowBlank="1" type="list">
      <formula1>=Lib_Name</formula1>
    </dataValidation>
    <dataValidation sqref="I30" showDropDown="0" showInputMessage="0" showErrorMessage="1" allowBlank="1" type="list">
      <formula1>"Monthly,Weekly,Quarterly,Daily,Ad hoc"</formula1>
    </dataValidation>
    <dataValidation sqref="C31" showDropDown="0" showInputMessage="0" showErrorMessage="1" allowBlank="1" type="list">
      <formula1>"US,Eurozone,UK,Japan,China,Global,Kuwait,GCC,EM"</formula1>
    </dataValidation>
    <dataValidation sqref="D31" showDropDown="0" showInputMessage="0" showErrorMessage="1" allowBlank="1" type="list">
      <formula1>=Lib_Name</formula1>
    </dataValidation>
    <dataValidation sqref="I31" showDropDown="0" showInputMessage="0" showErrorMessage="1" allowBlank="1" type="list">
      <formula1>"Monthly,Weekly,Quarterly,Daily,Ad hoc"</formula1>
    </dataValidation>
    <dataValidation sqref="C32" showDropDown="0" showInputMessage="0" showErrorMessage="1" allowBlank="1" type="list">
      <formula1>"US,Eurozone,UK,Japan,China,Global,Kuwait,GCC,EM"</formula1>
    </dataValidation>
    <dataValidation sqref="D32" showDropDown="0" showInputMessage="0" showErrorMessage="1" allowBlank="1" type="list">
      <formula1>=Lib_Name</formula1>
    </dataValidation>
    <dataValidation sqref="I32" showDropDown="0" showInputMessage="0" showErrorMessage="1" allowBlank="1" type="list">
      <formula1>"Monthly,Weekly,Quarterly,Daily,Ad hoc"</formula1>
    </dataValidation>
    <dataValidation sqref="C33" showDropDown="0" showInputMessage="0" showErrorMessage="1" allowBlank="1" type="list">
      <formula1>"US,Eurozone,UK,Japan,China,Global,Kuwait,GCC,EM"</formula1>
    </dataValidation>
    <dataValidation sqref="D33" showDropDown="0" showInputMessage="0" showErrorMessage="1" allowBlank="1" type="list">
      <formula1>=Lib_Name</formula1>
    </dataValidation>
    <dataValidation sqref="I33" showDropDown="0" showInputMessage="0" showErrorMessage="1" allowBlank="1" type="list">
      <formula1>"Monthly,Weekly,Quarterly,Daily,Ad hoc"</formula1>
    </dataValidation>
    <dataValidation sqref="C34" showDropDown="0" showInputMessage="0" showErrorMessage="1" allowBlank="1" type="list">
      <formula1>"US,Eurozone,UK,Japan,China,Global,Kuwait,GCC,EM"</formula1>
    </dataValidation>
    <dataValidation sqref="D34" showDropDown="0" showInputMessage="0" showErrorMessage="1" allowBlank="1" type="list">
      <formula1>=Lib_Name</formula1>
    </dataValidation>
    <dataValidation sqref="I34" showDropDown="0" showInputMessage="0" showErrorMessage="1" allowBlank="1" type="list">
      <formula1>"Monthly,Weekly,Quarterly,Daily,Ad hoc"</formula1>
    </dataValidation>
    <dataValidation sqref="C35" showDropDown="0" showInputMessage="0" showErrorMessage="1" allowBlank="1" type="list">
      <formula1>"US,Eurozone,UK,Japan,China,Global,Kuwait,GCC,EM"</formula1>
    </dataValidation>
    <dataValidation sqref="D35" showDropDown="0" showInputMessage="0" showErrorMessage="1" allowBlank="1" type="list">
      <formula1>=Lib_Name</formula1>
    </dataValidation>
    <dataValidation sqref="I35" showDropDown="0" showInputMessage="0" showErrorMessage="1" allowBlank="1" type="list">
      <formula1>"Monthly,Weekly,Quarterly,Daily,Ad hoc"</formula1>
    </dataValidation>
    <dataValidation sqref="C36" showDropDown="0" showInputMessage="0" showErrorMessage="1" allowBlank="1" type="list">
      <formula1>"US,Eurozone,UK,Japan,China,Global,Kuwait,GCC,EM"</formula1>
    </dataValidation>
    <dataValidation sqref="D36" showDropDown="0" showInputMessage="0" showErrorMessage="1" allowBlank="1" type="list">
      <formula1>=Lib_Name</formula1>
    </dataValidation>
    <dataValidation sqref="I36" showDropDown="0" showInputMessage="0" showErrorMessage="1" allowBlank="1" type="list">
      <formula1>"Monthly,Weekly,Quarterly,Daily,Ad hoc"</formula1>
    </dataValidation>
    <dataValidation sqref="C37" showDropDown="0" showInputMessage="0" showErrorMessage="1" allowBlank="1" type="list">
      <formula1>"US,Eurozone,UK,Japan,China,Global,Kuwait,GCC,EM"</formula1>
    </dataValidation>
    <dataValidation sqref="D37" showDropDown="0" showInputMessage="0" showErrorMessage="1" allowBlank="1" type="list">
      <formula1>=Lib_Name</formula1>
    </dataValidation>
    <dataValidation sqref="I37" showDropDown="0" showInputMessage="0" showErrorMessage="1" allowBlank="1" type="list">
      <formula1>"Monthly,Weekly,Quarterly,Daily,Ad hoc"</formula1>
    </dataValidation>
    <dataValidation sqref="C38" showDropDown="0" showInputMessage="0" showErrorMessage="1" allowBlank="1" type="list">
      <formula1>"US,Eurozone,UK,Japan,China,Global,Kuwait,GCC,EM"</formula1>
    </dataValidation>
    <dataValidation sqref="D38" showDropDown="0" showInputMessage="0" showErrorMessage="1" allowBlank="1" type="list">
      <formula1>=Lib_Name</formula1>
    </dataValidation>
    <dataValidation sqref="I38" showDropDown="0" showInputMessage="0" showErrorMessage="1" allowBlank="1" type="list">
      <formula1>"Monthly,Weekly,Quarterly,Daily,Ad hoc"</formula1>
    </dataValidation>
    <dataValidation sqref="C39" showDropDown="0" showInputMessage="0" showErrorMessage="1" allowBlank="1" type="list">
      <formula1>"US,Eurozone,UK,Japan,China,Global,Kuwait,GCC,EM"</formula1>
    </dataValidation>
    <dataValidation sqref="D39" showDropDown="0" showInputMessage="0" showErrorMessage="1" allowBlank="1" type="list">
      <formula1>=Lib_Name</formula1>
    </dataValidation>
    <dataValidation sqref="I39" showDropDown="0" showInputMessage="0" showErrorMessage="1" allowBlank="1" type="list">
      <formula1>"Monthly,Weekly,Quarterly,Daily,Ad hoc"</formula1>
    </dataValidation>
    <dataValidation sqref="C40" showDropDown="0" showInputMessage="0" showErrorMessage="1" allowBlank="1" type="list">
      <formula1>"US,Eurozone,UK,Japan,China,Global,Kuwait,GCC,EM"</formula1>
    </dataValidation>
    <dataValidation sqref="D40" showDropDown="0" showInputMessage="0" showErrorMessage="1" allowBlank="1" type="list">
      <formula1>=Lib_Name</formula1>
    </dataValidation>
    <dataValidation sqref="I40" showDropDown="0" showInputMessage="0" showErrorMessage="1" allowBlank="1" type="list">
      <formula1>"Monthly,Weekly,Quarterly,Daily,Ad hoc"</formula1>
    </dataValidation>
    <dataValidation sqref="C41" showDropDown="0" showInputMessage="0" showErrorMessage="1" allowBlank="1" type="list">
      <formula1>"US,Eurozone,UK,Japan,China,Global,Kuwait,GCC,EM"</formula1>
    </dataValidation>
    <dataValidation sqref="D41" showDropDown="0" showInputMessage="0" showErrorMessage="1" allowBlank="1" type="list">
      <formula1>=Lib_Name</formula1>
    </dataValidation>
    <dataValidation sqref="I41" showDropDown="0" showInputMessage="0" showErrorMessage="1" allowBlank="1" type="list">
      <formula1>"Monthly,Weekly,Quarterly,Daily,Ad hoc"</formula1>
    </dataValidation>
    <dataValidation sqref="C42" showDropDown="0" showInputMessage="0" showErrorMessage="1" allowBlank="1" type="list">
      <formula1>"US,Eurozone,UK,Japan,China,Global,Kuwait,GCC,EM"</formula1>
    </dataValidation>
    <dataValidation sqref="D42" showDropDown="0" showInputMessage="0" showErrorMessage="1" allowBlank="1" type="list">
      <formula1>=Lib_Name</formula1>
    </dataValidation>
    <dataValidation sqref="I42" showDropDown="0" showInputMessage="0" showErrorMessage="1" allowBlank="1" type="list">
      <formula1>"Monthly,Weekly,Quarterly,Daily,Ad hoc"</formula1>
    </dataValidation>
    <dataValidation sqref="C43" showDropDown="0" showInputMessage="0" showErrorMessage="1" allowBlank="1" type="list">
      <formula1>"US,Eurozone,UK,Japan,China,Global,Kuwait,GCC,EM"</formula1>
    </dataValidation>
    <dataValidation sqref="D43" showDropDown="0" showInputMessage="0" showErrorMessage="1" allowBlank="1" type="list">
      <formula1>=Lib_Name</formula1>
    </dataValidation>
    <dataValidation sqref="I43" showDropDown="0" showInputMessage="0" showErrorMessage="1" allowBlank="1" type="list">
      <formula1>"Monthly,Weekly,Quarterly,Daily,Ad hoc"</formula1>
    </dataValidation>
    <dataValidation sqref="C44" showDropDown="0" showInputMessage="0" showErrorMessage="1" allowBlank="1" type="list">
      <formula1>"US,Eurozone,UK,Japan,China,Global,Kuwait,GCC,EM"</formula1>
    </dataValidation>
    <dataValidation sqref="D44" showDropDown="0" showInputMessage="0" showErrorMessage="1" allowBlank="1" type="list">
      <formula1>=Lib_Name</formula1>
    </dataValidation>
    <dataValidation sqref="I44" showDropDown="0" showInputMessage="0" showErrorMessage="1" allowBlank="1" type="list">
      <formula1>"Monthly,Weekly,Quarterly,Daily,Ad hoc"</formula1>
    </dataValidation>
    <dataValidation sqref="C45" showDropDown="0" showInputMessage="0" showErrorMessage="1" allowBlank="1" type="list">
      <formula1>"US,Eurozone,UK,Japan,China,Global,Kuwait,GCC,EM"</formula1>
    </dataValidation>
    <dataValidation sqref="D45" showDropDown="0" showInputMessage="0" showErrorMessage="1" allowBlank="1" type="list">
      <formula1>=Lib_Name</formula1>
    </dataValidation>
    <dataValidation sqref="I45" showDropDown="0" showInputMessage="0" showErrorMessage="1" allowBlank="1" type="list">
      <formula1>"Monthly,Weekly,Quarterly,Daily,Ad hoc"</formula1>
    </dataValidation>
    <dataValidation sqref="C46" showDropDown="0" showInputMessage="0" showErrorMessage="1" allowBlank="1" type="list">
      <formula1>"US,Eurozone,UK,Japan,China,Global,Kuwait,GCC,EM"</formula1>
    </dataValidation>
    <dataValidation sqref="D46" showDropDown="0" showInputMessage="0" showErrorMessage="1" allowBlank="1" type="list">
      <formula1>=Lib_Name</formula1>
    </dataValidation>
    <dataValidation sqref="I46" showDropDown="0" showInputMessage="0" showErrorMessage="1" allowBlank="1" type="list">
      <formula1>"Monthly,Weekly,Quarterly,Daily,Ad hoc"</formula1>
    </dataValidation>
    <dataValidation sqref="C47" showDropDown="0" showInputMessage="0" showErrorMessage="1" allowBlank="1" type="list">
      <formula1>"US,Eurozone,UK,Japan,China,Global,Kuwait,GCC,EM"</formula1>
    </dataValidation>
    <dataValidation sqref="D47" showDropDown="0" showInputMessage="0" showErrorMessage="1" allowBlank="1" type="list">
      <formula1>=Lib_Name</formula1>
    </dataValidation>
    <dataValidation sqref="I47" showDropDown="0" showInputMessage="0" showErrorMessage="1" allowBlank="1" type="list">
      <formula1>"Monthly,Weekly,Quarterly,Daily,Ad hoc"</formula1>
    </dataValidation>
    <dataValidation sqref="C48" showDropDown="0" showInputMessage="0" showErrorMessage="1" allowBlank="1" type="list">
      <formula1>"US,Eurozone,UK,Japan,China,Global,Kuwait,GCC,EM"</formula1>
    </dataValidation>
    <dataValidation sqref="D48" showDropDown="0" showInputMessage="0" showErrorMessage="1" allowBlank="1" type="list">
      <formula1>=Lib_Name</formula1>
    </dataValidation>
    <dataValidation sqref="I48" showDropDown="0" showInputMessage="0" showErrorMessage="1" allowBlank="1" type="list">
      <formula1>"Monthly,Weekly,Quarterly,Daily,Ad hoc"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7A3D"/>
    <outlinePr summaryBelow="1" summaryRight="1"/>
    <pageSetUpPr fitToPage="1"/>
  </sheetPr>
  <dimension ref="A1:Z52"/>
  <sheetViews>
    <sheetView showGridLines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22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12" customWidth="1" min="13" max="13"/>
    <col width="10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10" customWidth="1" min="23" max="23"/>
    <col width="8" customWidth="1" min="24" max="24"/>
    <col hidden="1" width="13" customWidth="1" min="26" max="26"/>
  </cols>
  <sheetData>
    <row r="1" ht="26" customHeight="1">
      <c r="A1" s="1" t="inlineStr">
        <is>
          <t>DATA SURPRISE ENGINE</t>
        </is>
      </c>
    </row>
    <row r="2">
      <c r="A2" s="2" t="inlineStr">
        <is>
          <t>Markets trade the surprise vs forecast - this scores it into signals and asset impacts</t>
        </is>
      </c>
    </row>
    <row r="3">
      <c r="A3" s="3" t="inlineStr">
        <is>
          <t>Macro Market Intelligence System  -  v0.9 (core)</t>
        </is>
      </c>
    </row>
    <row r="5">
      <c r="A5" s="15" t="inlineStr">
        <is>
          <t>Cover</t>
        </is>
      </c>
      <c r="B5" s="15" t="inlineStr">
        <is>
          <t>Settings</t>
        </is>
      </c>
      <c r="C5" s="15" t="inlineStr">
        <is>
          <t>Impact Library</t>
        </is>
      </c>
      <c r="D5" s="15" t="inlineStr">
        <is>
          <t>Data Tracker</t>
        </is>
      </c>
      <c r="E5" s="15" t="inlineStr">
        <is>
          <t>Surprise Engine</t>
        </is>
      </c>
      <c r="F5" s="15" t="inlineStr">
        <is>
          <t>Fed Tracker</t>
        </is>
      </c>
    </row>
    <row r="6">
      <c r="A6" s="14" t="inlineStr">
        <is>
          <t>Everything here is calculated from the Data Tracker (same rows). z = surprise / typical surprise. Infl.imp = z x inflation-polarity x importance (this is the hawkish impulse that feeds the Fed score). Arrows are the usual first-order reaction, not a prediction.</t>
        </is>
      </c>
    </row>
    <row r="8" ht="16" customHeight="1">
      <c r="B8" s="17" t="inlineStr">
        <is>
          <t>Date</t>
        </is>
      </c>
      <c r="C8" s="16" t="inlineStr">
        <is>
          <t>Indicator</t>
        </is>
      </c>
      <c r="D8" s="16" t="inlineStr">
        <is>
          <t>Category</t>
        </is>
      </c>
      <c r="E8" s="17" t="inlineStr">
        <is>
          <t>Actual</t>
        </is>
      </c>
      <c r="F8" s="17" t="inlineStr">
        <is>
          <t>Fcst</t>
        </is>
      </c>
      <c r="G8" s="17" t="inlineStr">
        <is>
          <t>Prev</t>
        </is>
      </c>
      <c r="H8" s="17" t="inlineStr">
        <is>
          <t>Surprise</t>
        </is>
      </c>
      <c r="I8" s="17" t="inlineStr">
        <is>
          <t>z</t>
        </is>
      </c>
      <c r="J8" s="17" t="inlineStr">
        <is>
          <t>Hot/Cold</t>
        </is>
      </c>
      <c r="K8" s="17" t="inlineStr">
        <is>
          <t>Infl.imp</t>
        </is>
      </c>
      <c r="L8" s="17" t="inlineStr">
        <is>
          <t>Grow.imp</t>
        </is>
      </c>
      <c r="M8" s="17" t="inlineStr">
        <is>
          <t>Inflation</t>
        </is>
      </c>
      <c r="N8" s="17" t="inlineStr">
        <is>
          <t>Growth</t>
        </is>
      </c>
      <c r="O8" s="17" t="inlineStr">
        <is>
          <t>USD</t>
        </is>
      </c>
      <c r="P8" s="17" t="inlineStr">
        <is>
          <t>UST yld</t>
        </is>
      </c>
      <c r="Q8" s="17" t="inlineStr">
        <is>
          <t>UST px</t>
        </is>
      </c>
      <c r="R8" s="17" t="inlineStr">
        <is>
          <t>Gold</t>
        </is>
      </c>
      <c r="S8" s="17" t="inlineStr">
        <is>
          <t>Oil</t>
        </is>
      </c>
      <c r="T8" s="17" t="inlineStr">
        <is>
          <t>S&amp;P</t>
        </is>
      </c>
      <c r="U8" s="17" t="inlineStr">
        <is>
          <t>EM</t>
        </is>
      </c>
      <c r="V8" s="17" t="inlineStr">
        <is>
          <t>GCC</t>
        </is>
      </c>
      <c r="W8" s="17" t="inlineStr">
        <is>
          <t>Risk tone</t>
        </is>
      </c>
      <c r="X8" s="17" t="inlineStr">
        <is>
          <t>Conf</t>
        </is>
      </c>
    </row>
    <row r="9">
      <c r="B9" s="29">
        <f>IF('Data Tracker'!$D9="","",'Data Tracker'!$B9)</f>
        <v/>
      </c>
      <c r="C9" s="11">
        <f>IF('Data Tracker'!$D9="","",'Data Tracker'!$D9)</f>
        <v/>
      </c>
      <c r="D9" s="24">
        <f>IF($Z9="","",IFERROR(INDEX(Lib_Cat,$Z9),""))</f>
        <v/>
      </c>
      <c r="E9" s="30">
        <f>IF('Data Tracker'!$D9="","",'Data Tracker'!$E9)</f>
        <v/>
      </c>
      <c r="F9" s="30">
        <f>IF('Data Tracker'!$D9="","",'Data Tracker'!$F9)</f>
        <v/>
      </c>
      <c r="G9" s="30">
        <f>IF('Data Tracker'!$D9="","",'Data Tracker'!$G9)</f>
        <v/>
      </c>
      <c r="H9" s="28">
        <f>IF($E9="","",$E9-$F9)</f>
        <v/>
      </c>
      <c r="I9" s="31">
        <f>IF($E9="","",IFERROR($H9/INDEX(Lib_Scale,$Z9),0))</f>
        <v/>
      </c>
      <c r="J9" s="24">
        <f>IF($E9="","",IF(ABS($I9)&lt;0.5,"Neutral",IF($I9&gt;0,"Hot","Cold")))</f>
        <v/>
      </c>
      <c r="K9" s="31">
        <f>IF($E9="","",$I9*INDEX(Lib_PolInfl,$Z9)*INDEX(Lib_Importance,$Z9)/5)</f>
        <v/>
      </c>
      <c r="L9" s="31">
        <f>IF($E9="","",$I9*INDEX(Lib_PolGrow,$Z9)*INDEX(Lib_Importance,$Z9)/5)</f>
        <v/>
      </c>
      <c r="M9" s="24">
        <f>IF($E9="","",IF($K9&gt;0.5,"Inflationary",IF($K9&lt;-0.5,"Disinflationary","Neutral")))</f>
        <v/>
      </c>
      <c r="N9" s="24">
        <f>IF($E9="","",IF($L9&gt;0.5,"Growth+",IF($L9&lt;-0.5,"Growth-","Neutral")))</f>
        <v/>
      </c>
      <c r="O9" s="24">
        <f>IF($E9="","",IF(0.6*$K9+0.4*$L9&gt;=1.5,"⇈",IF(0.6*$K9+0.4*$L9&gt;=0.5,"↑",IF(0.6*$K9+0.4*$L9&gt;-0.5,"↔",IF(0.6*$K9+0.4*$L9&gt;-1.5,"↓","⇊")))))</f>
        <v/>
      </c>
      <c r="P9" s="24">
        <f>IF($E9="","",IF(0.7*$K9+0.3*$L9&gt;=1.5,"⇈",IF(0.7*$K9+0.3*$L9&gt;=0.5,"↑",IF(0.7*$K9+0.3*$L9&gt;-0.5,"↔",IF(0.7*$K9+0.3*$L9&gt;-1.5,"↓","⇊")))))</f>
        <v/>
      </c>
      <c r="Q9" s="24">
        <f>IF($E9="","",IF(-(0.7*$K9+0.3*$L9)&gt;=1.5,"⇈",IF(-(0.7*$K9+0.3*$L9)&gt;=0.5,"↑",IF(-(0.7*$K9+0.3*$L9)&gt;-0.5,"↔",IF(-(0.7*$K9+0.3*$L9)&gt;-1.5,"↓","⇊")))))</f>
        <v/>
      </c>
      <c r="R9" s="24">
        <f>IF($E9="","",IF(-0.8*$K9&gt;=1.5,"⇈",IF(-0.8*$K9&gt;=0.5,"↑",IF(-0.8*$K9&gt;-0.5,"↔",IF(-0.8*$K9&gt;-1.5,"↓","⇊")))))</f>
        <v/>
      </c>
      <c r="S9" s="24">
        <f>IF($E9="","",IF(0.5*$L9&gt;=1.5,"⇈",IF(0.5*$L9&gt;=0.5,"↑",IF(0.5*$L9&gt;-0.5,"↔",IF(0.5*$L9&gt;-1.5,"↓","⇊")))))</f>
        <v/>
      </c>
      <c r="T9" s="24">
        <f>IF($E9="","",IF(0.5*$L9-0.5*$K9&gt;=1.5,"⇈",IF(0.5*$L9-0.5*$K9&gt;=0.5,"↑",IF(0.5*$L9-0.5*$K9&gt;-0.5,"↔",IF(0.5*$L9-0.5*$K9&gt;-1.5,"↓","⇊")))))</f>
        <v/>
      </c>
      <c r="U9" s="24">
        <f>IF($E9="","",IF(0.4*$L9-0.6*$K9&gt;=1.5,"⇈",IF(0.4*$L9-0.6*$K9&gt;=0.5,"↑",IF(0.4*$L9-0.6*$K9&gt;-0.5,"↔",IF(0.4*$L9-0.6*$K9&gt;-1.5,"↓","⇊")))))</f>
        <v/>
      </c>
      <c r="V9" s="24">
        <f>IF($E9="","",IF(0.5*$L9&gt;=1.5,"⇈",IF(0.5*$L9&gt;=0.5,"↑",IF(0.5*$L9&gt;-0.5,"↔",IF(0.5*$L9&gt;-1.5,"↓","⇊")))))</f>
        <v/>
      </c>
      <c r="W9" s="24">
        <f>IF($E9="","",IF(AND($L9&gt;=0.5,$K9&lt;=0.5),"Risk-on",IF(OR($L9&lt;=-0.5,$K9&gt;=1),"Risk-off","Neutral")))</f>
        <v/>
      </c>
      <c r="X9" s="24">
        <f>IF($E9="","",IF(AND(IFERROR(INDEX(Lib_Importance,$Z9),0)&gt;=4,ABS($I9)&gt;=1),"High",IF(ABS($I9)&lt;0.5,"Low","Medium")))</f>
        <v/>
      </c>
      <c r="Z9" s="32">
        <f>IF('Data Tracker'!$D9="","",IFERROR(MATCH('Data Tracker'!$D9,Lib_Name,0),""))</f>
        <v/>
      </c>
    </row>
    <row r="10">
      <c r="B10" s="29">
        <f>IF('Data Tracker'!$D10="","",'Data Tracker'!$B10)</f>
        <v/>
      </c>
      <c r="C10" s="11">
        <f>IF('Data Tracker'!$D10="","",'Data Tracker'!$D10)</f>
        <v/>
      </c>
      <c r="D10" s="24">
        <f>IF($Z10="","",IFERROR(INDEX(Lib_Cat,$Z10),""))</f>
        <v/>
      </c>
      <c r="E10" s="30">
        <f>IF('Data Tracker'!$D10="","",'Data Tracker'!$E10)</f>
        <v/>
      </c>
      <c r="F10" s="30">
        <f>IF('Data Tracker'!$D10="","",'Data Tracker'!$F10)</f>
        <v/>
      </c>
      <c r="G10" s="30">
        <f>IF('Data Tracker'!$D10="","",'Data Tracker'!$G10)</f>
        <v/>
      </c>
      <c r="H10" s="28">
        <f>IF($E10="","",$E10-$F10)</f>
        <v/>
      </c>
      <c r="I10" s="31">
        <f>IF($E10="","",IFERROR($H10/INDEX(Lib_Scale,$Z10),0))</f>
        <v/>
      </c>
      <c r="J10" s="24">
        <f>IF($E10="","",IF(ABS($I10)&lt;0.5,"Neutral",IF($I10&gt;0,"Hot","Cold")))</f>
        <v/>
      </c>
      <c r="K10" s="31">
        <f>IF($E10="","",$I10*INDEX(Lib_PolInfl,$Z10)*INDEX(Lib_Importance,$Z10)/5)</f>
        <v/>
      </c>
      <c r="L10" s="31">
        <f>IF($E10="","",$I10*INDEX(Lib_PolGrow,$Z10)*INDEX(Lib_Importance,$Z10)/5)</f>
        <v/>
      </c>
      <c r="M10" s="24">
        <f>IF($E10="","",IF($K10&gt;0.5,"Inflationary",IF($K10&lt;-0.5,"Disinflationary","Neutral")))</f>
        <v/>
      </c>
      <c r="N10" s="24">
        <f>IF($E10="","",IF($L10&gt;0.5,"Growth+",IF($L10&lt;-0.5,"Growth-","Neutral")))</f>
        <v/>
      </c>
      <c r="O10" s="24">
        <f>IF($E10="","",IF(0.6*$K10+0.4*$L10&gt;=1.5,"⇈",IF(0.6*$K10+0.4*$L10&gt;=0.5,"↑",IF(0.6*$K10+0.4*$L10&gt;-0.5,"↔",IF(0.6*$K10+0.4*$L10&gt;-1.5,"↓","⇊")))))</f>
        <v/>
      </c>
      <c r="P10" s="24">
        <f>IF($E10="","",IF(0.7*$K10+0.3*$L10&gt;=1.5,"⇈",IF(0.7*$K10+0.3*$L10&gt;=0.5,"↑",IF(0.7*$K10+0.3*$L10&gt;-0.5,"↔",IF(0.7*$K10+0.3*$L10&gt;-1.5,"↓","⇊")))))</f>
        <v/>
      </c>
      <c r="Q10" s="24">
        <f>IF($E10="","",IF(-(0.7*$K10+0.3*$L10)&gt;=1.5,"⇈",IF(-(0.7*$K10+0.3*$L10)&gt;=0.5,"↑",IF(-(0.7*$K10+0.3*$L10)&gt;-0.5,"↔",IF(-(0.7*$K10+0.3*$L10)&gt;-1.5,"↓","⇊")))))</f>
        <v/>
      </c>
      <c r="R10" s="24">
        <f>IF($E10="","",IF(-0.8*$K10&gt;=1.5,"⇈",IF(-0.8*$K10&gt;=0.5,"↑",IF(-0.8*$K10&gt;-0.5,"↔",IF(-0.8*$K10&gt;-1.5,"↓","⇊")))))</f>
        <v/>
      </c>
      <c r="S10" s="24">
        <f>IF($E10="","",IF(0.5*$L10&gt;=1.5,"⇈",IF(0.5*$L10&gt;=0.5,"↑",IF(0.5*$L10&gt;-0.5,"↔",IF(0.5*$L10&gt;-1.5,"↓","⇊")))))</f>
        <v/>
      </c>
      <c r="T10" s="24">
        <f>IF($E10="","",IF(0.5*$L10-0.5*$K10&gt;=1.5,"⇈",IF(0.5*$L10-0.5*$K10&gt;=0.5,"↑",IF(0.5*$L10-0.5*$K10&gt;-0.5,"↔",IF(0.5*$L10-0.5*$K10&gt;-1.5,"↓","⇊")))))</f>
        <v/>
      </c>
      <c r="U10" s="24">
        <f>IF($E10="","",IF(0.4*$L10-0.6*$K10&gt;=1.5,"⇈",IF(0.4*$L10-0.6*$K10&gt;=0.5,"↑",IF(0.4*$L10-0.6*$K10&gt;-0.5,"↔",IF(0.4*$L10-0.6*$K10&gt;-1.5,"↓","⇊")))))</f>
        <v/>
      </c>
      <c r="V10" s="24">
        <f>IF($E10="","",IF(0.5*$L10&gt;=1.5,"⇈",IF(0.5*$L10&gt;=0.5,"↑",IF(0.5*$L10&gt;-0.5,"↔",IF(0.5*$L10&gt;-1.5,"↓","⇊")))))</f>
        <v/>
      </c>
      <c r="W10" s="24">
        <f>IF($E10="","",IF(AND($L10&gt;=0.5,$K10&lt;=0.5),"Risk-on",IF(OR($L10&lt;=-0.5,$K10&gt;=1),"Risk-off","Neutral")))</f>
        <v/>
      </c>
      <c r="X10" s="24">
        <f>IF($E10="","",IF(AND(IFERROR(INDEX(Lib_Importance,$Z10),0)&gt;=4,ABS($I10)&gt;=1),"High",IF(ABS($I10)&lt;0.5,"Low","Medium")))</f>
        <v/>
      </c>
      <c r="Z10" s="32">
        <f>IF('Data Tracker'!$D10="","",IFERROR(MATCH('Data Tracker'!$D10,Lib_Name,0),""))</f>
        <v/>
      </c>
    </row>
    <row r="11">
      <c r="B11" s="29">
        <f>IF('Data Tracker'!$D11="","",'Data Tracker'!$B11)</f>
        <v/>
      </c>
      <c r="C11" s="11">
        <f>IF('Data Tracker'!$D11="","",'Data Tracker'!$D11)</f>
        <v/>
      </c>
      <c r="D11" s="24">
        <f>IF($Z11="","",IFERROR(INDEX(Lib_Cat,$Z11),""))</f>
        <v/>
      </c>
      <c r="E11" s="30">
        <f>IF('Data Tracker'!$D11="","",'Data Tracker'!$E11)</f>
        <v/>
      </c>
      <c r="F11" s="30">
        <f>IF('Data Tracker'!$D11="","",'Data Tracker'!$F11)</f>
        <v/>
      </c>
      <c r="G11" s="30">
        <f>IF('Data Tracker'!$D11="","",'Data Tracker'!$G11)</f>
        <v/>
      </c>
      <c r="H11" s="28">
        <f>IF($E11="","",$E11-$F11)</f>
        <v/>
      </c>
      <c r="I11" s="31">
        <f>IF($E11="","",IFERROR($H11/INDEX(Lib_Scale,$Z11),0))</f>
        <v/>
      </c>
      <c r="J11" s="24">
        <f>IF($E11="","",IF(ABS($I11)&lt;0.5,"Neutral",IF($I11&gt;0,"Hot","Cold")))</f>
        <v/>
      </c>
      <c r="K11" s="31">
        <f>IF($E11="","",$I11*INDEX(Lib_PolInfl,$Z11)*INDEX(Lib_Importance,$Z11)/5)</f>
        <v/>
      </c>
      <c r="L11" s="31">
        <f>IF($E11="","",$I11*INDEX(Lib_PolGrow,$Z11)*INDEX(Lib_Importance,$Z11)/5)</f>
        <v/>
      </c>
      <c r="M11" s="24">
        <f>IF($E11="","",IF($K11&gt;0.5,"Inflationary",IF($K11&lt;-0.5,"Disinflationary","Neutral")))</f>
        <v/>
      </c>
      <c r="N11" s="24">
        <f>IF($E11="","",IF($L11&gt;0.5,"Growth+",IF($L11&lt;-0.5,"Growth-","Neutral")))</f>
        <v/>
      </c>
      <c r="O11" s="24">
        <f>IF($E11="","",IF(0.6*$K11+0.4*$L11&gt;=1.5,"⇈",IF(0.6*$K11+0.4*$L11&gt;=0.5,"↑",IF(0.6*$K11+0.4*$L11&gt;-0.5,"↔",IF(0.6*$K11+0.4*$L11&gt;-1.5,"↓","⇊")))))</f>
        <v/>
      </c>
      <c r="P11" s="24">
        <f>IF($E11="","",IF(0.7*$K11+0.3*$L11&gt;=1.5,"⇈",IF(0.7*$K11+0.3*$L11&gt;=0.5,"↑",IF(0.7*$K11+0.3*$L11&gt;-0.5,"↔",IF(0.7*$K11+0.3*$L11&gt;-1.5,"↓","⇊")))))</f>
        <v/>
      </c>
      <c r="Q11" s="24">
        <f>IF($E11="","",IF(-(0.7*$K11+0.3*$L11)&gt;=1.5,"⇈",IF(-(0.7*$K11+0.3*$L11)&gt;=0.5,"↑",IF(-(0.7*$K11+0.3*$L11)&gt;-0.5,"↔",IF(-(0.7*$K11+0.3*$L11)&gt;-1.5,"↓","⇊")))))</f>
        <v/>
      </c>
      <c r="R11" s="24">
        <f>IF($E11="","",IF(-0.8*$K11&gt;=1.5,"⇈",IF(-0.8*$K11&gt;=0.5,"↑",IF(-0.8*$K11&gt;-0.5,"↔",IF(-0.8*$K11&gt;-1.5,"↓","⇊")))))</f>
        <v/>
      </c>
      <c r="S11" s="24">
        <f>IF($E11="","",IF(0.5*$L11&gt;=1.5,"⇈",IF(0.5*$L11&gt;=0.5,"↑",IF(0.5*$L11&gt;-0.5,"↔",IF(0.5*$L11&gt;-1.5,"↓","⇊")))))</f>
        <v/>
      </c>
      <c r="T11" s="24">
        <f>IF($E11="","",IF(0.5*$L11-0.5*$K11&gt;=1.5,"⇈",IF(0.5*$L11-0.5*$K11&gt;=0.5,"↑",IF(0.5*$L11-0.5*$K11&gt;-0.5,"↔",IF(0.5*$L11-0.5*$K11&gt;-1.5,"↓","⇊")))))</f>
        <v/>
      </c>
      <c r="U11" s="24">
        <f>IF($E11="","",IF(0.4*$L11-0.6*$K11&gt;=1.5,"⇈",IF(0.4*$L11-0.6*$K11&gt;=0.5,"↑",IF(0.4*$L11-0.6*$K11&gt;-0.5,"↔",IF(0.4*$L11-0.6*$K11&gt;-1.5,"↓","⇊")))))</f>
        <v/>
      </c>
      <c r="V11" s="24">
        <f>IF($E11="","",IF(0.5*$L11&gt;=1.5,"⇈",IF(0.5*$L11&gt;=0.5,"↑",IF(0.5*$L11&gt;-0.5,"↔",IF(0.5*$L11&gt;-1.5,"↓","⇊")))))</f>
        <v/>
      </c>
      <c r="W11" s="24">
        <f>IF($E11="","",IF(AND($L11&gt;=0.5,$K11&lt;=0.5),"Risk-on",IF(OR($L11&lt;=-0.5,$K11&gt;=1),"Risk-off","Neutral")))</f>
        <v/>
      </c>
      <c r="X11" s="24">
        <f>IF($E11="","",IF(AND(IFERROR(INDEX(Lib_Importance,$Z11),0)&gt;=4,ABS($I11)&gt;=1),"High",IF(ABS($I11)&lt;0.5,"Low","Medium")))</f>
        <v/>
      </c>
      <c r="Z11" s="32">
        <f>IF('Data Tracker'!$D11="","",IFERROR(MATCH('Data Tracker'!$D11,Lib_Name,0),""))</f>
        <v/>
      </c>
    </row>
    <row r="12">
      <c r="B12" s="29">
        <f>IF('Data Tracker'!$D12="","",'Data Tracker'!$B12)</f>
        <v/>
      </c>
      <c r="C12" s="11">
        <f>IF('Data Tracker'!$D12="","",'Data Tracker'!$D12)</f>
        <v/>
      </c>
      <c r="D12" s="24">
        <f>IF($Z12="","",IFERROR(INDEX(Lib_Cat,$Z12),""))</f>
        <v/>
      </c>
      <c r="E12" s="30">
        <f>IF('Data Tracker'!$D12="","",'Data Tracker'!$E12)</f>
        <v/>
      </c>
      <c r="F12" s="30">
        <f>IF('Data Tracker'!$D12="","",'Data Tracker'!$F12)</f>
        <v/>
      </c>
      <c r="G12" s="30">
        <f>IF('Data Tracker'!$D12="","",'Data Tracker'!$G12)</f>
        <v/>
      </c>
      <c r="H12" s="28">
        <f>IF($E12="","",$E12-$F12)</f>
        <v/>
      </c>
      <c r="I12" s="31">
        <f>IF($E12="","",IFERROR($H12/INDEX(Lib_Scale,$Z12),0))</f>
        <v/>
      </c>
      <c r="J12" s="24">
        <f>IF($E12="","",IF(ABS($I12)&lt;0.5,"Neutral",IF($I12&gt;0,"Hot","Cold")))</f>
        <v/>
      </c>
      <c r="K12" s="31">
        <f>IF($E12="","",$I12*INDEX(Lib_PolInfl,$Z12)*INDEX(Lib_Importance,$Z12)/5)</f>
        <v/>
      </c>
      <c r="L12" s="31">
        <f>IF($E12="","",$I12*INDEX(Lib_PolGrow,$Z12)*INDEX(Lib_Importance,$Z12)/5)</f>
        <v/>
      </c>
      <c r="M12" s="24">
        <f>IF($E12="","",IF($K12&gt;0.5,"Inflationary",IF($K12&lt;-0.5,"Disinflationary","Neutral")))</f>
        <v/>
      </c>
      <c r="N12" s="24">
        <f>IF($E12="","",IF($L12&gt;0.5,"Growth+",IF($L12&lt;-0.5,"Growth-","Neutral")))</f>
        <v/>
      </c>
      <c r="O12" s="24">
        <f>IF($E12="","",IF(0.6*$K12+0.4*$L12&gt;=1.5,"⇈",IF(0.6*$K12+0.4*$L12&gt;=0.5,"↑",IF(0.6*$K12+0.4*$L12&gt;-0.5,"↔",IF(0.6*$K12+0.4*$L12&gt;-1.5,"↓","⇊")))))</f>
        <v/>
      </c>
      <c r="P12" s="24">
        <f>IF($E12="","",IF(0.7*$K12+0.3*$L12&gt;=1.5,"⇈",IF(0.7*$K12+0.3*$L12&gt;=0.5,"↑",IF(0.7*$K12+0.3*$L12&gt;-0.5,"↔",IF(0.7*$K12+0.3*$L12&gt;-1.5,"↓","⇊")))))</f>
        <v/>
      </c>
      <c r="Q12" s="24">
        <f>IF($E12="","",IF(-(0.7*$K12+0.3*$L12)&gt;=1.5,"⇈",IF(-(0.7*$K12+0.3*$L12)&gt;=0.5,"↑",IF(-(0.7*$K12+0.3*$L12)&gt;-0.5,"↔",IF(-(0.7*$K12+0.3*$L12)&gt;-1.5,"↓","⇊")))))</f>
        <v/>
      </c>
      <c r="R12" s="24">
        <f>IF($E12="","",IF(-0.8*$K12&gt;=1.5,"⇈",IF(-0.8*$K12&gt;=0.5,"↑",IF(-0.8*$K12&gt;-0.5,"↔",IF(-0.8*$K12&gt;-1.5,"↓","⇊")))))</f>
        <v/>
      </c>
      <c r="S12" s="24">
        <f>IF($E12="","",IF(0.5*$L12&gt;=1.5,"⇈",IF(0.5*$L12&gt;=0.5,"↑",IF(0.5*$L12&gt;-0.5,"↔",IF(0.5*$L12&gt;-1.5,"↓","⇊")))))</f>
        <v/>
      </c>
      <c r="T12" s="24">
        <f>IF($E12="","",IF(0.5*$L12-0.5*$K12&gt;=1.5,"⇈",IF(0.5*$L12-0.5*$K12&gt;=0.5,"↑",IF(0.5*$L12-0.5*$K12&gt;-0.5,"↔",IF(0.5*$L12-0.5*$K12&gt;-1.5,"↓","⇊")))))</f>
        <v/>
      </c>
      <c r="U12" s="24">
        <f>IF($E12="","",IF(0.4*$L12-0.6*$K12&gt;=1.5,"⇈",IF(0.4*$L12-0.6*$K12&gt;=0.5,"↑",IF(0.4*$L12-0.6*$K12&gt;-0.5,"↔",IF(0.4*$L12-0.6*$K12&gt;-1.5,"↓","⇊")))))</f>
        <v/>
      </c>
      <c r="V12" s="24">
        <f>IF($E12="","",IF(0.5*$L12&gt;=1.5,"⇈",IF(0.5*$L12&gt;=0.5,"↑",IF(0.5*$L12&gt;-0.5,"↔",IF(0.5*$L12&gt;-1.5,"↓","⇊")))))</f>
        <v/>
      </c>
      <c r="W12" s="24">
        <f>IF($E12="","",IF(AND($L12&gt;=0.5,$K12&lt;=0.5),"Risk-on",IF(OR($L12&lt;=-0.5,$K12&gt;=1),"Risk-off","Neutral")))</f>
        <v/>
      </c>
      <c r="X12" s="24">
        <f>IF($E12="","",IF(AND(IFERROR(INDEX(Lib_Importance,$Z12),0)&gt;=4,ABS($I12)&gt;=1),"High",IF(ABS($I12)&lt;0.5,"Low","Medium")))</f>
        <v/>
      </c>
      <c r="Z12" s="32">
        <f>IF('Data Tracker'!$D12="","",IFERROR(MATCH('Data Tracker'!$D12,Lib_Name,0),""))</f>
        <v/>
      </c>
    </row>
    <row r="13">
      <c r="B13" s="29">
        <f>IF('Data Tracker'!$D13="","",'Data Tracker'!$B13)</f>
        <v/>
      </c>
      <c r="C13" s="11">
        <f>IF('Data Tracker'!$D13="","",'Data Tracker'!$D13)</f>
        <v/>
      </c>
      <c r="D13" s="24">
        <f>IF($Z13="","",IFERROR(INDEX(Lib_Cat,$Z13),""))</f>
        <v/>
      </c>
      <c r="E13" s="30">
        <f>IF('Data Tracker'!$D13="","",'Data Tracker'!$E13)</f>
        <v/>
      </c>
      <c r="F13" s="30">
        <f>IF('Data Tracker'!$D13="","",'Data Tracker'!$F13)</f>
        <v/>
      </c>
      <c r="G13" s="30">
        <f>IF('Data Tracker'!$D13="","",'Data Tracker'!$G13)</f>
        <v/>
      </c>
      <c r="H13" s="28">
        <f>IF($E13="","",$E13-$F13)</f>
        <v/>
      </c>
      <c r="I13" s="31">
        <f>IF($E13="","",IFERROR($H13/INDEX(Lib_Scale,$Z13),0))</f>
        <v/>
      </c>
      <c r="J13" s="24">
        <f>IF($E13="","",IF(ABS($I13)&lt;0.5,"Neutral",IF($I13&gt;0,"Hot","Cold")))</f>
        <v/>
      </c>
      <c r="K13" s="31">
        <f>IF($E13="","",$I13*INDEX(Lib_PolInfl,$Z13)*INDEX(Lib_Importance,$Z13)/5)</f>
        <v/>
      </c>
      <c r="L13" s="31">
        <f>IF($E13="","",$I13*INDEX(Lib_PolGrow,$Z13)*INDEX(Lib_Importance,$Z13)/5)</f>
        <v/>
      </c>
      <c r="M13" s="24">
        <f>IF($E13="","",IF($K13&gt;0.5,"Inflationary",IF($K13&lt;-0.5,"Disinflationary","Neutral")))</f>
        <v/>
      </c>
      <c r="N13" s="24">
        <f>IF($E13="","",IF($L13&gt;0.5,"Growth+",IF($L13&lt;-0.5,"Growth-","Neutral")))</f>
        <v/>
      </c>
      <c r="O13" s="24">
        <f>IF($E13="","",IF(0.6*$K13+0.4*$L13&gt;=1.5,"⇈",IF(0.6*$K13+0.4*$L13&gt;=0.5,"↑",IF(0.6*$K13+0.4*$L13&gt;-0.5,"↔",IF(0.6*$K13+0.4*$L13&gt;-1.5,"↓","⇊")))))</f>
        <v/>
      </c>
      <c r="P13" s="24">
        <f>IF($E13="","",IF(0.7*$K13+0.3*$L13&gt;=1.5,"⇈",IF(0.7*$K13+0.3*$L13&gt;=0.5,"↑",IF(0.7*$K13+0.3*$L13&gt;-0.5,"↔",IF(0.7*$K13+0.3*$L13&gt;-1.5,"↓","⇊")))))</f>
        <v/>
      </c>
      <c r="Q13" s="24">
        <f>IF($E13="","",IF(-(0.7*$K13+0.3*$L13)&gt;=1.5,"⇈",IF(-(0.7*$K13+0.3*$L13)&gt;=0.5,"↑",IF(-(0.7*$K13+0.3*$L13)&gt;-0.5,"↔",IF(-(0.7*$K13+0.3*$L13)&gt;-1.5,"↓","⇊")))))</f>
        <v/>
      </c>
      <c r="R13" s="24">
        <f>IF($E13="","",IF(-0.8*$K13&gt;=1.5,"⇈",IF(-0.8*$K13&gt;=0.5,"↑",IF(-0.8*$K13&gt;-0.5,"↔",IF(-0.8*$K13&gt;-1.5,"↓","⇊")))))</f>
        <v/>
      </c>
      <c r="S13" s="24">
        <f>IF($E13="","",IF(0.5*$L13&gt;=1.5,"⇈",IF(0.5*$L13&gt;=0.5,"↑",IF(0.5*$L13&gt;-0.5,"↔",IF(0.5*$L13&gt;-1.5,"↓","⇊")))))</f>
        <v/>
      </c>
      <c r="T13" s="24">
        <f>IF($E13="","",IF(0.5*$L13-0.5*$K13&gt;=1.5,"⇈",IF(0.5*$L13-0.5*$K13&gt;=0.5,"↑",IF(0.5*$L13-0.5*$K13&gt;-0.5,"↔",IF(0.5*$L13-0.5*$K13&gt;-1.5,"↓","⇊")))))</f>
        <v/>
      </c>
      <c r="U13" s="24">
        <f>IF($E13="","",IF(0.4*$L13-0.6*$K13&gt;=1.5,"⇈",IF(0.4*$L13-0.6*$K13&gt;=0.5,"↑",IF(0.4*$L13-0.6*$K13&gt;-0.5,"↔",IF(0.4*$L13-0.6*$K13&gt;-1.5,"↓","⇊")))))</f>
        <v/>
      </c>
      <c r="V13" s="24">
        <f>IF($E13="","",IF(0.5*$L13&gt;=1.5,"⇈",IF(0.5*$L13&gt;=0.5,"↑",IF(0.5*$L13&gt;-0.5,"↔",IF(0.5*$L13&gt;-1.5,"↓","⇊")))))</f>
        <v/>
      </c>
      <c r="W13" s="24">
        <f>IF($E13="","",IF(AND($L13&gt;=0.5,$K13&lt;=0.5),"Risk-on",IF(OR($L13&lt;=-0.5,$K13&gt;=1),"Risk-off","Neutral")))</f>
        <v/>
      </c>
      <c r="X13" s="24">
        <f>IF($E13="","",IF(AND(IFERROR(INDEX(Lib_Importance,$Z13),0)&gt;=4,ABS($I13)&gt;=1),"High",IF(ABS($I13)&lt;0.5,"Low","Medium")))</f>
        <v/>
      </c>
      <c r="Z13" s="32">
        <f>IF('Data Tracker'!$D13="","",IFERROR(MATCH('Data Tracker'!$D13,Lib_Name,0),""))</f>
        <v/>
      </c>
    </row>
    <row r="14">
      <c r="B14" s="29">
        <f>IF('Data Tracker'!$D14="","",'Data Tracker'!$B14)</f>
        <v/>
      </c>
      <c r="C14" s="11">
        <f>IF('Data Tracker'!$D14="","",'Data Tracker'!$D14)</f>
        <v/>
      </c>
      <c r="D14" s="24">
        <f>IF($Z14="","",IFERROR(INDEX(Lib_Cat,$Z14),""))</f>
        <v/>
      </c>
      <c r="E14" s="30">
        <f>IF('Data Tracker'!$D14="","",'Data Tracker'!$E14)</f>
        <v/>
      </c>
      <c r="F14" s="30">
        <f>IF('Data Tracker'!$D14="","",'Data Tracker'!$F14)</f>
        <v/>
      </c>
      <c r="G14" s="30">
        <f>IF('Data Tracker'!$D14="","",'Data Tracker'!$G14)</f>
        <v/>
      </c>
      <c r="H14" s="28">
        <f>IF($E14="","",$E14-$F14)</f>
        <v/>
      </c>
      <c r="I14" s="31">
        <f>IF($E14="","",IFERROR($H14/INDEX(Lib_Scale,$Z14),0))</f>
        <v/>
      </c>
      <c r="J14" s="24">
        <f>IF($E14="","",IF(ABS($I14)&lt;0.5,"Neutral",IF($I14&gt;0,"Hot","Cold")))</f>
        <v/>
      </c>
      <c r="K14" s="31">
        <f>IF($E14="","",$I14*INDEX(Lib_PolInfl,$Z14)*INDEX(Lib_Importance,$Z14)/5)</f>
        <v/>
      </c>
      <c r="L14" s="31">
        <f>IF($E14="","",$I14*INDEX(Lib_PolGrow,$Z14)*INDEX(Lib_Importance,$Z14)/5)</f>
        <v/>
      </c>
      <c r="M14" s="24">
        <f>IF($E14="","",IF($K14&gt;0.5,"Inflationary",IF($K14&lt;-0.5,"Disinflationary","Neutral")))</f>
        <v/>
      </c>
      <c r="N14" s="24">
        <f>IF($E14="","",IF($L14&gt;0.5,"Growth+",IF($L14&lt;-0.5,"Growth-","Neutral")))</f>
        <v/>
      </c>
      <c r="O14" s="24">
        <f>IF($E14="","",IF(0.6*$K14+0.4*$L14&gt;=1.5,"⇈",IF(0.6*$K14+0.4*$L14&gt;=0.5,"↑",IF(0.6*$K14+0.4*$L14&gt;-0.5,"↔",IF(0.6*$K14+0.4*$L14&gt;-1.5,"↓","⇊")))))</f>
        <v/>
      </c>
      <c r="P14" s="24">
        <f>IF($E14="","",IF(0.7*$K14+0.3*$L14&gt;=1.5,"⇈",IF(0.7*$K14+0.3*$L14&gt;=0.5,"↑",IF(0.7*$K14+0.3*$L14&gt;-0.5,"↔",IF(0.7*$K14+0.3*$L14&gt;-1.5,"↓","⇊")))))</f>
        <v/>
      </c>
      <c r="Q14" s="24">
        <f>IF($E14="","",IF(-(0.7*$K14+0.3*$L14)&gt;=1.5,"⇈",IF(-(0.7*$K14+0.3*$L14)&gt;=0.5,"↑",IF(-(0.7*$K14+0.3*$L14)&gt;-0.5,"↔",IF(-(0.7*$K14+0.3*$L14)&gt;-1.5,"↓","⇊")))))</f>
        <v/>
      </c>
      <c r="R14" s="24">
        <f>IF($E14="","",IF(-0.8*$K14&gt;=1.5,"⇈",IF(-0.8*$K14&gt;=0.5,"↑",IF(-0.8*$K14&gt;-0.5,"↔",IF(-0.8*$K14&gt;-1.5,"↓","⇊")))))</f>
        <v/>
      </c>
      <c r="S14" s="24">
        <f>IF($E14="","",IF(0.5*$L14&gt;=1.5,"⇈",IF(0.5*$L14&gt;=0.5,"↑",IF(0.5*$L14&gt;-0.5,"↔",IF(0.5*$L14&gt;-1.5,"↓","⇊")))))</f>
        <v/>
      </c>
      <c r="T14" s="24">
        <f>IF($E14="","",IF(0.5*$L14-0.5*$K14&gt;=1.5,"⇈",IF(0.5*$L14-0.5*$K14&gt;=0.5,"↑",IF(0.5*$L14-0.5*$K14&gt;-0.5,"↔",IF(0.5*$L14-0.5*$K14&gt;-1.5,"↓","⇊")))))</f>
        <v/>
      </c>
      <c r="U14" s="24">
        <f>IF($E14="","",IF(0.4*$L14-0.6*$K14&gt;=1.5,"⇈",IF(0.4*$L14-0.6*$K14&gt;=0.5,"↑",IF(0.4*$L14-0.6*$K14&gt;-0.5,"↔",IF(0.4*$L14-0.6*$K14&gt;-1.5,"↓","⇊")))))</f>
        <v/>
      </c>
      <c r="V14" s="24">
        <f>IF($E14="","",IF(0.5*$L14&gt;=1.5,"⇈",IF(0.5*$L14&gt;=0.5,"↑",IF(0.5*$L14&gt;-0.5,"↔",IF(0.5*$L14&gt;-1.5,"↓","⇊")))))</f>
        <v/>
      </c>
      <c r="W14" s="24">
        <f>IF($E14="","",IF(AND($L14&gt;=0.5,$K14&lt;=0.5),"Risk-on",IF(OR($L14&lt;=-0.5,$K14&gt;=1),"Risk-off","Neutral")))</f>
        <v/>
      </c>
      <c r="X14" s="24">
        <f>IF($E14="","",IF(AND(IFERROR(INDEX(Lib_Importance,$Z14),0)&gt;=4,ABS($I14)&gt;=1),"High",IF(ABS($I14)&lt;0.5,"Low","Medium")))</f>
        <v/>
      </c>
      <c r="Z14" s="32">
        <f>IF('Data Tracker'!$D14="","",IFERROR(MATCH('Data Tracker'!$D14,Lib_Name,0),""))</f>
        <v/>
      </c>
    </row>
    <row r="15">
      <c r="B15" s="29">
        <f>IF('Data Tracker'!$D15="","",'Data Tracker'!$B15)</f>
        <v/>
      </c>
      <c r="C15" s="11">
        <f>IF('Data Tracker'!$D15="","",'Data Tracker'!$D15)</f>
        <v/>
      </c>
      <c r="D15" s="24">
        <f>IF($Z15="","",IFERROR(INDEX(Lib_Cat,$Z15),""))</f>
        <v/>
      </c>
      <c r="E15" s="30">
        <f>IF('Data Tracker'!$D15="","",'Data Tracker'!$E15)</f>
        <v/>
      </c>
      <c r="F15" s="30">
        <f>IF('Data Tracker'!$D15="","",'Data Tracker'!$F15)</f>
        <v/>
      </c>
      <c r="G15" s="30">
        <f>IF('Data Tracker'!$D15="","",'Data Tracker'!$G15)</f>
        <v/>
      </c>
      <c r="H15" s="28">
        <f>IF($E15="","",$E15-$F15)</f>
        <v/>
      </c>
      <c r="I15" s="31">
        <f>IF($E15="","",IFERROR($H15/INDEX(Lib_Scale,$Z15),0))</f>
        <v/>
      </c>
      <c r="J15" s="24">
        <f>IF($E15="","",IF(ABS($I15)&lt;0.5,"Neutral",IF($I15&gt;0,"Hot","Cold")))</f>
        <v/>
      </c>
      <c r="K15" s="31">
        <f>IF($E15="","",$I15*INDEX(Lib_PolInfl,$Z15)*INDEX(Lib_Importance,$Z15)/5)</f>
        <v/>
      </c>
      <c r="L15" s="31">
        <f>IF($E15="","",$I15*INDEX(Lib_PolGrow,$Z15)*INDEX(Lib_Importance,$Z15)/5)</f>
        <v/>
      </c>
      <c r="M15" s="24">
        <f>IF($E15="","",IF($K15&gt;0.5,"Inflationary",IF($K15&lt;-0.5,"Disinflationary","Neutral")))</f>
        <v/>
      </c>
      <c r="N15" s="24">
        <f>IF($E15="","",IF($L15&gt;0.5,"Growth+",IF($L15&lt;-0.5,"Growth-","Neutral")))</f>
        <v/>
      </c>
      <c r="O15" s="24">
        <f>IF($E15="","",IF(0.6*$K15+0.4*$L15&gt;=1.5,"⇈",IF(0.6*$K15+0.4*$L15&gt;=0.5,"↑",IF(0.6*$K15+0.4*$L15&gt;-0.5,"↔",IF(0.6*$K15+0.4*$L15&gt;-1.5,"↓","⇊")))))</f>
        <v/>
      </c>
      <c r="P15" s="24">
        <f>IF($E15="","",IF(0.7*$K15+0.3*$L15&gt;=1.5,"⇈",IF(0.7*$K15+0.3*$L15&gt;=0.5,"↑",IF(0.7*$K15+0.3*$L15&gt;-0.5,"↔",IF(0.7*$K15+0.3*$L15&gt;-1.5,"↓","⇊")))))</f>
        <v/>
      </c>
      <c r="Q15" s="24">
        <f>IF($E15="","",IF(-(0.7*$K15+0.3*$L15)&gt;=1.5,"⇈",IF(-(0.7*$K15+0.3*$L15)&gt;=0.5,"↑",IF(-(0.7*$K15+0.3*$L15)&gt;-0.5,"↔",IF(-(0.7*$K15+0.3*$L15)&gt;-1.5,"↓","⇊")))))</f>
        <v/>
      </c>
      <c r="R15" s="24">
        <f>IF($E15="","",IF(-0.8*$K15&gt;=1.5,"⇈",IF(-0.8*$K15&gt;=0.5,"↑",IF(-0.8*$K15&gt;-0.5,"↔",IF(-0.8*$K15&gt;-1.5,"↓","⇊")))))</f>
        <v/>
      </c>
      <c r="S15" s="24">
        <f>IF($E15="","",IF(0.5*$L15&gt;=1.5,"⇈",IF(0.5*$L15&gt;=0.5,"↑",IF(0.5*$L15&gt;-0.5,"↔",IF(0.5*$L15&gt;-1.5,"↓","⇊")))))</f>
        <v/>
      </c>
      <c r="T15" s="24">
        <f>IF($E15="","",IF(0.5*$L15-0.5*$K15&gt;=1.5,"⇈",IF(0.5*$L15-0.5*$K15&gt;=0.5,"↑",IF(0.5*$L15-0.5*$K15&gt;-0.5,"↔",IF(0.5*$L15-0.5*$K15&gt;-1.5,"↓","⇊")))))</f>
        <v/>
      </c>
      <c r="U15" s="24">
        <f>IF($E15="","",IF(0.4*$L15-0.6*$K15&gt;=1.5,"⇈",IF(0.4*$L15-0.6*$K15&gt;=0.5,"↑",IF(0.4*$L15-0.6*$K15&gt;-0.5,"↔",IF(0.4*$L15-0.6*$K15&gt;-1.5,"↓","⇊")))))</f>
        <v/>
      </c>
      <c r="V15" s="24">
        <f>IF($E15="","",IF(0.5*$L15&gt;=1.5,"⇈",IF(0.5*$L15&gt;=0.5,"↑",IF(0.5*$L15&gt;-0.5,"↔",IF(0.5*$L15&gt;-1.5,"↓","⇊")))))</f>
        <v/>
      </c>
      <c r="W15" s="24">
        <f>IF($E15="","",IF(AND($L15&gt;=0.5,$K15&lt;=0.5),"Risk-on",IF(OR($L15&lt;=-0.5,$K15&gt;=1),"Risk-off","Neutral")))</f>
        <v/>
      </c>
      <c r="X15" s="24">
        <f>IF($E15="","",IF(AND(IFERROR(INDEX(Lib_Importance,$Z15),0)&gt;=4,ABS($I15)&gt;=1),"High",IF(ABS($I15)&lt;0.5,"Low","Medium")))</f>
        <v/>
      </c>
      <c r="Z15" s="32">
        <f>IF('Data Tracker'!$D15="","",IFERROR(MATCH('Data Tracker'!$D15,Lib_Name,0),""))</f>
        <v/>
      </c>
    </row>
    <row r="16">
      <c r="B16" s="29">
        <f>IF('Data Tracker'!$D16="","",'Data Tracker'!$B16)</f>
        <v/>
      </c>
      <c r="C16" s="11">
        <f>IF('Data Tracker'!$D16="","",'Data Tracker'!$D16)</f>
        <v/>
      </c>
      <c r="D16" s="24">
        <f>IF($Z16="","",IFERROR(INDEX(Lib_Cat,$Z16),""))</f>
        <v/>
      </c>
      <c r="E16" s="30">
        <f>IF('Data Tracker'!$D16="","",'Data Tracker'!$E16)</f>
        <v/>
      </c>
      <c r="F16" s="30">
        <f>IF('Data Tracker'!$D16="","",'Data Tracker'!$F16)</f>
        <v/>
      </c>
      <c r="G16" s="30">
        <f>IF('Data Tracker'!$D16="","",'Data Tracker'!$G16)</f>
        <v/>
      </c>
      <c r="H16" s="28">
        <f>IF($E16="","",$E16-$F16)</f>
        <v/>
      </c>
      <c r="I16" s="31">
        <f>IF($E16="","",IFERROR($H16/INDEX(Lib_Scale,$Z16),0))</f>
        <v/>
      </c>
      <c r="J16" s="24">
        <f>IF($E16="","",IF(ABS($I16)&lt;0.5,"Neutral",IF($I16&gt;0,"Hot","Cold")))</f>
        <v/>
      </c>
      <c r="K16" s="31">
        <f>IF($E16="","",$I16*INDEX(Lib_PolInfl,$Z16)*INDEX(Lib_Importance,$Z16)/5)</f>
        <v/>
      </c>
      <c r="L16" s="31">
        <f>IF($E16="","",$I16*INDEX(Lib_PolGrow,$Z16)*INDEX(Lib_Importance,$Z16)/5)</f>
        <v/>
      </c>
      <c r="M16" s="24">
        <f>IF($E16="","",IF($K16&gt;0.5,"Inflationary",IF($K16&lt;-0.5,"Disinflationary","Neutral")))</f>
        <v/>
      </c>
      <c r="N16" s="24">
        <f>IF($E16="","",IF($L16&gt;0.5,"Growth+",IF($L16&lt;-0.5,"Growth-","Neutral")))</f>
        <v/>
      </c>
      <c r="O16" s="24">
        <f>IF($E16="","",IF(0.6*$K16+0.4*$L16&gt;=1.5,"⇈",IF(0.6*$K16+0.4*$L16&gt;=0.5,"↑",IF(0.6*$K16+0.4*$L16&gt;-0.5,"↔",IF(0.6*$K16+0.4*$L16&gt;-1.5,"↓","⇊")))))</f>
        <v/>
      </c>
      <c r="P16" s="24">
        <f>IF($E16="","",IF(0.7*$K16+0.3*$L16&gt;=1.5,"⇈",IF(0.7*$K16+0.3*$L16&gt;=0.5,"↑",IF(0.7*$K16+0.3*$L16&gt;-0.5,"↔",IF(0.7*$K16+0.3*$L16&gt;-1.5,"↓","⇊")))))</f>
        <v/>
      </c>
      <c r="Q16" s="24">
        <f>IF($E16="","",IF(-(0.7*$K16+0.3*$L16)&gt;=1.5,"⇈",IF(-(0.7*$K16+0.3*$L16)&gt;=0.5,"↑",IF(-(0.7*$K16+0.3*$L16)&gt;-0.5,"↔",IF(-(0.7*$K16+0.3*$L16)&gt;-1.5,"↓","⇊")))))</f>
        <v/>
      </c>
      <c r="R16" s="24">
        <f>IF($E16="","",IF(-0.8*$K16&gt;=1.5,"⇈",IF(-0.8*$K16&gt;=0.5,"↑",IF(-0.8*$K16&gt;-0.5,"↔",IF(-0.8*$K16&gt;-1.5,"↓","⇊")))))</f>
        <v/>
      </c>
      <c r="S16" s="24">
        <f>IF($E16="","",IF(0.5*$L16&gt;=1.5,"⇈",IF(0.5*$L16&gt;=0.5,"↑",IF(0.5*$L16&gt;-0.5,"↔",IF(0.5*$L16&gt;-1.5,"↓","⇊")))))</f>
        <v/>
      </c>
      <c r="T16" s="24">
        <f>IF($E16="","",IF(0.5*$L16-0.5*$K16&gt;=1.5,"⇈",IF(0.5*$L16-0.5*$K16&gt;=0.5,"↑",IF(0.5*$L16-0.5*$K16&gt;-0.5,"↔",IF(0.5*$L16-0.5*$K16&gt;-1.5,"↓","⇊")))))</f>
        <v/>
      </c>
      <c r="U16" s="24">
        <f>IF($E16="","",IF(0.4*$L16-0.6*$K16&gt;=1.5,"⇈",IF(0.4*$L16-0.6*$K16&gt;=0.5,"↑",IF(0.4*$L16-0.6*$K16&gt;-0.5,"↔",IF(0.4*$L16-0.6*$K16&gt;-1.5,"↓","⇊")))))</f>
        <v/>
      </c>
      <c r="V16" s="24">
        <f>IF($E16="","",IF(0.5*$L16&gt;=1.5,"⇈",IF(0.5*$L16&gt;=0.5,"↑",IF(0.5*$L16&gt;-0.5,"↔",IF(0.5*$L16&gt;-1.5,"↓","⇊")))))</f>
        <v/>
      </c>
      <c r="W16" s="24">
        <f>IF($E16="","",IF(AND($L16&gt;=0.5,$K16&lt;=0.5),"Risk-on",IF(OR($L16&lt;=-0.5,$K16&gt;=1),"Risk-off","Neutral")))</f>
        <v/>
      </c>
      <c r="X16" s="24">
        <f>IF($E16="","",IF(AND(IFERROR(INDEX(Lib_Importance,$Z16),0)&gt;=4,ABS($I16)&gt;=1),"High",IF(ABS($I16)&lt;0.5,"Low","Medium")))</f>
        <v/>
      </c>
      <c r="Z16" s="32">
        <f>IF('Data Tracker'!$D16="","",IFERROR(MATCH('Data Tracker'!$D16,Lib_Name,0),""))</f>
        <v/>
      </c>
    </row>
    <row r="17">
      <c r="B17" s="29">
        <f>IF('Data Tracker'!$D17="","",'Data Tracker'!$B17)</f>
        <v/>
      </c>
      <c r="C17" s="11">
        <f>IF('Data Tracker'!$D17="","",'Data Tracker'!$D17)</f>
        <v/>
      </c>
      <c r="D17" s="24">
        <f>IF($Z17="","",IFERROR(INDEX(Lib_Cat,$Z17),""))</f>
        <v/>
      </c>
      <c r="E17" s="30">
        <f>IF('Data Tracker'!$D17="","",'Data Tracker'!$E17)</f>
        <v/>
      </c>
      <c r="F17" s="30">
        <f>IF('Data Tracker'!$D17="","",'Data Tracker'!$F17)</f>
        <v/>
      </c>
      <c r="G17" s="30">
        <f>IF('Data Tracker'!$D17="","",'Data Tracker'!$G17)</f>
        <v/>
      </c>
      <c r="H17" s="28">
        <f>IF($E17="","",$E17-$F17)</f>
        <v/>
      </c>
      <c r="I17" s="31">
        <f>IF($E17="","",IFERROR($H17/INDEX(Lib_Scale,$Z17),0))</f>
        <v/>
      </c>
      <c r="J17" s="24">
        <f>IF($E17="","",IF(ABS($I17)&lt;0.5,"Neutral",IF($I17&gt;0,"Hot","Cold")))</f>
        <v/>
      </c>
      <c r="K17" s="31">
        <f>IF($E17="","",$I17*INDEX(Lib_PolInfl,$Z17)*INDEX(Lib_Importance,$Z17)/5)</f>
        <v/>
      </c>
      <c r="L17" s="31">
        <f>IF($E17="","",$I17*INDEX(Lib_PolGrow,$Z17)*INDEX(Lib_Importance,$Z17)/5)</f>
        <v/>
      </c>
      <c r="M17" s="24">
        <f>IF($E17="","",IF($K17&gt;0.5,"Inflationary",IF($K17&lt;-0.5,"Disinflationary","Neutral")))</f>
        <v/>
      </c>
      <c r="N17" s="24">
        <f>IF($E17="","",IF($L17&gt;0.5,"Growth+",IF($L17&lt;-0.5,"Growth-","Neutral")))</f>
        <v/>
      </c>
      <c r="O17" s="24">
        <f>IF($E17="","",IF(0.6*$K17+0.4*$L17&gt;=1.5,"⇈",IF(0.6*$K17+0.4*$L17&gt;=0.5,"↑",IF(0.6*$K17+0.4*$L17&gt;-0.5,"↔",IF(0.6*$K17+0.4*$L17&gt;-1.5,"↓","⇊")))))</f>
        <v/>
      </c>
      <c r="P17" s="24">
        <f>IF($E17="","",IF(0.7*$K17+0.3*$L17&gt;=1.5,"⇈",IF(0.7*$K17+0.3*$L17&gt;=0.5,"↑",IF(0.7*$K17+0.3*$L17&gt;-0.5,"↔",IF(0.7*$K17+0.3*$L17&gt;-1.5,"↓","⇊")))))</f>
        <v/>
      </c>
      <c r="Q17" s="24">
        <f>IF($E17="","",IF(-(0.7*$K17+0.3*$L17)&gt;=1.5,"⇈",IF(-(0.7*$K17+0.3*$L17)&gt;=0.5,"↑",IF(-(0.7*$K17+0.3*$L17)&gt;-0.5,"↔",IF(-(0.7*$K17+0.3*$L17)&gt;-1.5,"↓","⇊")))))</f>
        <v/>
      </c>
      <c r="R17" s="24">
        <f>IF($E17="","",IF(-0.8*$K17&gt;=1.5,"⇈",IF(-0.8*$K17&gt;=0.5,"↑",IF(-0.8*$K17&gt;-0.5,"↔",IF(-0.8*$K17&gt;-1.5,"↓","⇊")))))</f>
        <v/>
      </c>
      <c r="S17" s="24">
        <f>IF($E17="","",IF(0.5*$L17&gt;=1.5,"⇈",IF(0.5*$L17&gt;=0.5,"↑",IF(0.5*$L17&gt;-0.5,"↔",IF(0.5*$L17&gt;-1.5,"↓","⇊")))))</f>
        <v/>
      </c>
      <c r="T17" s="24">
        <f>IF($E17="","",IF(0.5*$L17-0.5*$K17&gt;=1.5,"⇈",IF(0.5*$L17-0.5*$K17&gt;=0.5,"↑",IF(0.5*$L17-0.5*$K17&gt;-0.5,"↔",IF(0.5*$L17-0.5*$K17&gt;-1.5,"↓","⇊")))))</f>
        <v/>
      </c>
      <c r="U17" s="24">
        <f>IF($E17="","",IF(0.4*$L17-0.6*$K17&gt;=1.5,"⇈",IF(0.4*$L17-0.6*$K17&gt;=0.5,"↑",IF(0.4*$L17-0.6*$K17&gt;-0.5,"↔",IF(0.4*$L17-0.6*$K17&gt;-1.5,"↓","⇊")))))</f>
        <v/>
      </c>
      <c r="V17" s="24">
        <f>IF($E17="","",IF(0.5*$L17&gt;=1.5,"⇈",IF(0.5*$L17&gt;=0.5,"↑",IF(0.5*$L17&gt;-0.5,"↔",IF(0.5*$L17&gt;-1.5,"↓","⇊")))))</f>
        <v/>
      </c>
      <c r="W17" s="24">
        <f>IF($E17="","",IF(AND($L17&gt;=0.5,$K17&lt;=0.5),"Risk-on",IF(OR($L17&lt;=-0.5,$K17&gt;=1),"Risk-off","Neutral")))</f>
        <v/>
      </c>
      <c r="X17" s="24">
        <f>IF($E17="","",IF(AND(IFERROR(INDEX(Lib_Importance,$Z17),0)&gt;=4,ABS($I17)&gt;=1),"High",IF(ABS($I17)&lt;0.5,"Low","Medium")))</f>
        <v/>
      </c>
      <c r="Z17" s="32">
        <f>IF('Data Tracker'!$D17="","",IFERROR(MATCH('Data Tracker'!$D17,Lib_Name,0),""))</f>
        <v/>
      </c>
    </row>
    <row r="18">
      <c r="B18" s="29">
        <f>IF('Data Tracker'!$D18="","",'Data Tracker'!$B18)</f>
        <v/>
      </c>
      <c r="C18" s="11">
        <f>IF('Data Tracker'!$D18="","",'Data Tracker'!$D18)</f>
        <v/>
      </c>
      <c r="D18" s="24">
        <f>IF($Z18="","",IFERROR(INDEX(Lib_Cat,$Z18),""))</f>
        <v/>
      </c>
      <c r="E18" s="30">
        <f>IF('Data Tracker'!$D18="","",'Data Tracker'!$E18)</f>
        <v/>
      </c>
      <c r="F18" s="30">
        <f>IF('Data Tracker'!$D18="","",'Data Tracker'!$F18)</f>
        <v/>
      </c>
      <c r="G18" s="30">
        <f>IF('Data Tracker'!$D18="","",'Data Tracker'!$G18)</f>
        <v/>
      </c>
      <c r="H18" s="28">
        <f>IF($E18="","",$E18-$F18)</f>
        <v/>
      </c>
      <c r="I18" s="31">
        <f>IF($E18="","",IFERROR($H18/INDEX(Lib_Scale,$Z18),0))</f>
        <v/>
      </c>
      <c r="J18" s="24">
        <f>IF($E18="","",IF(ABS($I18)&lt;0.5,"Neutral",IF($I18&gt;0,"Hot","Cold")))</f>
        <v/>
      </c>
      <c r="K18" s="31">
        <f>IF($E18="","",$I18*INDEX(Lib_PolInfl,$Z18)*INDEX(Lib_Importance,$Z18)/5)</f>
        <v/>
      </c>
      <c r="L18" s="31">
        <f>IF($E18="","",$I18*INDEX(Lib_PolGrow,$Z18)*INDEX(Lib_Importance,$Z18)/5)</f>
        <v/>
      </c>
      <c r="M18" s="24">
        <f>IF($E18="","",IF($K18&gt;0.5,"Inflationary",IF($K18&lt;-0.5,"Disinflationary","Neutral")))</f>
        <v/>
      </c>
      <c r="N18" s="24">
        <f>IF($E18="","",IF($L18&gt;0.5,"Growth+",IF($L18&lt;-0.5,"Growth-","Neutral")))</f>
        <v/>
      </c>
      <c r="O18" s="24">
        <f>IF($E18="","",IF(0.6*$K18+0.4*$L18&gt;=1.5,"⇈",IF(0.6*$K18+0.4*$L18&gt;=0.5,"↑",IF(0.6*$K18+0.4*$L18&gt;-0.5,"↔",IF(0.6*$K18+0.4*$L18&gt;-1.5,"↓","⇊")))))</f>
        <v/>
      </c>
      <c r="P18" s="24">
        <f>IF($E18="","",IF(0.7*$K18+0.3*$L18&gt;=1.5,"⇈",IF(0.7*$K18+0.3*$L18&gt;=0.5,"↑",IF(0.7*$K18+0.3*$L18&gt;-0.5,"↔",IF(0.7*$K18+0.3*$L18&gt;-1.5,"↓","⇊")))))</f>
        <v/>
      </c>
      <c r="Q18" s="24">
        <f>IF($E18="","",IF(-(0.7*$K18+0.3*$L18)&gt;=1.5,"⇈",IF(-(0.7*$K18+0.3*$L18)&gt;=0.5,"↑",IF(-(0.7*$K18+0.3*$L18)&gt;-0.5,"↔",IF(-(0.7*$K18+0.3*$L18)&gt;-1.5,"↓","⇊")))))</f>
        <v/>
      </c>
      <c r="R18" s="24">
        <f>IF($E18="","",IF(-0.8*$K18&gt;=1.5,"⇈",IF(-0.8*$K18&gt;=0.5,"↑",IF(-0.8*$K18&gt;-0.5,"↔",IF(-0.8*$K18&gt;-1.5,"↓","⇊")))))</f>
        <v/>
      </c>
      <c r="S18" s="24">
        <f>IF($E18="","",IF(0.5*$L18&gt;=1.5,"⇈",IF(0.5*$L18&gt;=0.5,"↑",IF(0.5*$L18&gt;-0.5,"↔",IF(0.5*$L18&gt;-1.5,"↓","⇊")))))</f>
        <v/>
      </c>
      <c r="T18" s="24">
        <f>IF($E18="","",IF(0.5*$L18-0.5*$K18&gt;=1.5,"⇈",IF(0.5*$L18-0.5*$K18&gt;=0.5,"↑",IF(0.5*$L18-0.5*$K18&gt;-0.5,"↔",IF(0.5*$L18-0.5*$K18&gt;-1.5,"↓","⇊")))))</f>
        <v/>
      </c>
      <c r="U18" s="24">
        <f>IF($E18="","",IF(0.4*$L18-0.6*$K18&gt;=1.5,"⇈",IF(0.4*$L18-0.6*$K18&gt;=0.5,"↑",IF(0.4*$L18-0.6*$K18&gt;-0.5,"↔",IF(0.4*$L18-0.6*$K18&gt;-1.5,"↓","⇊")))))</f>
        <v/>
      </c>
      <c r="V18" s="24">
        <f>IF($E18="","",IF(0.5*$L18&gt;=1.5,"⇈",IF(0.5*$L18&gt;=0.5,"↑",IF(0.5*$L18&gt;-0.5,"↔",IF(0.5*$L18&gt;-1.5,"↓","⇊")))))</f>
        <v/>
      </c>
      <c r="W18" s="24">
        <f>IF($E18="","",IF(AND($L18&gt;=0.5,$K18&lt;=0.5),"Risk-on",IF(OR($L18&lt;=-0.5,$K18&gt;=1),"Risk-off","Neutral")))</f>
        <v/>
      </c>
      <c r="X18" s="24">
        <f>IF($E18="","",IF(AND(IFERROR(INDEX(Lib_Importance,$Z18),0)&gt;=4,ABS($I18)&gt;=1),"High",IF(ABS($I18)&lt;0.5,"Low","Medium")))</f>
        <v/>
      </c>
      <c r="Z18" s="32">
        <f>IF('Data Tracker'!$D18="","",IFERROR(MATCH('Data Tracker'!$D18,Lib_Name,0),""))</f>
        <v/>
      </c>
    </row>
    <row r="19">
      <c r="B19" s="29">
        <f>IF('Data Tracker'!$D19="","",'Data Tracker'!$B19)</f>
        <v/>
      </c>
      <c r="C19" s="11">
        <f>IF('Data Tracker'!$D19="","",'Data Tracker'!$D19)</f>
        <v/>
      </c>
      <c r="D19" s="24">
        <f>IF($Z19="","",IFERROR(INDEX(Lib_Cat,$Z19),""))</f>
        <v/>
      </c>
      <c r="E19" s="30">
        <f>IF('Data Tracker'!$D19="","",'Data Tracker'!$E19)</f>
        <v/>
      </c>
      <c r="F19" s="30">
        <f>IF('Data Tracker'!$D19="","",'Data Tracker'!$F19)</f>
        <v/>
      </c>
      <c r="G19" s="30">
        <f>IF('Data Tracker'!$D19="","",'Data Tracker'!$G19)</f>
        <v/>
      </c>
      <c r="H19" s="28">
        <f>IF($E19="","",$E19-$F19)</f>
        <v/>
      </c>
      <c r="I19" s="31">
        <f>IF($E19="","",IFERROR($H19/INDEX(Lib_Scale,$Z19),0))</f>
        <v/>
      </c>
      <c r="J19" s="24">
        <f>IF($E19="","",IF(ABS($I19)&lt;0.5,"Neutral",IF($I19&gt;0,"Hot","Cold")))</f>
        <v/>
      </c>
      <c r="K19" s="31">
        <f>IF($E19="","",$I19*INDEX(Lib_PolInfl,$Z19)*INDEX(Lib_Importance,$Z19)/5)</f>
        <v/>
      </c>
      <c r="L19" s="31">
        <f>IF($E19="","",$I19*INDEX(Lib_PolGrow,$Z19)*INDEX(Lib_Importance,$Z19)/5)</f>
        <v/>
      </c>
      <c r="M19" s="24">
        <f>IF($E19="","",IF($K19&gt;0.5,"Inflationary",IF($K19&lt;-0.5,"Disinflationary","Neutral")))</f>
        <v/>
      </c>
      <c r="N19" s="24">
        <f>IF($E19="","",IF($L19&gt;0.5,"Growth+",IF($L19&lt;-0.5,"Growth-","Neutral")))</f>
        <v/>
      </c>
      <c r="O19" s="24">
        <f>IF($E19="","",IF(0.6*$K19+0.4*$L19&gt;=1.5,"⇈",IF(0.6*$K19+0.4*$L19&gt;=0.5,"↑",IF(0.6*$K19+0.4*$L19&gt;-0.5,"↔",IF(0.6*$K19+0.4*$L19&gt;-1.5,"↓","⇊")))))</f>
        <v/>
      </c>
      <c r="P19" s="24">
        <f>IF($E19="","",IF(0.7*$K19+0.3*$L19&gt;=1.5,"⇈",IF(0.7*$K19+0.3*$L19&gt;=0.5,"↑",IF(0.7*$K19+0.3*$L19&gt;-0.5,"↔",IF(0.7*$K19+0.3*$L19&gt;-1.5,"↓","⇊")))))</f>
        <v/>
      </c>
      <c r="Q19" s="24">
        <f>IF($E19="","",IF(-(0.7*$K19+0.3*$L19)&gt;=1.5,"⇈",IF(-(0.7*$K19+0.3*$L19)&gt;=0.5,"↑",IF(-(0.7*$K19+0.3*$L19)&gt;-0.5,"↔",IF(-(0.7*$K19+0.3*$L19)&gt;-1.5,"↓","⇊")))))</f>
        <v/>
      </c>
      <c r="R19" s="24">
        <f>IF($E19="","",IF(-0.8*$K19&gt;=1.5,"⇈",IF(-0.8*$K19&gt;=0.5,"↑",IF(-0.8*$K19&gt;-0.5,"↔",IF(-0.8*$K19&gt;-1.5,"↓","⇊")))))</f>
        <v/>
      </c>
      <c r="S19" s="24">
        <f>IF($E19="","",IF(0.5*$L19&gt;=1.5,"⇈",IF(0.5*$L19&gt;=0.5,"↑",IF(0.5*$L19&gt;-0.5,"↔",IF(0.5*$L19&gt;-1.5,"↓","⇊")))))</f>
        <v/>
      </c>
      <c r="T19" s="24">
        <f>IF($E19="","",IF(0.5*$L19-0.5*$K19&gt;=1.5,"⇈",IF(0.5*$L19-0.5*$K19&gt;=0.5,"↑",IF(0.5*$L19-0.5*$K19&gt;-0.5,"↔",IF(0.5*$L19-0.5*$K19&gt;-1.5,"↓","⇊")))))</f>
        <v/>
      </c>
      <c r="U19" s="24">
        <f>IF($E19="","",IF(0.4*$L19-0.6*$K19&gt;=1.5,"⇈",IF(0.4*$L19-0.6*$K19&gt;=0.5,"↑",IF(0.4*$L19-0.6*$K19&gt;-0.5,"↔",IF(0.4*$L19-0.6*$K19&gt;-1.5,"↓","⇊")))))</f>
        <v/>
      </c>
      <c r="V19" s="24">
        <f>IF($E19="","",IF(0.5*$L19&gt;=1.5,"⇈",IF(0.5*$L19&gt;=0.5,"↑",IF(0.5*$L19&gt;-0.5,"↔",IF(0.5*$L19&gt;-1.5,"↓","⇊")))))</f>
        <v/>
      </c>
      <c r="W19" s="24">
        <f>IF($E19="","",IF(AND($L19&gt;=0.5,$K19&lt;=0.5),"Risk-on",IF(OR($L19&lt;=-0.5,$K19&gt;=1),"Risk-off","Neutral")))</f>
        <v/>
      </c>
      <c r="X19" s="24">
        <f>IF($E19="","",IF(AND(IFERROR(INDEX(Lib_Importance,$Z19),0)&gt;=4,ABS($I19)&gt;=1),"High",IF(ABS($I19)&lt;0.5,"Low","Medium")))</f>
        <v/>
      </c>
      <c r="Z19" s="32">
        <f>IF('Data Tracker'!$D19="","",IFERROR(MATCH('Data Tracker'!$D19,Lib_Name,0),""))</f>
        <v/>
      </c>
    </row>
    <row r="20">
      <c r="B20" s="29">
        <f>IF('Data Tracker'!$D20="","",'Data Tracker'!$B20)</f>
        <v/>
      </c>
      <c r="C20" s="11">
        <f>IF('Data Tracker'!$D20="","",'Data Tracker'!$D20)</f>
        <v/>
      </c>
      <c r="D20" s="24">
        <f>IF($Z20="","",IFERROR(INDEX(Lib_Cat,$Z20),""))</f>
        <v/>
      </c>
      <c r="E20" s="30">
        <f>IF('Data Tracker'!$D20="","",'Data Tracker'!$E20)</f>
        <v/>
      </c>
      <c r="F20" s="30">
        <f>IF('Data Tracker'!$D20="","",'Data Tracker'!$F20)</f>
        <v/>
      </c>
      <c r="G20" s="30">
        <f>IF('Data Tracker'!$D20="","",'Data Tracker'!$G20)</f>
        <v/>
      </c>
      <c r="H20" s="28">
        <f>IF($E20="","",$E20-$F20)</f>
        <v/>
      </c>
      <c r="I20" s="31">
        <f>IF($E20="","",IFERROR($H20/INDEX(Lib_Scale,$Z20),0))</f>
        <v/>
      </c>
      <c r="J20" s="24">
        <f>IF($E20="","",IF(ABS($I20)&lt;0.5,"Neutral",IF($I20&gt;0,"Hot","Cold")))</f>
        <v/>
      </c>
      <c r="K20" s="31">
        <f>IF($E20="","",$I20*INDEX(Lib_PolInfl,$Z20)*INDEX(Lib_Importance,$Z20)/5)</f>
        <v/>
      </c>
      <c r="L20" s="31">
        <f>IF($E20="","",$I20*INDEX(Lib_PolGrow,$Z20)*INDEX(Lib_Importance,$Z20)/5)</f>
        <v/>
      </c>
      <c r="M20" s="24">
        <f>IF($E20="","",IF($K20&gt;0.5,"Inflationary",IF($K20&lt;-0.5,"Disinflationary","Neutral")))</f>
        <v/>
      </c>
      <c r="N20" s="24">
        <f>IF($E20="","",IF($L20&gt;0.5,"Growth+",IF($L20&lt;-0.5,"Growth-","Neutral")))</f>
        <v/>
      </c>
      <c r="O20" s="24">
        <f>IF($E20="","",IF(0.6*$K20+0.4*$L20&gt;=1.5,"⇈",IF(0.6*$K20+0.4*$L20&gt;=0.5,"↑",IF(0.6*$K20+0.4*$L20&gt;-0.5,"↔",IF(0.6*$K20+0.4*$L20&gt;-1.5,"↓","⇊")))))</f>
        <v/>
      </c>
      <c r="P20" s="24">
        <f>IF($E20="","",IF(0.7*$K20+0.3*$L20&gt;=1.5,"⇈",IF(0.7*$K20+0.3*$L20&gt;=0.5,"↑",IF(0.7*$K20+0.3*$L20&gt;-0.5,"↔",IF(0.7*$K20+0.3*$L20&gt;-1.5,"↓","⇊")))))</f>
        <v/>
      </c>
      <c r="Q20" s="24">
        <f>IF($E20="","",IF(-(0.7*$K20+0.3*$L20)&gt;=1.5,"⇈",IF(-(0.7*$K20+0.3*$L20)&gt;=0.5,"↑",IF(-(0.7*$K20+0.3*$L20)&gt;-0.5,"↔",IF(-(0.7*$K20+0.3*$L20)&gt;-1.5,"↓","⇊")))))</f>
        <v/>
      </c>
      <c r="R20" s="24">
        <f>IF($E20="","",IF(-0.8*$K20&gt;=1.5,"⇈",IF(-0.8*$K20&gt;=0.5,"↑",IF(-0.8*$K20&gt;-0.5,"↔",IF(-0.8*$K20&gt;-1.5,"↓","⇊")))))</f>
        <v/>
      </c>
      <c r="S20" s="24">
        <f>IF($E20="","",IF(0.5*$L20&gt;=1.5,"⇈",IF(0.5*$L20&gt;=0.5,"↑",IF(0.5*$L20&gt;-0.5,"↔",IF(0.5*$L20&gt;-1.5,"↓","⇊")))))</f>
        <v/>
      </c>
      <c r="T20" s="24">
        <f>IF($E20="","",IF(0.5*$L20-0.5*$K20&gt;=1.5,"⇈",IF(0.5*$L20-0.5*$K20&gt;=0.5,"↑",IF(0.5*$L20-0.5*$K20&gt;-0.5,"↔",IF(0.5*$L20-0.5*$K20&gt;-1.5,"↓","⇊")))))</f>
        <v/>
      </c>
      <c r="U20" s="24">
        <f>IF($E20="","",IF(0.4*$L20-0.6*$K20&gt;=1.5,"⇈",IF(0.4*$L20-0.6*$K20&gt;=0.5,"↑",IF(0.4*$L20-0.6*$K20&gt;-0.5,"↔",IF(0.4*$L20-0.6*$K20&gt;-1.5,"↓","⇊")))))</f>
        <v/>
      </c>
      <c r="V20" s="24">
        <f>IF($E20="","",IF(0.5*$L20&gt;=1.5,"⇈",IF(0.5*$L20&gt;=0.5,"↑",IF(0.5*$L20&gt;-0.5,"↔",IF(0.5*$L20&gt;-1.5,"↓","⇊")))))</f>
        <v/>
      </c>
      <c r="W20" s="24">
        <f>IF($E20="","",IF(AND($L20&gt;=0.5,$K20&lt;=0.5),"Risk-on",IF(OR($L20&lt;=-0.5,$K20&gt;=1),"Risk-off","Neutral")))</f>
        <v/>
      </c>
      <c r="X20" s="24">
        <f>IF($E20="","",IF(AND(IFERROR(INDEX(Lib_Importance,$Z20),0)&gt;=4,ABS($I20)&gt;=1),"High",IF(ABS($I20)&lt;0.5,"Low","Medium")))</f>
        <v/>
      </c>
      <c r="Z20" s="32">
        <f>IF('Data Tracker'!$D20="","",IFERROR(MATCH('Data Tracker'!$D20,Lib_Name,0),""))</f>
        <v/>
      </c>
    </row>
    <row r="21">
      <c r="B21" s="29">
        <f>IF('Data Tracker'!$D21="","",'Data Tracker'!$B21)</f>
        <v/>
      </c>
      <c r="C21" s="11">
        <f>IF('Data Tracker'!$D21="","",'Data Tracker'!$D21)</f>
        <v/>
      </c>
      <c r="D21" s="24">
        <f>IF($Z21="","",IFERROR(INDEX(Lib_Cat,$Z21),""))</f>
        <v/>
      </c>
      <c r="E21" s="30">
        <f>IF('Data Tracker'!$D21="","",'Data Tracker'!$E21)</f>
        <v/>
      </c>
      <c r="F21" s="30">
        <f>IF('Data Tracker'!$D21="","",'Data Tracker'!$F21)</f>
        <v/>
      </c>
      <c r="G21" s="30">
        <f>IF('Data Tracker'!$D21="","",'Data Tracker'!$G21)</f>
        <v/>
      </c>
      <c r="H21" s="28">
        <f>IF($E21="","",$E21-$F21)</f>
        <v/>
      </c>
      <c r="I21" s="31">
        <f>IF($E21="","",IFERROR($H21/INDEX(Lib_Scale,$Z21),0))</f>
        <v/>
      </c>
      <c r="J21" s="24">
        <f>IF($E21="","",IF(ABS($I21)&lt;0.5,"Neutral",IF($I21&gt;0,"Hot","Cold")))</f>
        <v/>
      </c>
      <c r="K21" s="31">
        <f>IF($E21="","",$I21*INDEX(Lib_PolInfl,$Z21)*INDEX(Lib_Importance,$Z21)/5)</f>
        <v/>
      </c>
      <c r="L21" s="31">
        <f>IF($E21="","",$I21*INDEX(Lib_PolGrow,$Z21)*INDEX(Lib_Importance,$Z21)/5)</f>
        <v/>
      </c>
      <c r="M21" s="24">
        <f>IF($E21="","",IF($K21&gt;0.5,"Inflationary",IF($K21&lt;-0.5,"Disinflationary","Neutral")))</f>
        <v/>
      </c>
      <c r="N21" s="24">
        <f>IF($E21="","",IF($L21&gt;0.5,"Growth+",IF($L21&lt;-0.5,"Growth-","Neutral")))</f>
        <v/>
      </c>
      <c r="O21" s="24">
        <f>IF($E21="","",IF(0.6*$K21+0.4*$L21&gt;=1.5,"⇈",IF(0.6*$K21+0.4*$L21&gt;=0.5,"↑",IF(0.6*$K21+0.4*$L21&gt;-0.5,"↔",IF(0.6*$K21+0.4*$L21&gt;-1.5,"↓","⇊")))))</f>
        <v/>
      </c>
      <c r="P21" s="24">
        <f>IF($E21="","",IF(0.7*$K21+0.3*$L21&gt;=1.5,"⇈",IF(0.7*$K21+0.3*$L21&gt;=0.5,"↑",IF(0.7*$K21+0.3*$L21&gt;-0.5,"↔",IF(0.7*$K21+0.3*$L21&gt;-1.5,"↓","⇊")))))</f>
        <v/>
      </c>
      <c r="Q21" s="24">
        <f>IF($E21="","",IF(-(0.7*$K21+0.3*$L21)&gt;=1.5,"⇈",IF(-(0.7*$K21+0.3*$L21)&gt;=0.5,"↑",IF(-(0.7*$K21+0.3*$L21)&gt;-0.5,"↔",IF(-(0.7*$K21+0.3*$L21)&gt;-1.5,"↓","⇊")))))</f>
        <v/>
      </c>
      <c r="R21" s="24">
        <f>IF($E21="","",IF(-0.8*$K21&gt;=1.5,"⇈",IF(-0.8*$K21&gt;=0.5,"↑",IF(-0.8*$K21&gt;-0.5,"↔",IF(-0.8*$K21&gt;-1.5,"↓","⇊")))))</f>
        <v/>
      </c>
      <c r="S21" s="24">
        <f>IF($E21="","",IF(0.5*$L21&gt;=1.5,"⇈",IF(0.5*$L21&gt;=0.5,"↑",IF(0.5*$L21&gt;-0.5,"↔",IF(0.5*$L21&gt;-1.5,"↓","⇊")))))</f>
        <v/>
      </c>
      <c r="T21" s="24">
        <f>IF($E21="","",IF(0.5*$L21-0.5*$K21&gt;=1.5,"⇈",IF(0.5*$L21-0.5*$K21&gt;=0.5,"↑",IF(0.5*$L21-0.5*$K21&gt;-0.5,"↔",IF(0.5*$L21-0.5*$K21&gt;-1.5,"↓","⇊")))))</f>
        <v/>
      </c>
      <c r="U21" s="24">
        <f>IF($E21="","",IF(0.4*$L21-0.6*$K21&gt;=1.5,"⇈",IF(0.4*$L21-0.6*$K21&gt;=0.5,"↑",IF(0.4*$L21-0.6*$K21&gt;-0.5,"↔",IF(0.4*$L21-0.6*$K21&gt;-1.5,"↓","⇊")))))</f>
        <v/>
      </c>
      <c r="V21" s="24">
        <f>IF($E21="","",IF(0.5*$L21&gt;=1.5,"⇈",IF(0.5*$L21&gt;=0.5,"↑",IF(0.5*$L21&gt;-0.5,"↔",IF(0.5*$L21&gt;-1.5,"↓","⇊")))))</f>
        <v/>
      </c>
      <c r="W21" s="24">
        <f>IF($E21="","",IF(AND($L21&gt;=0.5,$K21&lt;=0.5),"Risk-on",IF(OR($L21&lt;=-0.5,$K21&gt;=1),"Risk-off","Neutral")))</f>
        <v/>
      </c>
      <c r="X21" s="24">
        <f>IF($E21="","",IF(AND(IFERROR(INDEX(Lib_Importance,$Z21),0)&gt;=4,ABS($I21)&gt;=1),"High",IF(ABS($I21)&lt;0.5,"Low","Medium")))</f>
        <v/>
      </c>
      <c r="Z21" s="32">
        <f>IF('Data Tracker'!$D21="","",IFERROR(MATCH('Data Tracker'!$D21,Lib_Name,0),""))</f>
        <v/>
      </c>
    </row>
    <row r="22">
      <c r="B22" s="29">
        <f>IF('Data Tracker'!$D22="","",'Data Tracker'!$B22)</f>
        <v/>
      </c>
      <c r="C22" s="11">
        <f>IF('Data Tracker'!$D22="","",'Data Tracker'!$D22)</f>
        <v/>
      </c>
      <c r="D22" s="24">
        <f>IF($Z22="","",IFERROR(INDEX(Lib_Cat,$Z22),""))</f>
        <v/>
      </c>
      <c r="E22" s="30">
        <f>IF('Data Tracker'!$D22="","",'Data Tracker'!$E22)</f>
        <v/>
      </c>
      <c r="F22" s="30">
        <f>IF('Data Tracker'!$D22="","",'Data Tracker'!$F22)</f>
        <v/>
      </c>
      <c r="G22" s="30">
        <f>IF('Data Tracker'!$D22="","",'Data Tracker'!$G22)</f>
        <v/>
      </c>
      <c r="H22" s="28">
        <f>IF($E22="","",$E22-$F22)</f>
        <v/>
      </c>
      <c r="I22" s="31">
        <f>IF($E22="","",IFERROR($H22/INDEX(Lib_Scale,$Z22),0))</f>
        <v/>
      </c>
      <c r="J22" s="24">
        <f>IF($E22="","",IF(ABS($I22)&lt;0.5,"Neutral",IF($I22&gt;0,"Hot","Cold")))</f>
        <v/>
      </c>
      <c r="K22" s="31">
        <f>IF($E22="","",$I22*INDEX(Lib_PolInfl,$Z22)*INDEX(Lib_Importance,$Z22)/5)</f>
        <v/>
      </c>
      <c r="L22" s="31">
        <f>IF($E22="","",$I22*INDEX(Lib_PolGrow,$Z22)*INDEX(Lib_Importance,$Z22)/5)</f>
        <v/>
      </c>
      <c r="M22" s="24">
        <f>IF($E22="","",IF($K22&gt;0.5,"Inflationary",IF($K22&lt;-0.5,"Disinflationary","Neutral")))</f>
        <v/>
      </c>
      <c r="N22" s="24">
        <f>IF($E22="","",IF($L22&gt;0.5,"Growth+",IF($L22&lt;-0.5,"Growth-","Neutral")))</f>
        <v/>
      </c>
      <c r="O22" s="24">
        <f>IF($E22="","",IF(0.6*$K22+0.4*$L22&gt;=1.5,"⇈",IF(0.6*$K22+0.4*$L22&gt;=0.5,"↑",IF(0.6*$K22+0.4*$L22&gt;-0.5,"↔",IF(0.6*$K22+0.4*$L22&gt;-1.5,"↓","⇊")))))</f>
        <v/>
      </c>
      <c r="P22" s="24">
        <f>IF($E22="","",IF(0.7*$K22+0.3*$L22&gt;=1.5,"⇈",IF(0.7*$K22+0.3*$L22&gt;=0.5,"↑",IF(0.7*$K22+0.3*$L22&gt;-0.5,"↔",IF(0.7*$K22+0.3*$L22&gt;-1.5,"↓","⇊")))))</f>
        <v/>
      </c>
      <c r="Q22" s="24">
        <f>IF($E22="","",IF(-(0.7*$K22+0.3*$L22)&gt;=1.5,"⇈",IF(-(0.7*$K22+0.3*$L22)&gt;=0.5,"↑",IF(-(0.7*$K22+0.3*$L22)&gt;-0.5,"↔",IF(-(0.7*$K22+0.3*$L22)&gt;-1.5,"↓","⇊")))))</f>
        <v/>
      </c>
      <c r="R22" s="24">
        <f>IF($E22="","",IF(-0.8*$K22&gt;=1.5,"⇈",IF(-0.8*$K22&gt;=0.5,"↑",IF(-0.8*$K22&gt;-0.5,"↔",IF(-0.8*$K22&gt;-1.5,"↓","⇊")))))</f>
        <v/>
      </c>
      <c r="S22" s="24">
        <f>IF($E22="","",IF(0.5*$L22&gt;=1.5,"⇈",IF(0.5*$L22&gt;=0.5,"↑",IF(0.5*$L22&gt;-0.5,"↔",IF(0.5*$L22&gt;-1.5,"↓","⇊")))))</f>
        <v/>
      </c>
      <c r="T22" s="24">
        <f>IF($E22="","",IF(0.5*$L22-0.5*$K22&gt;=1.5,"⇈",IF(0.5*$L22-0.5*$K22&gt;=0.5,"↑",IF(0.5*$L22-0.5*$K22&gt;-0.5,"↔",IF(0.5*$L22-0.5*$K22&gt;-1.5,"↓","⇊")))))</f>
        <v/>
      </c>
      <c r="U22" s="24">
        <f>IF($E22="","",IF(0.4*$L22-0.6*$K22&gt;=1.5,"⇈",IF(0.4*$L22-0.6*$K22&gt;=0.5,"↑",IF(0.4*$L22-0.6*$K22&gt;-0.5,"↔",IF(0.4*$L22-0.6*$K22&gt;-1.5,"↓","⇊")))))</f>
        <v/>
      </c>
      <c r="V22" s="24">
        <f>IF($E22="","",IF(0.5*$L22&gt;=1.5,"⇈",IF(0.5*$L22&gt;=0.5,"↑",IF(0.5*$L22&gt;-0.5,"↔",IF(0.5*$L22&gt;-1.5,"↓","⇊")))))</f>
        <v/>
      </c>
      <c r="W22" s="24">
        <f>IF($E22="","",IF(AND($L22&gt;=0.5,$K22&lt;=0.5),"Risk-on",IF(OR($L22&lt;=-0.5,$K22&gt;=1),"Risk-off","Neutral")))</f>
        <v/>
      </c>
      <c r="X22" s="24">
        <f>IF($E22="","",IF(AND(IFERROR(INDEX(Lib_Importance,$Z22),0)&gt;=4,ABS($I22)&gt;=1),"High",IF(ABS($I22)&lt;0.5,"Low","Medium")))</f>
        <v/>
      </c>
      <c r="Z22" s="32">
        <f>IF('Data Tracker'!$D22="","",IFERROR(MATCH('Data Tracker'!$D22,Lib_Name,0),""))</f>
        <v/>
      </c>
    </row>
    <row r="23">
      <c r="B23" s="29">
        <f>IF('Data Tracker'!$D23="","",'Data Tracker'!$B23)</f>
        <v/>
      </c>
      <c r="C23" s="11">
        <f>IF('Data Tracker'!$D23="","",'Data Tracker'!$D23)</f>
        <v/>
      </c>
      <c r="D23" s="24">
        <f>IF($Z23="","",IFERROR(INDEX(Lib_Cat,$Z23),""))</f>
        <v/>
      </c>
      <c r="E23" s="30">
        <f>IF('Data Tracker'!$D23="","",'Data Tracker'!$E23)</f>
        <v/>
      </c>
      <c r="F23" s="30">
        <f>IF('Data Tracker'!$D23="","",'Data Tracker'!$F23)</f>
        <v/>
      </c>
      <c r="G23" s="30">
        <f>IF('Data Tracker'!$D23="","",'Data Tracker'!$G23)</f>
        <v/>
      </c>
      <c r="H23" s="28">
        <f>IF($E23="","",$E23-$F23)</f>
        <v/>
      </c>
      <c r="I23" s="31">
        <f>IF($E23="","",IFERROR($H23/INDEX(Lib_Scale,$Z23),0))</f>
        <v/>
      </c>
      <c r="J23" s="24">
        <f>IF($E23="","",IF(ABS($I23)&lt;0.5,"Neutral",IF($I23&gt;0,"Hot","Cold")))</f>
        <v/>
      </c>
      <c r="K23" s="31">
        <f>IF($E23="","",$I23*INDEX(Lib_PolInfl,$Z23)*INDEX(Lib_Importance,$Z23)/5)</f>
        <v/>
      </c>
      <c r="L23" s="31">
        <f>IF($E23="","",$I23*INDEX(Lib_PolGrow,$Z23)*INDEX(Lib_Importance,$Z23)/5)</f>
        <v/>
      </c>
      <c r="M23" s="24">
        <f>IF($E23="","",IF($K23&gt;0.5,"Inflationary",IF($K23&lt;-0.5,"Disinflationary","Neutral")))</f>
        <v/>
      </c>
      <c r="N23" s="24">
        <f>IF($E23="","",IF($L23&gt;0.5,"Growth+",IF($L23&lt;-0.5,"Growth-","Neutral")))</f>
        <v/>
      </c>
      <c r="O23" s="24">
        <f>IF($E23="","",IF(0.6*$K23+0.4*$L23&gt;=1.5,"⇈",IF(0.6*$K23+0.4*$L23&gt;=0.5,"↑",IF(0.6*$K23+0.4*$L23&gt;-0.5,"↔",IF(0.6*$K23+0.4*$L23&gt;-1.5,"↓","⇊")))))</f>
        <v/>
      </c>
      <c r="P23" s="24">
        <f>IF($E23="","",IF(0.7*$K23+0.3*$L23&gt;=1.5,"⇈",IF(0.7*$K23+0.3*$L23&gt;=0.5,"↑",IF(0.7*$K23+0.3*$L23&gt;-0.5,"↔",IF(0.7*$K23+0.3*$L23&gt;-1.5,"↓","⇊")))))</f>
        <v/>
      </c>
      <c r="Q23" s="24">
        <f>IF($E23="","",IF(-(0.7*$K23+0.3*$L23)&gt;=1.5,"⇈",IF(-(0.7*$K23+0.3*$L23)&gt;=0.5,"↑",IF(-(0.7*$K23+0.3*$L23)&gt;-0.5,"↔",IF(-(0.7*$K23+0.3*$L23)&gt;-1.5,"↓","⇊")))))</f>
        <v/>
      </c>
      <c r="R23" s="24">
        <f>IF($E23="","",IF(-0.8*$K23&gt;=1.5,"⇈",IF(-0.8*$K23&gt;=0.5,"↑",IF(-0.8*$K23&gt;-0.5,"↔",IF(-0.8*$K23&gt;-1.5,"↓","⇊")))))</f>
        <v/>
      </c>
      <c r="S23" s="24">
        <f>IF($E23="","",IF(0.5*$L23&gt;=1.5,"⇈",IF(0.5*$L23&gt;=0.5,"↑",IF(0.5*$L23&gt;-0.5,"↔",IF(0.5*$L23&gt;-1.5,"↓","⇊")))))</f>
        <v/>
      </c>
      <c r="T23" s="24">
        <f>IF($E23="","",IF(0.5*$L23-0.5*$K23&gt;=1.5,"⇈",IF(0.5*$L23-0.5*$K23&gt;=0.5,"↑",IF(0.5*$L23-0.5*$K23&gt;-0.5,"↔",IF(0.5*$L23-0.5*$K23&gt;-1.5,"↓","⇊")))))</f>
        <v/>
      </c>
      <c r="U23" s="24">
        <f>IF($E23="","",IF(0.4*$L23-0.6*$K23&gt;=1.5,"⇈",IF(0.4*$L23-0.6*$K23&gt;=0.5,"↑",IF(0.4*$L23-0.6*$K23&gt;-0.5,"↔",IF(0.4*$L23-0.6*$K23&gt;-1.5,"↓","⇊")))))</f>
        <v/>
      </c>
      <c r="V23" s="24">
        <f>IF($E23="","",IF(0.5*$L23&gt;=1.5,"⇈",IF(0.5*$L23&gt;=0.5,"↑",IF(0.5*$L23&gt;-0.5,"↔",IF(0.5*$L23&gt;-1.5,"↓","⇊")))))</f>
        <v/>
      </c>
      <c r="W23" s="24">
        <f>IF($E23="","",IF(AND($L23&gt;=0.5,$K23&lt;=0.5),"Risk-on",IF(OR($L23&lt;=-0.5,$K23&gt;=1),"Risk-off","Neutral")))</f>
        <v/>
      </c>
      <c r="X23" s="24">
        <f>IF($E23="","",IF(AND(IFERROR(INDEX(Lib_Importance,$Z23),0)&gt;=4,ABS($I23)&gt;=1),"High",IF(ABS($I23)&lt;0.5,"Low","Medium")))</f>
        <v/>
      </c>
      <c r="Z23" s="32">
        <f>IF('Data Tracker'!$D23="","",IFERROR(MATCH('Data Tracker'!$D23,Lib_Name,0),""))</f>
        <v/>
      </c>
    </row>
    <row r="24">
      <c r="B24" s="29">
        <f>IF('Data Tracker'!$D24="","",'Data Tracker'!$B24)</f>
        <v/>
      </c>
      <c r="C24" s="11">
        <f>IF('Data Tracker'!$D24="","",'Data Tracker'!$D24)</f>
        <v/>
      </c>
      <c r="D24" s="24">
        <f>IF($Z24="","",IFERROR(INDEX(Lib_Cat,$Z24),""))</f>
        <v/>
      </c>
      <c r="E24" s="30">
        <f>IF('Data Tracker'!$D24="","",'Data Tracker'!$E24)</f>
        <v/>
      </c>
      <c r="F24" s="30">
        <f>IF('Data Tracker'!$D24="","",'Data Tracker'!$F24)</f>
        <v/>
      </c>
      <c r="G24" s="30">
        <f>IF('Data Tracker'!$D24="","",'Data Tracker'!$G24)</f>
        <v/>
      </c>
      <c r="H24" s="28">
        <f>IF($E24="","",$E24-$F24)</f>
        <v/>
      </c>
      <c r="I24" s="31">
        <f>IF($E24="","",IFERROR($H24/INDEX(Lib_Scale,$Z24),0))</f>
        <v/>
      </c>
      <c r="J24" s="24">
        <f>IF($E24="","",IF(ABS($I24)&lt;0.5,"Neutral",IF($I24&gt;0,"Hot","Cold")))</f>
        <v/>
      </c>
      <c r="K24" s="31">
        <f>IF($E24="","",$I24*INDEX(Lib_PolInfl,$Z24)*INDEX(Lib_Importance,$Z24)/5)</f>
        <v/>
      </c>
      <c r="L24" s="31">
        <f>IF($E24="","",$I24*INDEX(Lib_PolGrow,$Z24)*INDEX(Lib_Importance,$Z24)/5)</f>
        <v/>
      </c>
      <c r="M24" s="24">
        <f>IF($E24="","",IF($K24&gt;0.5,"Inflationary",IF($K24&lt;-0.5,"Disinflationary","Neutral")))</f>
        <v/>
      </c>
      <c r="N24" s="24">
        <f>IF($E24="","",IF($L24&gt;0.5,"Growth+",IF($L24&lt;-0.5,"Growth-","Neutral")))</f>
        <v/>
      </c>
      <c r="O24" s="24">
        <f>IF($E24="","",IF(0.6*$K24+0.4*$L24&gt;=1.5,"⇈",IF(0.6*$K24+0.4*$L24&gt;=0.5,"↑",IF(0.6*$K24+0.4*$L24&gt;-0.5,"↔",IF(0.6*$K24+0.4*$L24&gt;-1.5,"↓","⇊")))))</f>
        <v/>
      </c>
      <c r="P24" s="24">
        <f>IF($E24="","",IF(0.7*$K24+0.3*$L24&gt;=1.5,"⇈",IF(0.7*$K24+0.3*$L24&gt;=0.5,"↑",IF(0.7*$K24+0.3*$L24&gt;-0.5,"↔",IF(0.7*$K24+0.3*$L24&gt;-1.5,"↓","⇊")))))</f>
        <v/>
      </c>
      <c r="Q24" s="24">
        <f>IF($E24="","",IF(-(0.7*$K24+0.3*$L24)&gt;=1.5,"⇈",IF(-(0.7*$K24+0.3*$L24)&gt;=0.5,"↑",IF(-(0.7*$K24+0.3*$L24)&gt;-0.5,"↔",IF(-(0.7*$K24+0.3*$L24)&gt;-1.5,"↓","⇊")))))</f>
        <v/>
      </c>
      <c r="R24" s="24">
        <f>IF($E24="","",IF(-0.8*$K24&gt;=1.5,"⇈",IF(-0.8*$K24&gt;=0.5,"↑",IF(-0.8*$K24&gt;-0.5,"↔",IF(-0.8*$K24&gt;-1.5,"↓","⇊")))))</f>
        <v/>
      </c>
      <c r="S24" s="24">
        <f>IF($E24="","",IF(0.5*$L24&gt;=1.5,"⇈",IF(0.5*$L24&gt;=0.5,"↑",IF(0.5*$L24&gt;-0.5,"↔",IF(0.5*$L24&gt;-1.5,"↓","⇊")))))</f>
        <v/>
      </c>
      <c r="T24" s="24">
        <f>IF($E24="","",IF(0.5*$L24-0.5*$K24&gt;=1.5,"⇈",IF(0.5*$L24-0.5*$K24&gt;=0.5,"↑",IF(0.5*$L24-0.5*$K24&gt;-0.5,"↔",IF(0.5*$L24-0.5*$K24&gt;-1.5,"↓","⇊")))))</f>
        <v/>
      </c>
      <c r="U24" s="24">
        <f>IF($E24="","",IF(0.4*$L24-0.6*$K24&gt;=1.5,"⇈",IF(0.4*$L24-0.6*$K24&gt;=0.5,"↑",IF(0.4*$L24-0.6*$K24&gt;-0.5,"↔",IF(0.4*$L24-0.6*$K24&gt;-1.5,"↓","⇊")))))</f>
        <v/>
      </c>
      <c r="V24" s="24">
        <f>IF($E24="","",IF(0.5*$L24&gt;=1.5,"⇈",IF(0.5*$L24&gt;=0.5,"↑",IF(0.5*$L24&gt;-0.5,"↔",IF(0.5*$L24&gt;-1.5,"↓","⇊")))))</f>
        <v/>
      </c>
      <c r="W24" s="24">
        <f>IF($E24="","",IF(AND($L24&gt;=0.5,$K24&lt;=0.5),"Risk-on",IF(OR($L24&lt;=-0.5,$K24&gt;=1),"Risk-off","Neutral")))</f>
        <v/>
      </c>
      <c r="X24" s="24">
        <f>IF($E24="","",IF(AND(IFERROR(INDEX(Lib_Importance,$Z24),0)&gt;=4,ABS($I24)&gt;=1),"High",IF(ABS($I24)&lt;0.5,"Low","Medium")))</f>
        <v/>
      </c>
      <c r="Z24" s="32">
        <f>IF('Data Tracker'!$D24="","",IFERROR(MATCH('Data Tracker'!$D24,Lib_Name,0),""))</f>
        <v/>
      </c>
    </row>
    <row r="25">
      <c r="B25" s="29">
        <f>IF('Data Tracker'!$D25="","",'Data Tracker'!$B25)</f>
        <v/>
      </c>
      <c r="C25" s="11">
        <f>IF('Data Tracker'!$D25="","",'Data Tracker'!$D25)</f>
        <v/>
      </c>
      <c r="D25" s="24">
        <f>IF($Z25="","",IFERROR(INDEX(Lib_Cat,$Z25),""))</f>
        <v/>
      </c>
      <c r="E25" s="30">
        <f>IF('Data Tracker'!$D25="","",'Data Tracker'!$E25)</f>
        <v/>
      </c>
      <c r="F25" s="30">
        <f>IF('Data Tracker'!$D25="","",'Data Tracker'!$F25)</f>
        <v/>
      </c>
      <c r="G25" s="30">
        <f>IF('Data Tracker'!$D25="","",'Data Tracker'!$G25)</f>
        <v/>
      </c>
      <c r="H25" s="28">
        <f>IF($E25="","",$E25-$F25)</f>
        <v/>
      </c>
      <c r="I25" s="31">
        <f>IF($E25="","",IFERROR($H25/INDEX(Lib_Scale,$Z25),0))</f>
        <v/>
      </c>
      <c r="J25" s="24">
        <f>IF($E25="","",IF(ABS($I25)&lt;0.5,"Neutral",IF($I25&gt;0,"Hot","Cold")))</f>
        <v/>
      </c>
      <c r="K25" s="31">
        <f>IF($E25="","",$I25*INDEX(Lib_PolInfl,$Z25)*INDEX(Lib_Importance,$Z25)/5)</f>
        <v/>
      </c>
      <c r="L25" s="31">
        <f>IF($E25="","",$I25*INDEX(Lib_PolGrow,$Z25)*INDEX(Lib_Importance,$Z25)/5)</f>
        <v/>
      </c>
      <c r="M25" s="24">
        <f>IF($E25="","",IF($K25&gt;0.5,"Inflationary",IF($K25&lt;-0.5,"Disinflationary","Neutral")))</f>
        <v/>
      </c>
      <c r="N25" s="24">
        <f>IF($E25="","",IF($L25&gt;0.5,"Growth+",IF($L25&lt;-0.5,"Growth-","Neutral")))</f>
        <v/>
      </c>
      <c r="O25" s="24">
        <f>IF($E25="","",IF(0.6*$K25+0.4*$L25&gt;=1.5,"⇈",IF(0.6*$K25+0.4*$L25&gt;=0.5,"↑",IF(0.6*$K25+0.4*$L25&gt;-0.5,"↔",IF(0.6*$K25+0.4*$L25&gt;-1.5,"↓","⇊")))))</f>
        <v/>
      </c>
      <c r="P25" s="24">
        <f>IF($E25="","",IF(0.7*$K25+0.3*$L25&gt;=1.5,"⇈",IF(0.7*$K25+0.3*$L25&gt;=0.5,"↑",IF(0.7*$K25+0.3*$L25&gt;-0.5,"↔",IF(0.7*$K25+0.3*$L25&gt;-1.5,"↓","⇊")))))</f>
        <v/>
      </c>
      <c r="Q25" s="24">
        <f>IF($E25="","",IF(-(0.7*$K25+0.3*$L25)&gt;=1.5,"⇈",IF(-(0.7*$K25+0.3*$L25)&gt;=0.5,"↑",IF(-(0.7*$K25+0.3*$L25)&gt;-0.5,"↔",IF(-(0.7*$K25+0.3*$L25)&gt;-1.5,"↓","⇊")))))</f>
        <v/>
      </c>
      <c r="R25" s="24">
        <f>IF($E25="","",IF(-0.8*$K25&gt;=1.5,"⇈",IF(-0.8*$K25&gt;=0.5,"↑",IF(-0.8*$K25&gt;-0.5,"↔",IF(-0.8*$K25&gt;-1.5,"↓","⇊")))))</f>
        <v/>
      </c>
      <c r="S25" s="24">
        <f>IF($E25="","",IF(0.5*$L25&gt;=1.5,"⇈",IF(0.5*$L25&gt;=0.5,"↑",IF(0.5*$L25&gt;-0.5,"↔",IF(0.5*$L25&gt;-1.5,"↓","⇊")))))</f>
        <v/>
      </c>
      <c r="T25" s="24">
        <f>IF($E25="","",IF(0.5*$L25-0.5*$K25&gt;=1.5,"⇈",IF(0.5*$L25-0.5*$K25&gt;=0.5,"↑",IF(0.5*$L25-0.5*$K25&gt;-0.5,"↔",IF(0.5*$L25-0.5*$K25&gt;-1.5,"↓","⇊")))))</f>
        <v/>
      </c>
      <c r="U25" s="24">
        <f>IF($E25="","",IF(0.4*$L25-0.6*$K25&gt;=1.5,"⇈",IF(0.4*$L25-0.6*$K25&gt;=0.5,"↑",IF(0.4*$L25-0.6*$K25&gt;-0.5,"↔",IF(0.4*$L25-0.6*$K25&gt;-1.5,"↓","⇊")))))</f>
        <v/>
      </c>
      <c r="V25" s="24">
        <f>IF($E25="","",IF(0.5*$L25&gt;=1.5,"⇈",IF(0.5*$L25&gt;=0.5,"↑",IF(0.5*$L25&gt;-0.5,"↔",IF(0.5*$L25&gt;-1.5,"↓","⇊")))))</f>
        <v/>
      </c>
      <c r="W25" s="24">
        <f>IF($E25="","",IF(AND($L25&gt;=0.5,$K25&lt;=0.5),"Risk-on",IF(OR($L25&lt;=-0.5,$K25&gt;=1),"Risk-off","Neutral")))</f>
        <v/>
      </c>
      <c r="X25" s="24">
        <f>IF($E25="","",IF(AND(IFERROR(INDEX(Lib_Importance,$Z25),0)&gt;=4,ABS($I25)&gt;=1),"High",IF(ABS($I25)&lt;0.5,"Low","Medium")))</f>
        <v/>
      </c>
      <c r="Z25" s="32">
        <f>IF('Data Tracker'!$D25="","",IFERROR(MATCH('Data Tracker'!$D25,Lib_Name,0),""))</f>
        <v/>
      </c>
    </row>
    <row r="26">
      <c r="B26" s="29">
        <f>IF('Data Tracker'!$D26="","",'Data Tracker'!$B26)</f>
        <v/>
      </c>
      <c r="C26" s="11">
        <f>IF('Data Tracker'!$D26="","",'Data Tracker'!$D26)</f>
        <v/>
      </c>
      <c r="D26" s="24">
        <f>IF($Z26="","",IFERROR(INDEX(Lib_Cat,$Z26),""))</f>
        <v/>
      </c>
      <c r="E26" s="30">
        <f>IF('Data Tracker'!$D26="","",'Data Tracker'!$E26)</f>
        <v/>
      </c>
      <c r="F26" s="30">
        <f>IF('Data Tracker'!$D26="","",'Data Tracker'!$F26)</f>
        <v/>
      </c>
      <c r="G26" s="30">
        <f>IF('Data Tracker'!$D26="","",'Data Tracker'!$G26)</f>
        <v/>
      </c>
      <c r="H26" s="28">
        <f>IF($E26="","",$E26-$F26)</f>
        <v/>
      </c>
      <c r="I26" s="31">
        <f>IF($E26="","",IFERROR($H26/INDEX(Lib_Scale,$Z26),0))</f>
        <v/>
      </c>
      <c r="J26" s="24">
        <f>IF($E26="","",IF(ABS($I26)&lt;0.5,"Neutral",IF($I26&gt;0,"Hot","Cold")))</f>
        <v/>
      </c>
      <c r="K26" s="31">
        <f>IF($E26="","",$I26*INDEX(Lib_PolInfl,$Z26)*INDEX(Lib_Importance,$Z26)/5)</f>
        <v/>
      </c>
      <c r="L26" s="31">
        <f>IF($E26="","",$I26*INDEX(Lib_PolGrow,$Z26)*INDEX(Lib_Importance,$Z26)/5)</f>
        <v/>
      </c>
      <c r="M26" s="24">
        <f>IF($E26="","",IF($K26&gt;0.5,"Inflationary",IF($K26&lt;-0.5,"Disinflationary","Neutral")))</f>
        <v/>
      </c>
      <c r="N26" s="24">
        <f>IF($E26="","",IF($L26&gt;0.5,"Growth+",IF($L26&lt;-0.5,"Growth-","Neutral")))</f>
        <v/>
      </c>
      <c r="O26" s="24">
        <f>IF($E26="","",IF(0.6*$K26+0.4*$L26&gt;=1.5,"⇈",IF(0.6*$K26+0.4*$L26&gt;=0.5,"↑",IF(0.6*$K26+0.4*$L26&gt;-0.5,"↔",IF(0.6*$K26+0.4*$L26&gt;-1.5,"↓","⇊")))))</f>
        <v/>
      </c>
      <c r="P26" s="24">
        <f>IF($E26="","",IF(0.7*$K26+0.3*$L26&gt;=1.5,"⇈",IF(0.7*$K26+0.3*$L26&gt;=0.5,"↑",IF(0.7*$K26+0.3*$L26&gt;-0.5,"↔",IF(0.7*$K26+0.3*$L26&gt;-1.5,"↓","⇊")))))</f>
        <v/>
      </c>
      <c r="Q26" s="24">
        <f>IF($E26="","",IF(-(0.7*$K26+0.3*$L26)&gt;=1.5,"⇈",IF(-(0.7*$K26+0.3*$L26)&gt;=0.5,"↑",IF(-(0.7*$K26+0.3*$L26)&gt;-0.5,"↔",IF(-(0.7*$K26+0.3*$L26)&gt;-1.5,"↓","⇊")))))</f>
        <v/>
      </c>
      <c r="R26" s="24">
        <f>IF($E26="","",IF(-0.8*$K26&gt;=1.5,"⇈",IF(-0.8*$K26&gt;=0.5,"↑",IF(-0.8*$K26&gt;-0.5,"↔",IF(-0.8*$K26&gt;-1.5,"↓","⇊")))))</f>
        <v/>
      </c>
      <c r="S26" s="24">
        <f>IF($E26="","",IF(0.5*$L26&gt;=1.5,"⇈",IF(0.5*$L26&gt;=0.5,"↑",IF(0.5*$L26&gt;-0.5,"↔",IF(0.5*$L26&gt;-1.5,"↓","⇊")))))</f>
        <v/>
      </c>
      <c r="T26" s="24">
        <f>IF($E26="","",IF(0.5*$L26-0.5*$K26&gt;=1.5,"⇈",IF(0.5*$L26-0.5*$K26&gt;=0.5,"↑",IF(0.5*$L26-0.5*$K26&gt;-0.5,"↔",IF(0.5*$L26-0.5*$K26&gt;-1.5,"↓","⇊")))))</f>
        <v/>
      </c>
      <c r="U26" s="24">
        <f>IF($E26="","",IF(0.4*$L26-0.6*$K26&gt;=1.5,"⇈",IF(0.4*$L26-0.6*$K26&gt;=0.5,"↑",IF(0.4*$L26-0.6*$K26&gt;-0.5,"↔",IF(0.4*$L26-0.6*$K26&gt;-1.5,"↓","⇊")))))</f>
        <v/>
      </c>
      <c r="V26" s="24">
        <f>IF($E26="","",IF(0.5*$L26&gt;=1.5,"⇈",IF(0.5*$L26&gt;=0.5,"↑",IF(0.5*$L26&gt;-0.5,"↔",IF(0.5*$L26&gt;-1.5,"↓","⇊")))))</f>
        <v/>
      </c>
      <c r="W26" s="24">
        <f>IF($E26="","",IF(AND($L26&gt;=0.5,$K26&lt;=0.5),"Risk-on",IF(OR($L26&lt;=-0.5,$K26&gt;=1),"Risk-off","Neutral")))</f>
        <v/>
      </c>
      <c r="X26" s="24">
        <f>IF($E26="","",IF(AND(IFERROR(INDEX(Lib_Importance,$Z26),0)&gt;=4,ABS($I26)&gt;=1),"High",IF(ABS($I26)&lt;0.5,"Low","Medium")))</f>
        <v/>
      </c>
      <c r="Z26" s="32">
        <f>IF('Data Tracker'!$D26="","",IFERROR(MATCH('Data Tracker'!$D26,Lib_Name,0),""))</f>
        <v/>
      </c>
    </row>
    <row r="27">
      <c r="B27" s="29">
        <f>IF('Data Tracker'!$D27="","",'Data Tracker'!$B27)</f>
        <v/>
      </c>
      <c r="C27" s="11">
        <f>IF('Data Tracker'!$D27="","",'Data Tracker'!$D27)</f>
        <v/>
      </c>
      <c r="D27" s="24">
        <f>IF($Z27="","",IFERROR(INDEX(Lib_Cat,$Z27),""))</f>
        <v/>
      </c>
      <c r="E27" s="30">
        <f>IF('Data Tracker'!$D27="","",'Data Tracker'!$E27)</f>
        <v/>
      </c>
      <c r="F27" s="30">
        <f>IF('Data Tracker'!$D27="","",'Data Tracker'!$F27)</f>
        <v/>
      </c>
      <c r="G27" s="30">
        <f>IF('Data Tracker'!$D27="","",'Data Tracker'!$G27)</f>
        <v/>
      </c>
      <c r="H27" s="28">
        <f>IF($E27="","",$E27-$F27)</f>
        <v/>
      </c>
      <c r="I27" s="31">
        <f>IF($E27="","",IFERROR($H27/INDEX(Lib_Scale,$Z27),0))</f>
        <v/>
      </c>
      <c r="J27" s="24">
        <f>IF($E27="","",IF(ABS($I27)&lt;0.5,"Neutral",IF($I27&gt;0,"Hot","Cold")))</f>
        <v/>
      </c>
      <c r="K27" s="31">
        <f>IF($E27="","",$I27*INDEX(Lib_PolInfl,$Z27)*INDEX(Lib_Importance,$Z27)/5)</f>
        <v/>
      </c>
      <c r="L27" s="31">
        <f>IF($E27="","",$I27*INDEX(Lib_PolGrow,$Z27)*INDEX(Lib_Importance,$Z27)/5)</f>
        <v/>
      </c>
      <c r="M27" s="24">
        <f>IF($E27="","",IF($K27&gt;0.5,"Inflationary",IF($K27&lt;-0.5,"Disinflationary","Neutral")))</f>
        <v/>
      </c>
      <c r="N27" s="24">
        <f>IF($E27="","",IF($L27&gt;0.5,"Growth+",IF($L27&lt;-0.5,"Growth-","Neutral")))</f>
        <v/>
      </c>
      <c r="O27" s="24">
        <f>IF($E27="","",IF(0.6*$K27+0.4*$L27&gt;=1.5,"⇈",IF(0.6*$K27+0.4*$L27&gt;=0.5,"↑",IF(0.6*$K27+0.4*$L27&gt;-0.5,"↔",IF(0.6*$K27+0.4*$L27&gt;-1.5,"↓","⇊")))))</f>
        <v/>
      </c>
      <c r="P27" s="24">
        <f>IF($E27="","",IF(0.7*$K27+0.3*$L27&gt;=1.5,"⇈",IF(0.7*$K27+0.3*$L27&gt;=0.5,"↑",IF(0.7*$K27+0.3*$L27&gt;-0.5,"↔",IF(0.7*$K27+0.3*$L27&gt;-1.5,"↓","⇊")))))</f>
        <v/>
      </c>
      <c r="Q27" s="24">
        <f>IF($E27="","",IF(-(0.7*$K27+0.3*$L27)&gt;=1.5,"⇈",IF(-(0.7*$K27+0.3*$L27)&gt;=0.5,"↑",IF(-(0.7*$K27+0.3*$L27)&gt;-0.5,"↔",IF(-(0.7*$K27+0.3*$L27)&gt;-1.5,"↓","⇊")))))</f>
        <v/>
      </c>
      <c r="R27" s="24">
        <f>IF($E27="","",IF(-0.8*$K27&gt;=1.5,"⇈",IF(-0.8*$K27&gt;=0.5,"↑",IF(-0.8*$K27&gt;-0.5,"↔",IF(-0.8*$K27&gt;-1.5,"↓","⇊")))))</f>
        <v/>
      </c>
      <c r="S27" s="24">
        <f>IF($E27="","",IF(0.5*$L27&gt;=1.5,"⇈",IF(0.5*$L27&gt;=0.5,"↑",IF(0.5*$L27&gt;-0.5,"↔",IF(0.5*$L27&gt;-1.5,"↓","⇊")))))</f>
        <v/>
      </c>
      <c r="T27" s="24">
        <f>IF($E27="","",IF(0.5*$L27-0.5*$K27&gt;=1.5,"⇈",IF(0.5*$L27-0.5*$K27&gt;=0.5,"↑",IF(0.5*$L27-0.5*$K27&gt;-0.5,"↔",IF(0.5*$L27-0.5*$K27&gt;-1.5,"↓","⇊")))))</f>
        <v/>
      </c>
      <c r="U27" s="24">
        <f>IF($E27="","",IF(0.4*$L27-0.6*$K27&gt;=1.5,"⇈",IF(0.4*$L27-0.6*$K27&gt;=0.5,"↑",IF(0.4*$L27-0.6*$K27&gt;-0.5,"↔",IF(0.4*$L27-0.6*$K27&gt;-1.5,"↓","⇊")))))</f>
        <v/>
      </c>
      <c r="V27" s="24">
        <f>IF($E27="","",IF(0.5*$L27&gt;=1.5,"⇈",IF(0.5*$L27&gt;=0.5,"↑",IF(0.5*$L27&gt;-0.5,"↔",IF(0.5*$L27&gt;-1.5,"↓","⇊")))))</f>
        <v/>
      </c>
      <c r="W27" s="24">
        <f>IF($E27="","",IF(AND($L27&gt;=0.5,$K27&lt;=0.5),"Risk-on",IF(OR($L27&lt;=-0.5,$K27&gt;=1),"Risk-off","Neutral")))</f>
        <v/>
      </c>
      <c r="X27" s="24">
        <f>IF($E27="","",IF(AND(IFERROR(INDEX(Lib_Importance,$Z27),0)&gt;=4,ABS($I27)&gt;=1),"High",IF(ABS($I27)&lt;0.5,"Low","Medium")))</f>
        <v/>
      </c>
      <c r="Z27" s="32">
        <f>IF('Data Tracker'!$D27="","",IFERROR(MATCH('Data Tracker'!$D27,Lib_Name,0),""))</f>
        <v/>
      </c>
    </row>
    <row r="28">
      <c r="B28" s="29">
        <f>IF('Data Tracker'!$D28="","",'Data Tracker'!$B28)</f>
        <v/>
      </c>
      <c r="C28" s="11">
        <f>IF('Data Tracker'!$D28="","",'Data Tracker'!$D28)</f>
        <v/>
      </c>
      <c r="D28" s="24">
        <f>IF($Z28="","",IFERROR(INDEX(Lib_Cat,$Z28),""))</f>
        <v/>
      </c>
      <c r="E28" s="30">
        <f>IF('Data Tracker'!$D28="","",'Data Tracker'!$E28)</f>
        <v/>
      </c>
      <c r="F28" s="30">
        <f>IF('Data Tracker'!$D28="","",'Data Tracker'!$F28)</f>
        <v/>
      </c>
      <c r="G28" s="30">
        <f>IF('Data Tracker'!$D28="","",'Data Tracker'!$G28)</f>
        <v/>
      </c>
      <c r="H28" s="28">
        <f>IF($E28="","",$E28-$F28)</f>
        <v/>
      </c>
      <c r="I28" s="31">
        <f>IF($E28="","",IFERROR($H28/INDEX(Lib_Scale,$Z28),0))</f>
        <v/>
      </c>
      <c r="J28" s="24">
        <f>IF($E28="","",IF(ABS($I28)&lt;0.5,"Neutral",IF($I28&gt;0,"Hot","Cold")))</f>
        <v/>
      </c>
      <c r="K28" s="31">
        <f>IF($E28="","",$I28*INDEX(Lib_PolInfl,$Z28)*INDEX(Lib_Importance,$Z28)/5)</f>
        <v/>
      </c>
      <c r="L28" s="31">
        <f>IF($E28="","",$I28*INDEX(Lib_PolGrow,$Z28)*INDEX(Lib_Importance,$Z28)/5)</f>
        <v/>
      </c>
      <c r="M28" s="24">
        <f>IF($E28="","",IF($K28&gt;0.5,"Inflationary",IF($K28&lt;-0.5,"Disinflationary","Neutral")))</f>
        <v/>
      </c>
      <c r="N28" s="24">
        <f>IF($E28="","",IF($L28&gt;0.5,"Growth+",IF($L28&lt;-0.5,"Growth-","Neutral")))</f>
        <v/>
      </c>
      <c r="O28" s="24">
        <f>IF($E28="","",IF(0.6*$K28+0.4*$L28&gt;=1.5,"⇈",IF(0.6*$K28+0.4*$L28&gt;=0.5,"↑",IF(0.6*$K28+0.4*$L28&gt;-0.5,"↔",IF(0.6*$K28+0.4*$L28&gt;-1.5,"↓","⇊")))))</f>
        <v/>
      </c>
      <c r="P28" s="24">
        <f>IF($E28="","",IF(0.7*$K28+0.3*$L28&gt;=1.5,"⇈",IF(0.7*$K28+0.3*$L28&gt;=0.5,"↑",IF(0.7*$K28+0.3*$L28&gt;-0.5,"↔",IF(0.7*$K28+0.3*$L28&gt;-1.5,"↓","⇊")))))</f>
        <v/>
      </c>
      <c r="Q28" s="24">
        <f>IF($E28="","",IF(-(0.7*$K28+0.3*$L28)&gt;=1.5,"⇈",IF(-(0.7*$K28+0.3*$L28)&gt;=0.5,"↑",IF(-(0.7*$K28+0.3*$L28)&gt;-0.5,"↔",IF(-(0.7*$K28+0.3*$L28)&gt;-1.5,"↓","⇊")))))</f>
        <v/>
      </c>
      <c r="R28" s="24">
        <f>IF($E28="","",IF(-0.8*$K28&gt;=1.5,"⇈",IF(-0.8*$K28&gt;=0.5,"↑",IF(-0.8*$K28&gt;-0.5,"↔",IF(-0.8*$K28&gt;-1.5,"↓","⇊")))))</f>
        <v/>
      </c>
      <c r="S28" s="24">
        <f>IF($E28="","",IF(0.5*$L28&gt;=1.5,"⇈",IF(0.5*$L28&gt;=0.5,"↑",IF(0.5*$L28&gt;-0.5,"↔",IF(0.5*$L28&gt;-1.5,"↓","⇊")))))</f>
        <v/>
      </c>
      <c r="T28" s="24">
        <f>IF($E28="","",IF(0.5*$L28-0.5*$K28&gt;=1.5,"⇈",IF(0.5*$L28-0.5*$K28&gt;=0.5,"↑",IF(0.5*$L28-0.5*$K28&gt;-0.5,"↔",IF(0.5*$L28-0.5*$K28&gt;-1.5,"↓","⇊")))))</f>
        <v/>
      </c>
      <c r="U28" s="24">
        <f>IF($E28="","",IF(0.4*$L28-0.6*$K28&gt;=1.5,"⇈",IF(0.4*$L28-0.6*$K28&gt;=0.5,"↑",IF(0.4*$L28-0.6*$K28&gt;-0.5,"↔",IF(0.4*$L28-0.6*$K28&gt;-1.5,"↓","⇊")))))</f>
        <v/>
      </c>
      <c r="V28" s="24">
        <f>IF($E28="","",IF(0.5*$L28&gt;=1.5,"⇈",IF(0.5*$L28&gt;=0.5,"↑",IF(0.5*$L28&gt;-0.5,"↔",IF(0.5*$L28&gt;-1.5,"↓","⇊")))))</f>
        <v/>
      </c>
      <c r="W28" s="24">
        <f>IF($E28="","",IF(AND($L28&gt;=0.5,$K28&lt;=0.5),"Risk-on",IF(OR($L28&lt;=-0.5,$K28&gt;=1),"Risk-off","Neutral")))</f>
        <v/>
      </c>
      <c r="X28" s="24">
        <f>IF($E28="","",IF(AND(IFERROR(INDEX(Lib_Importance,$Z28),0)&gt;=4,ABS($I28)&gt;=1),"High",IF(ABS($I28)&lt;0.5,"Low","Medium")))</f>
        <v/>
      </c>
      <c r="Z28" s="32">
        <f>IF('Data Tracker'!$D28="","",IFERROR(MATCH('Data Tracker'!$D28,Lib_Name,0),""))</f>
        <v/>
      </c>
    </row>
    <row r="29">
      <c r="B29" s="29">
        <f>IF('Data Tracker'!$D29="","",'Data Tracker'!$B29)</f>
        <v/>
      </c>
      <c r="C29" s="11">
        <f>IF('Data Tracker'!$D29="","",'Data Tracker'!$D29)</f>
        <v/>
      </c>
      <c r="D29" s="24">
        <f>IF($Z29="","",IFERROR(INDEX(Lib_Cat,$Z29),""))</f>
        <v/>
      </c>
      <c r="E29" s="30">
        <f>IF('Data Tracker'!$D29="","",'Data Tracker'!$E29)</f>
        <v/>
      </c>
      <c r="F29" s="30">
        <f>IF('Data Tracker'!$D29="","",'Data Tracker'!$F29)</f>
        <v/>
      </c>
      <c r="G29" s="30">
        <f>IF('Data Tracker'!$D29="","",'Data Tracker'!$G29)</f>
        <v/>
      </c>
      <c r="H29" s="28">
        <f>IF($E29="","",$E29-$F29)</f>
        <v/>
      </c>
      <c r="I29" s="31">
        <f>IF($E29="","",IFERROR($H29/INDEX(Lib_Scale,$Z29),0))</f>
        <v/>
      </c>
      <c r="J29" s="24">
        <f>IF($E29="","",IF(ABS($I29)&lt;0.5,"Neutral",IF($I29&gt;0,"Hot","Cold")))</f>
        <v/>
      </c>
      <c r="K29" s="31">
        <f>IF($E29="","",$I29*INDEX(Lib_PolInfl,$Z29)*INDEX(Lib_Importance,$Z29)/5)</f>
        <v/>
      </c>
      <c r="L29" s="31">
        <f>IF($E29="","",$I29*INDEX(Lib_PolGrow,$Z29)*INDEX(Lib_Importance,$Z29)/5)</f>
        <v/>
      </c>
      <c r="M29" s="24">
        <f>IF($E29="","",IF($K29&gt;0.5,"Inflationary",IF($K29&lt;-0.5,"Disinflationary","Neutral")))</f>
        <v/>
      </c>
      <c r="N29" s="24">
        <f>IF($E29="","",IF($L29&gt;0.5,"Growth+",IF($L29&lt;-0.5,"Growth-","Neutral")))</f>
        <v/>
      </c>
      <c r="O29" s="24">
        <f>IF($E29="","",IF(0.6*$K29+0.4*$L29&gt;=1.5,"⇈",IF(0.6*$K29+0.4*$L29&gt;=0.5,"↑",IF(0.6*$K29+0.4*$L29&gt;-0.5,"↔",IF(0.6*$K29+0.4*$L29&gt;-1.5,"↓","⇊")))))</f>
        <v/>
      </c>
      <c r="P29" s="24">
        <f>IF($E29="","",IF(0.7*$K29+0.3*$L29&gt;=1.5,"⇈",IF(0.7*$K29+0.3*$L29&gt;=0.5,"↑",IF(0.7*$K29+0.3*$L29&gt;-0.5,"↔",IF(0.7*$K29+0.3*$L29&gt;-1.5,"↓","⇊")))))</f>
        <v/>
      </c>
      <c r="Q29" s="24">
        <f>IF($E29="","",IF(-(0.7*$K29+0.3*$L29)&gt;=1.5,"⇈",IF(-(0.7*$K29+0.3*$L29)&gt;=0.5,"↑",IF(-(0.7*$K29+0.3*$L29)&gt;-0.5,"↔",IF(-(0.7*$K29+0.3*$L29)&gt;-1.5,"↓","⇊")))))</f>
        <v/>
      </c>
      <c r="R29" s="24">
        <f>IF($E29="","",IF(-0.8*$K29&gt;=1.5,"⇈",IF(-0.8*$K29&gt;=0.5,"↑",IF(-0.8*$K29&gt;-0.5,"↔",IF(-0.8*$K29&gt;-1.5,"↓","⇊")))))</f>
        <v/>
      </c>
      <c r="S29" s="24">
        <f>IF($E29="","",IF(0.5*$L29&gt;=1.5,"⇈",IF(0.5*$L29&gt;=0.5,"↑",IF(0.5*$L29&gt;-0.5,"↔",IF(0.5*$L29&gt;-1.5,"↓","⇊")))))</f>
        <v/>
      </c>
      <c r="T29" s="24">
        <f>IF($E29="","",IF(0.5*$L29-0.5*$K29&gt;=1.5,"⇈",IF(0.5*$L29-0.5*$K29&gt;=0.5,"↑",IF(0.5*$L29-0.5*$K29&gt;-0.5,"↔",IF(0.5*$L29-0.5*$K29&gt;-1.5,"↓","⇊")))))</f>
        <v/>
      </c>
      <c r="U29" s="24">
        <f>IF($E29="","",IF(0.4*$L29-0.6*$K29&gt;=1.5,"⇈",IF(0.4*$L29-0.6*$K29&gt;=0.5,"↑",IF(0.4*$L29-0.6*$K29&gt;-0.5,"↔",IF(0.4*$L29-0.6*$K29&gt;-1.5,"↓","⇊")))))</f>
        <v/>
      </c>
      <c r="V29" s="24">
        <f>IF($E29="","",IF(0.5*$L29&gt;=1.5,"⇈",IF(0.5*$L29&gt;=0.5,"↑",IF(0.5*$L29&gt;-0.5,"↔",IF(0.5*$L29&gt;-1.5,"↓","⇊")))))</f>
        <v/>
      </c>
      <c r="W29" s="24">
        <f>IF($E29="","",IF(AND($L29&gt;=0.5,$K29&lt;=0.5),"Risk-on",IF(OR($L29&lt;=-0.5,$K29&gt;=1),"Risk-off","Neutral")))</f>
        <v/>
      </c>
      <c r="X29" s="24">
        <f>IF($E29="","",IF(AND(IFERROR(INDEX(Lib_Importance,$Z29),0)&gt;=4,ABS($I29)&gt;=1),"High",IF(ABS($I29)&lt;0.5,"Low","Medium")))</f>
        <v/>
      </c>
      <c r="Z29" s="32">
        <f>IF('Data Tracker'!$D29="","",IFERROR(MATCH('Data Tracker'!$D29,Lib_Name,0),""))</f>
        <v/>
      </c>
    </row>
    <row r="30">
      <c r="B30" s="29">
        <f>IF('Data Tracker'!$D30="","",'Data Tracker'!$B30)</f>
        <v/>
      </c>
      <c r="C30" s="11">
        <f>IF('Data Tracker'!$D30="","",'Data Tracker'!$D30)</f>
        <v/>
      </c>
      <c r="D30" s="24">
        <f>IF($Z30="","",IFERROR(INDEX(Lib_Cat,$Z30),""))</f>
        <v/>
      </c>
      <c r="E30" s="30">
        <f>IF('Data Tracker'!$D30="","",'Data Tracker'!$E30)</f>
        <v/>
      </c>
      <c r="F30" s="30">
        <f>IF('Data Tracker'!$D30="","",'Data Tracker'!$F30)</f>
        <v/>
      </c>
      <c r="G30" s="30">
        <f>IF('Data Tracker'!$D30="","",'Data Tracker'!$G30)</f>
        <v/>
      </c>
      <c r="H30" s="28">
        <f>IF($E30="","",$E30-$F30)</f>
        <v/>
      </c>
      <c r="I30" s="31">
        <f>IF($E30="","",IFERROR($H30/INDEX(Lib_Scale,$Z30),0))</f>
        <v/>
      </c>
      <c r="J30" s="24">
        <f>IF($E30="","",IF(ABS($I30)&lt;0.5,"Neutral",IF($I30&gt;0,"Hot","Cold")))</f>
        <v/>
      </c>
      <c r="K30" s="31">
        <f>IF($E30="","",$I30*INDEX(Lib_PolInfl,$Z30)*INDEX(Lib_Importance,$Z30)/5)</f>
        <v/>
      </c>
      <c r="L30" s="31">
        <f>IF($E30="","",$I30*INDEX(Lib_PolGrow,$Z30)*INDEX(Lib_Importance,$Z30)/5)</f>
        <v/>
      </c>
      <c r="M30" s="24">
        <f>IF($E30="","",IF($K30&gt;0.5,"Inflationary",IF($K30&lt;-0.5,"Disinflationary","Neutral")))</f>
        <v/>
      </c>
      <c r="N30" s="24">
        <f>IF($E30="","",IF($L30&gt;0.5,"Growth+",IF($L30&lt;-0.5,"Growth-","Neutral")))</f>
        <v/>
      </c>
      <c r="O30" s="24">
        <f>IF($E30="","",IF(0.6*$K30+0.4*$L30&gt;=1.5,"⇈",IF(0.6*$K30+0.4*$L30&gt;=0.5,"↑",IF(0.6*$K30+0.4*$L30&gt;-0.5,"↔",IF(0.6*$K30+0.4*$L30&gt;-1.5,"↓","⇊")))))</f>
        <v/>
      </c>
      <c r="P30" s="24">
        <f>IF($E30="","",IF(0.7*$K30+0.3*$L30&gt;=1.5,"⇈",IF(0.7*$K30+0.3*$L30&gt;=0.5,"↑",IF(0.7*$K30+0.3*$L30&gt;-0.5,"↔",IF(0.7*$K30+0.3*$L30&gt;-1.5,"↓","⇊")))))</f>
        <v/>
      </c>
      <c r="Q30" s="24">
        <f>IF($E30="","",IF(-(0.7*$K30+0.3*$L30)&gt;=1.5,"⇈",IF(-(0.7*$K30+0.3*$L30)&gt;=0.5,"↑",IF(-(0.7*$K30+0.3*$L30)&gt;-0.5,"↔",IF(-(0.7*$K30+0.3*$L30)&gt;-1.5,"↓","⇊")))))</f>
        <v/>
      </c>
      <c r="R30" s="24">
        <f>IF($E30="","",IF(-0.8*$K30&gt;=1.5,"⇈",IF(-0.8*$K30&gt;=0.5,"↑",IF(-0.8*$K30&gt;-0.5,"↔",IF(-0.8*$K30&gt;-1.5,"↓","⇊")))))</f>
        <v/>
      </c>
      <c r="S30" s="24">
        <f>IF($E30="","",IF(0.5*$L30&gt;=1.5,"⇈",IF(0.5*$L30&gt;=0.5,"↑",IF(0.5*$L30&gt;-0.5,"↔",IF(0.5*$L30&gt;-1.5,"↓","⇊")))))</f>
        <v/>
      </c>
      <c r="T30" s="24">
        <f>IF($E30="","",IF(0.5*$L30-0.5*$K30&gt;=1.5,"⇈",IF(0.5*$L30-0.5*$K30&gt;=0.5,"↑",IF(0.5*$L30-0.5*$K30&gt;-0.5,"↔",IF(0.5*$L30-0.5*$K30&gt;-1.5,"↓","⇊")))))</f>
        <v/>
      </c>
      <c r="U30" s="24">
        <f>IF($E30="","",IF(0.4*$L30-0.6*$K30&gt;=1.5,"⇈",IF(0.4*$L30-0.6*$K30&gt;=0.5,"↑",IF(0.4*$L30-0.6*$K30&gt;-0.5,"↔",IF(0.4*$L30-0.6*$K30&gt;-1.5,"↓","⇊")))))</f>
        <v/>
      </c>
      <c r="V30" s="24">
        <f>IF($E30="","",IF(0.5*$L30&gt;=1.5,"⇈",IF(0.5*$L30&gt;=0.5,"↑",IF(0.5*$L30&gt;-0.5,"↔",IF(0.5*$L30&gt;-1.5,"↓","⇊")))))</f>
        <v/>
      </c>
      <c r="W30" s="24">
        <f>IF($E30="","",IF(AND($L30&gt;=0.5,$K30&lt;=0.5),"Risk-on",IF(OR($L30&lt;=-0.5,$K30&gt;=1),"Risk-off","Neutral")))</f>
        <v/>
      </c>
      <c r="X30" s="24">
        <f>IF($E30="","",IF(AND(IFERROR(INDEX(Lib_Importance,$Z30),0)&gt;=4,ABS($I30)&gt;=1),"High",IF(ABS($I30)&lt;0.5,"Low","Medium")))</f>
        <v/>
      </c>
      <c r="Z30" s="32">
        <f>IF('Data Tracker'!$D30="","",IFERROR(MATCH('Data Tracker'!$D30,Lib_Name,0),""))</f>
        <v/>
      </c>
    </row>
    <row r="31">
      <c r="B31" s="29">
        <f>IF('Data Tracker'!$D31="","",'Data Tracker'!$B31)</f>
        <v/>
      </c>
      <c r="C31" s="11">
        <f>IF('Data Tracker'!$D31="","",'Data Tracker'!$D31)</f>
        <v/>
      </c>
      <c r="D31" s="24">
        <f>IF($Z31="","",IFERROR(INDEX(Lib_Cat,$Z31),""))</f>
        <v/>
      </c>
      <c r="E31" s="30">
        <f>IF('Data Tracker'!$D31="","",'Data Tracker'!$E31)</f>
        <v/>
      </c>
      <c r="F31" s="30">
        <f>IF('Data Tracker'!$D31="","",'Data Tracker'!$F31)</f>
        <v/>
      </c>
      <c r="G31" s="30">
        <f>IF('Data Tracker'!$D31="","",'Data Tracker'!$G31)</f>
        <v/>
      </c>
      <c r="H31" s="28">
        <f>IF($E31="","",$E31-$F31)</f>
        <v/>
      </c>
      <c r="I31" s="31">
        <f>IF($E31="","",IFERROR($H31/INDEX(Lib_Scale,$Z31),0))</f>
        <v/>
      </c>
      <c r="J31" s="24">
        <f>IF($E31="","",IF(ABS($I31)&lt;0.5,"Neutral",IF($I31&gt;0,"Hot","Cold")))</f>
        <v/>
      </c>
      <c r="K31" s="31">
        <f>IF($E31="","",$I31*INDEX(Lib_PolInfl,$Z31)*INDEX(Lib_Importance,$Z31)/5)</f>
        <v/>
      </c>
      <c r="L31" s="31">
        <f>IF($E31="","",$I31*INDEX(Lib_PolGrow,$Z31)*INDEX(Lib_Importance,$Z31)/5)</f>
        <v/>
      </c>
      <c r="M31" s="24">
        <f>IF($E31="","",IF($K31&gt;0.5,"Inflationary",IF($K31&lt;-0.5,"Disinflationary","Neutral")))</f>
        <v/>
      </c>
      <c r="N31" s="24">
        <f>IF($E31="","",IF($L31&gt;0.5,"Growth+",IF($L31&lt;-0.5,"Growth-","Neutral")))</f>
        <v/>
      </c>
      <c r="O31" s="24">
        <f>IF($E31="","",IF(0.6*$K31+0.4*$L31&gt;=1.5,"⇈",IF(0.6*$K31+0.4*$L31&gt;=0.5,"↑",IF(0.6*$K31+0.4*$L31&gt;-0.5,"↔",IF(0.6*$K31+0.4*$L31&gt;-1.5,"↓","⇊")))))</f>
        <v/>
      </c>
      <c r="P31" s="24">
        <f>IF($E31="","",IF(0.7*$K31+0.3*$L31&gt;=1.5,"⇈",IF(0.7*$K31+0.3*$L31&gt;=0.5,"↑",IF(0.7*$K31+0.3*$L31&gt;-0.5,"↔",IF(0.7*$K31+0.3*$L31&gt;-1.5,"↓","⇊")))))</f>
        <v/>
      </c>
      <c r="Q31" s="24">
        <f>IF($E31="","",IF(-(0.7*$K31+0.3*$L31)&gt;=1.5,"⇈",IF(-(0.7*$K31+0.3*$L31)&gt;=0.5,"↑",IF(-(0.7*$K31+0.3*$L31)&gt;-0.5,"↔",IF(-(0.7*$K31+0.3*$L31)&gt;-1.5,"↓","⇊")))))</f>
        <v/>
      </c>
      <c r="R31" s="24">
        <f>IF($E31="","",IF(-0.8*$K31&gt;=1.5,"⇈",IF(-0.8*$K31&gt;=0.5,"↑",IF(-0.8*$K31&gt;-0.5,"↔",IF(-0.8*$K31&gt;-1.5,"↓","⇊")))))</f>
        <v/>
      </c>
      <c r="S31" s="24">
        <f>IF($E31="","",IF(0.5*$L31&gt;=1.5,"⇈",IF(0.5*$L31&gt;=0.5,"↑",IF(0.5*$L31&gt;-0.5,"↔",IF(0.5*$L31&gt;-1.5,"↓","⇊")))))</f>
        <v/>
      </c>
      <c r="T31" s="24">
        <f>IF($E31="","",IF(0.5*$L31-0.5*$K31&gt;=1.5,"⇈",IF(0.5*$L31-0.5*$K31&gt;=0.5,"↑",IF(0.5*$L31-0.5*$K31&gt;-0.5,"↔",IF(0.5*$L31-0.5*$K31&gt;-1.5,"↓","⇊")))))</f>
        <v/>
      </c>
      <c r="U31" s="24">
        <f>IF($E31="","",IF(0.4*$L31-0.6*$K31&gt;=1.5,"⇈",IF(0.4*$L31-0.6*$K31&gt;=0.5,"↑",IF(0.4*$L31-0.6*$K31&gt;-0.5,"↔",IF(0.4*$L31-0.6*$K31&gt;-1.5,"↓","⇊")))))</f>
        <v/>
      </c>
      <c r="V31" s="24">
        <f>IF($E31="","",IF(0.5*$L31&gt;=1.5,"⇈",IF(0.5*$L31&gt;=0.5,"↑",IF(0.5*$L31&gt;-0.5,"↔",IF(0.5*$L31&gt;-1.5,"↓","⇊")))))</f>
        <v/>
      </c>
      <c r="W31" s="24">
        <f>IF($E31="","",IF(AND($L31&gt;=0.5,$K31&lt;=0.5),"Risk-on",IF(OR($L31&lt;=-0.5,$K31&gt;=1),"Risk-off","Neutral")))</f>
        <v/>
      </c>
      <c r="X31" s="24">
        <f>IF($E31="","",IF(AND(IFERROR(INDEX(Lib_Importance,$Z31),0)&gt;=4,ABS($I31)&gt;=1),"High",IF(ABS($I31)&lt;0.5,"Low","Medium")))</f>
        <v/>
      </c>
      <c r="Z31" s="32">
        <f>IF('Data Tracker'!$D31="","",IFERROR(MATCH('Data Tracker'!$D31,Lib_Name,0),""))</f>
        <v/>
      </c>
    </row>
    <row r="32">
      <c r="B32" s="29">
        <f>IF('Data Tracker'!$D32="","",'Data Tracker'!$B32)</f>
        <v/>
      </c>
      <c r="C32" s="11">
        <f>IF('Data Tracker'!$D32="","",'Data Tracker'!$D32)</f>
        <v/>
      </c>
      <c r="D32" s="24">
        <f>IF($Z32="","",IFERROR(INDEX(Lib_Cat,$Z32),""))</f>
        <v/>
      </c>
      <c r="E32" s="30">
        <f>IF('Data Tracker'!$D32="","",'Data Tracker'!$E32)</f>
        <v/>
      </c>
      <c r="F32" s="30">
        <f>IF('Data Tracker'!$D32="","",'Data Tracker'!$F32)</f>
        <v/>
      </c>
      <c r="G32" s="30">
        <f>IF('Data Tracker'!$D32="","",'Data Tracker'!$G32)</f>
        <v/>
      </c>
      <c r="H32" s="28">
        <f>IF($E32="","",$E32-$F32)</f>
        <v/>
      </c>
      <c r="I32" s="31">
        <f>IF($E32="","",IFERROR($H32/INDEX(Lib_Scale,$Z32),0))</f>
        <v/>
      </c>
      <c r="J32" s="24">
        <f>IF($E32="","",IF(ABS($I32)&lt;0.5,"Neutral",IF($I32&gt;0,"Hot","Cold")))</f>
        <v/>
      </c>
      <c r="K32" s="31">
        <f>IF($E32="","",$I32*INDEX(Lib_PolInfl,$Z32)*INDEX(Lib_Importance,$Z32)/5)</f>
        <v/>
      </c>
      <c r="L32" s="31">
        <f>IF($E32="","",$I32*INDEX(Lib_PolGrow,$Z32)*INDEX(Lib_Importance,$Z32)/5)</f>
        <v/>
      </c>
      <c r="M32" s="24">
        <f>IF($E32="","",IF($K32&gt;0.5,"Inflationary",IF($K32&lt;-0.5,"Disinflationary","Neutral")))</f>
        <v/>
      </c>
      <c r="N32" s="24">
        <f>IF($E32="","",IF($L32&gt;0.5,"Growth+",IF($L32&lt;-0.5,"Growth-","Neutral")))</f>
        <v/>
      </c>
      <c r="O32" s="24">
        <f>IF($E32="","",IF(0.6*$K32+0.4*$L32&gt;=1.5,"⇈",IF(0.6*$K32+0.4*$L32&gt;=0.5,"↑",IF(0.6*$K32+0.4*$L32&gt;-0.5,"↔",IF(0.6*$K32+0.4*$L32&gt;-1.5,"↓","⇊")))))</f>
        <v/>
      </c>
      <c r="P32" s="24">
        <f>IF($E32="","",IF(0.7*$K32+0.3*$L32&gt;=1.5,"⇈",IF(0.7*$K32+0.3*$L32&gt;=0.5,"↑",IF(0.7*$K32+0.3*$L32&gt;-0.5,"↔",IF(0.7*$K32+0.3*$L32&gt;-1.5,"↓","⇊")))))</f>
        <v/>
      </c>
      <c r="Q32" s="24">
        <f>IF($E32="","",IF(-(0.7*$K32+0.3*$L32)&gt;=1.5,"⇈",IF(-(0.7*$K32+0.3*$L32)&gt;=0.5,"↑",IF(-(0.7*$K32+0.3*$L32)&gt;-0.5,"↔",IF(-(0.7*$K32+0.3*$L32)&gt;-1.5,"↓","⇊")))))</f>
        <v/>
      </c>
      <c r="R32" s="24">
        <f>IF($E32="","",IF(-0.8*$K32&gt;=1.5,"⇈",IF(-0.8*$K32&gt;=0.5,"↑",IF(-0.8*$K32&gt;-0.5,"↔",IF(-0.8*$K32&gt;-1.5,"↓","⇊")))))</f>
        <v/>
      </c>
      <c r="S32" s="24">
        <f>IF($E32="","",IF(0.5*$L32&gt;=1.5,"⇈",IF(0.5*$L32&gt;=0.5,"↑",IF(0.5*$L32&gt;-0.5,"↔",IF(0.5*$L32&gt;-1.5,"↓","⇊")))))</f>
        <v/>
      </c>
      <c r="T32" s="24">
        <f>IF($E32="","",IF(0.5*$L32-0.5*$K32&gt;=1.5,"⇈",IF(0.5*$L32-0.5*$K32&gt;=0.5,"↑",IF(0.5*$L32-0.5*$K32&gt;-0.5,"↔",IF(0.5*$L32-0.5*$K32&gt;-1.5,"↓","⇊")))))</f>
        <v/>
      </c>
      <c r="U32" s="24">
        <f>IF($E32="","",IF(0.4*$L32-0.6*$K32&gt;=1.5,"⇈",IF(0.4*$L32-0.6*$K32&gt;=0.5,"↑",IF(0.4*$L32-0.6*$K32&gt;-0.5,"↔",IF(0.4*$L32-0.6*$K32&gt;-1.5,"↓","⇊")))))</f>
        <v/>
      </c>
      <c r="V32" s="24">
        <f>IF($E32="","",IF(0.5*$L32&gt;=1.5,"⇈",IF(0.5*$L32&gt;=0.5,"↑",IF(0.5*$L32&gt;-0.5,"↔",IF(0.5*$L32&gt;-1.5,"↓","⇊")))))</f>
        <v/>
      </c>
      <c r="W32" s="24">
        <f>IF($E32="","",IF(AND($L32&gt;=0.5,$K32&lt;=0.5),"Risk-on",IF(OR($L32&lt;=-0.5,$K32&gt;=1),"Risk-off","Neutral")))</f>
        <v/>
      </c>
      <c r="X32" s="24">
        <f>IF($E32="","",IF(AND(IFERROR(INDEX(Lib_Importance,$Z32),0)&gt;=4,ABS($I32)&gt;=1),"High",IF(ABS($I32)&lt;0.5,"Low","Medium")))</f>
        <v/>
      </c>
      <c r="Z32" s="32">
        <f>IF('Data Tracker'!$D32="","",IFERROR(MATCH('Data Tracker'!$D32,Lib_Name,0),""))</f>
        <v/>
      </c>
    </row>
    <row r="33">
      <c r="B33" s="29">
        <f>IF('Data Tracker'!$D33="","",'Data Tracker'!$B33)</f>
        <v/>
      </c>
      <c r="C33" s="11">
        <f>IF('Data Tracker'!$D33="","",'Data Tracker'!$D33)</f>
        <v/>
      </c>
      <c r="D33" s="24">
        <f>IF($Z33="","",IFERROR(INDEX(Lib_Cat,$Z33),""))</f>
        <v/>
      </c>
      <c r="E33" s="30">
        <f>IF('Data Tracker'!$D33="","",'Data Tracker'!$E33)</f>
        <v/>
      </c>
      <c r="F33" s="30">
        <f>IF('Data Tracker'!$D33="","",'Data Tracker'!$F33)</f>
        <v/>
      </c>
      <c r="G33" s="30">
        <f>IF('Data Tracker'!$D33="","",'Data Tracker'!$G33)</f>
        <v/>
      </c>
      <c r="H33" s="28">
        <f>IF($E33="","",$E33-$F33)</f>
        <v/>
      </c>
      <c r="I33" s="31">
        <f>IF($E33="","",IFERROR($H33/INDEX(Lib_Scale,$Z33),0))</f>
        <v/>
      </c>
      <c r="J33" s="24">
        <f>IF($E33="","",IF(ABS($I33)&lt;0.5,"Neutral",IF($I33&gt;0,"Hot","Cold")))</f>
        <v/>
      </c>
      <c r="K33" s="31">
        <f>IF($E33="","",$I33*INDEX(Lib_PolInfl,$Z33)*INDEX(Lib_Importance,$Z33)/5)</f>
        <v/>
      </c>
      <c r="L33" s="31">
        <f>IF($E33="","",$I33*INDEX(Lib_PolGrow,$Z33)*INDEX(Lib_Importance,$Z33)/5)</f>
        <v/>
      </c>
      <c r="M33" s="24">
        <f>IF($E33="","",IF($K33&gt;0.5,"Inflationary",IF($K33&lt;-0.5,"Disinflationary","Neutral")))</f>
        <v/>
      </c>
      <c r="N33" s="24">
        <f>IF($E33="","",IF($L33&gt;0.5,"Growth+",IF($L33&lt;-0.5,"Growth-","Neutral")))</f>
        <v/>
      </c>
      <c r="O33" s="24">
        <f>IF($E33="","",IF(0.6*$K33+0.4*$L33&gt;=1.5,"⇈",IF(0.6*$K33+0.4*$L33&gt;=0.5,"↑",IF(0.6*$K33+0.4*$L33&gt;-0.5,"↔",IF(0.6*$K33+0.4*$L33&gt;-1.5,"↓","⇊")))))</f>
        <v/>
      </c>
      <c r="P33" s="24">
        <f>IF($E33="","",IF(0.7*$K33+0.3*$L33&gt;=1.5,"⇈",IF(0.7*$K33+0.3*$L33&gt;=0.5,"↑",IF(0.7*$K33+0.3*$L33&gt;-0.5,"↔",IF(0.7*$K33+0.3*$L33&gt;-1.5,"↓","⇊")))))</f>
        <v/>
      </c>
      <c r="Q33" s="24">
        <f>IF($E33="","",IF(-(0.7*$K33+0.3*$L33)&gt;=1.5,"⇈",IF(-(0.7*$K33+0.3*$L33)&gt;=0.5,"↑",IF(-(0.7*$K33+0.3*$L33)&gt;-0.5,"↔",IF(-(0.7*$K33+0.3*$L33)&gt;-1.5,"↓","⇊")))))</f>
        <v/>
      </c>
      <c r="R33" s="24">
        <f>IF($E33="","",IF(-0.8*$K33&gt;=1.5,"⇈",IF(-0.8*$K33&gt;=0.5,"↑",IF(-0.8*$K33&gt;-0.5,"↔",IF(-0.8*$K33&gt;-1.5,"↓","⇊")))))</f>
        <v/>
      </c>
      <c r="S33" s="24">
        <f>IF($E33="","",IF(0.5*$L33&gt;=1.5,"⇈",IF(0.5*$L33&gt;=0.5,"↑",IF(0.5*$L33&gt;-0.5,"↔",IF(0.5*$L33&gt;-1.5,"↓","⇊")))))</f>
        <v/>
      </c>
      <c r="T33" s="24">
        <f>IF($E33="","",IF(0.5*$L33-0.5*$K33&gt;=1.5,"⇈",IF(0.5*$L33-0.5*$K33&gt;=0.5,"↑",IF(0.5*$L33-0.5*$K33&gt;-0.5,"↔",IF(0.5*$L33-0.5*$K33&gt;-1.5,"↓","⇊")))))</f>
        <v/>
      </c>
      <c r="U33" s="24">
        <f>IF($E33="","",IF(0.4*$L33-0.6*$K33&gt;=1.5,"⇈",IF(0.4*$L33-0.6*$K33&gt;=0.5,"↑",IF(0.4*$L33-0.6*$K33&gt;-0.5,"↔",IF(0.4*$L33-0.6*$K33&gt;-1.5,"↓","⇊")))))</f>
        <v/>
      </c>
      <c r="V33" s="24">
        <f>IF($E33="","",IF(0.5*$L33&gt;=1.5,"⇈",IF(0.5*$L33&gt;=0.5,"↑",IF(0.5*$L33&gt;-0.5,"↔",IF(0.5*$L33&gt;-1.5,"↓","⇊")))))</f>
        <v/>
      </c>
      <c r="W33" s="24">
        <f>IF($E33="","",IF(AND($L33&gt;=0.5,$K33&lt;=0.5),"Risk-on",IF(OR($L33&lt;=-0.5,$K33&gt;=1),"Risk-off","Neutral")))</f>
        <v/>
      </c>
      <c r="X33" s="24">
        <f>IF($E33="","",IF(AND(IFERROR(INDEX(Lib_Importance,$Z33),0)&gt;=4,ABS($I33)&gt;=1),"High",IF(ABS($I33)&lt;0.5,"Low","Medium")))</f>
        <v/>
      </c>
      <c r="Z33" s="32">
        <f>IF('Data Tracker'!$D33="","",IFERROR(MATCH('Data Tracker'!$D33,Lib_Name,0),""))</f>
        <v/>
      </c>
    </row>
    <row r="34">
      <c r="B34" s="29">
        <f>IF('Data Tracker'!$D34="","",'Data Tracker'!$B34)</f>
        <v/>
      </c>
      <c r="C34" s="11">
        <f>IF('Data Tracker'!$D34="","",'Data Tracker'!$D34)</f>
        <v/>
      </c>
      <c r="D34" s="24">
        <f>IF($Z34="","",IFERROR(INDEX(Lib_Cat,$Z34),""))</f>
        <v/>
      </c>
      <c r="E34" s="30">
        <f>IF('Data Tracker'!$D34="","",'Data Tracker'!$E34)</f>
        <v/>
      </c>
      <c r="F34" s="30">
        <f>IF('Data Tracker'!$D34="","",'Data Tracker'!$F34)</f>
        <v/>
      </c>
      <c r="G34" s="30">
        <f>IF('Data Tracker'!$D34="","",'Data Tracker'!$G34)</f>
        <v/>
      </c>
      <c r="H34" s="28">
        <f>IF($E34="","",$E34-$F34)</f>
        <v/>
      </c>
      <c r="I34" s="31">
        <f>IF($E34="","",IFERROR($H34/INDEX(Lib_Scale,$Z34),0))</f>
        <v/>
      </c>
      <c r="J34" s="24">
        <f>IF($E34="","",IF(ABS($I34)&lt;0.5,"Neutral",IF($I34&gt;0,"Hot","Cold")))</f>
        <v/>
      </c>
      <c r="K34" s="31">
        <f>IF($E34="","",$I34*INDEX(Lib_PolInfl,$Z34)*INDEX(Lib_Importance,$Z34)/5)</f>
        <v/>
      </c>
      <c r="L34" s="31">
        <f>IF($E34="","",$I34*INDEX(Lib_PolGrow,$Z34)*INDEX(Lib_Importance,$Z34)/5)</f>
        <v/>
      </c>
      <c r="M34" s="24">
        <f>IF($E34="","",IF($K34&gt;0.5,"Inflationary",IF($K34&lt;-0.5,"Disinflationary","Neutral")))</f>
        <v/>
      </c>
      <c r="N34" s="24">
        <f>IF($E34="","",IF($L34&gt;0.5,"Growth+",IF($L34&lt;-0.5,"Growth-","Neutral")))</f>
        <v/>
      </c>
      <c r="O34" s="24">
        <f>IF($E34="","",IF(0.6*$K34+0.4*$L34&gt;=1.5,"⇈",IF(0.6*$K34+0.4*$L34&gt;=0.5,"↑",IF(0.6*$K34+0.4*$L34&gt;-0.5,"↔",IF(0.6*$K34+0.4*$L34&gt;-1.5,"↓","⇊")))))</f>
        <v/>
      </c>
      <c r="P34" s="24">
        <f>IF($E34="","",IF(0.7*$K34+0.3*$L34&gt;=1.5,"⇈",IF(0.7*$K34+0.3*$L34&gt;=0.5,"↑",IF(0.7*$K34+0.3*$L34&gt;-0.5,"↔",IF(0.7*$K34+0.3*$L34&gt;-1.5,"↓","⇊")))))</f>
        <v/>
      </c>
      <c r="Q34" s="24">
        <f>IF($E34="","",IF(-(0.7*$K34+0.3*$L34)&gt;=1.5,"⇈",IF(-(0.7*$K34+0.3*$L34)&gt;=0.5,"↑",IF(-(0.7*$K34+0.3*$L34)&gt;-0.5,"↔",IF(-(0.7*$K34+0.3*$L34)&gt;-1.5,"↓","⇊")))))</f>
        <v/>
      </c>
      <c r="R34" s="24">
        <f>IF($E34="","",IF(-0.8*$K34&gt;=1.5,"⇈",IF(-0.8*$K34&gt;=0.5,"↑",IF(-0.8*$K34&gt;-0.5,"↔",IF(-0.8*$K34&gt;-1.5,"↓","⇊")))))</f>
        <v/>
      </c>
      <c r="S34" s="24">
        <f>IF($E34="","",IF(0.5*$L34&gt;=1.5,"⇈",IF(0.5*$L34&gt;=0.5,"↑",IF(0.5*$L34&gt;-0.5,"↔",IF(0.5*$L34&gt;-1.5,"↓","⇊")))))</f>
        <v/>
      </c>
      <c r="T34" s="24">
        <f>IF($E34="","",IF(0.5*$L34-0.5*$K34&gt;=1.5,"⇈",IF(0.5*$L34-0.5*$K34&gt;=0.5,"↑",IF(0.5*$L34-0.5*$K34&gt;-0.5,"↔",IF(0.5*$L34-0.5*$K34&gt;-1.5,"↓","⇊")))))</f>
        <v/>
      </c>
      <c r="U34" s="24">
        <f>IF($E34="","",IF(0.4*$L34-0.6*$K34&gt;=1.5,"⇈",IF(0.4*$L34-0.6*$K34&gt;=0.5,"↑",IF(0.4*$L34-0.6*$K34&gt;-0.5,"↔",IF(0.4*$L34-0.6*$K34&gt;-1.5,"↓","⇊")))))</f>
        <v/>
      </c>
      <c r="V34" s="24">
        <f>IF($E34="","",IF(0.5*$L34&gt;=1.5,"⇈",IF(0.5*$L34&gt;=0.5,"↑",IF(0.5*$L34&gt;-0.5,"↔",IF(0.5*$L34&gt;-1.5,"↓","⇊")))))</f>
        <v/>
      </c>
      <c r="W34" s="24">
        <f>IF($E34="","",IF(AND($L34&gt;=0.5,$K34&lt;=0.5),"Risk-on",IF(OR($L34&lt;=-0.5,$K34&gt;=1),"Risk-off","Neutral")))</f>
        <v/>
      </c>
      <c r="X34" s="24">
        <f>IF($E34="","",IF(AND(IFERROR(INDEX(Lib_Importance,$Z34),0)&gt;=4,ABS($I34)&gt;=1),"High",IF(ABS($I34)&lt;0.5,"Low","Medium")))</f>
        <v/>
      </c>
      <c r="Z34" s="32">
        <f>IF('Data Tracker'!$D34="","",IFERROR(MATCH('Data Tracker'!$D34,Lib_Name,0),""))</f>
        <v/>
      </c>
    </row>
    <row r="35">
      <c r="B35" s="29">
        <f>IF('Data Tracker'!$D35="","",'Data Tracker'!$B35)</f>
        <v/>
      </c>
      <c r="C35" s="11">
        <f>IF('Data Tracker'!$D35="","",'Data Tracker'!$D35)</f>
        <v/>
      </c>
      <c r="D35" s="24">
        <f>IF($Z35="","",IFERROR(INDEX(Lib_Cat,$Z35),""))</f>
        <v/>
      </c>
      <c r="E35" s="30">
        <f>IF('Data Tracker'!$D35="","",'Data Tracker'!$E35)</f>
        <v/>
      </c>
      <c r="F35" s="30">
        <f>IF('Data Tracker'!$D35="","",'Data Tracker'!$F35)</f>
        <v/>
      </c>
      <c r="G35" s="30">
        <f>IF('Data Tracker'!$D35="","",'Data Tracker'!$G35)</f>
        <v/>
      </c>
      <c r="H35" s="28">
        <f>IF($E35="","",$E35-$F35)</f>
        <v/>
      </c>
      <c r="I35" s="31">
        <f>IF($E35="","",IFERROR($H35/INDEX(Lib_Scale,$Z35),0))</f>
        <v/>
      </c>
      <c r="J35" s="24">
        <f>IF($E35="","",IF(ABS($I35)&lt;0.5,"Neutral",IF($I35&gt;0,"Hot","Cold")))</f>
        <v/>
      </c>
      <c r="K35" s="31">
        <f>IF($E35="","",$I35*INDEX(Lib_PolInfl,$Z35)*INDEX(Lib_Importance,$Z35)/5)</f>
        <v/>
      </c>
      <c r="L35" s="31">
        <f>IF($E35="","",$I35*INDEX(Lib_PolGrow,$Z35)*INDEX(Lib_Importance,$Z35)/5)</f>
        <v/>
      </c>
      <c r="M35" s="24">
        <f>IF($E35="","",IF($K35&gt;0.5,"Inflationary",IF($K35&lt;-0.5,"Disinflationary","Neutral")))</f>
        <v/>
      </c>
      <c r="N35" s="24">
        <f>IF($E35="","",IF($L35&gt;0.5,"Growth+",IF($L35&lt;-0.5,"Growth-","Neutral")))</f>
        <v/>
      </c>
      <c r="O35" s="24">
        <f>IF($E35="","",IF(0.6*$K35+0.4*$L35&gt;=1.5,"⇈",IF(0.6*$K35+0.4*$L35&gt;=0.5,"↑",IF(0.6*$K35+0.4*$L35&gt;-0.5,"↔",IF(0.6*$K35+0.4*$L35&gt;-1.5,"↓","⇊")))))</f>
        <v/>
      </c>
      <c r="P35" s="24">
        <f>IF($E35="","",IF(0.7*$K35+0.3*$L35&gt;=1.5,"⇈",IF(0.7*$K35+0.3*$L35&gt;=0.5,"↑",IF(0.7*$K35+0.3*$L35&gt;-0.5,"↔",IF(0.7*$K35+0.3*$L35&gt;-1.5,"↓","⇊")))))</f>
        <v/>
      </c>
      <c r="Q35" s="24">
        <f>IF($E35="","",IF(-(0.7*$K35+0.3*$L35)&gt;=1.5,"⇈",IF(-(0.7*$K35+0.3*$L35)&gt;=0.5,"↑",IF(-(0.7*$K35+0.3*$L35)&gt;-0.5,"↔",IF(-(0.7*$K35+0.3*$L35)&gt;-1.5,"↓","⇊")))))</f>
        <v/>
      </c>
      <c r="R35" s="24">
        <f>IF($E35="","",IF(-0.8*$K35&gt;=1.5,"⇈",IF(-0.8*$K35&gt;=0.5,"↑",IF(-0.8*$K35&gt;-0.5,"↔",IF(-0.8*$K35&gt;-1.5,"↓","⇊")))))</f>
        <v/>
      </c>
      <c r="S35" s="24">
        <f>IF($E35="","",IF(0.5*$L35&gt;=1.5,"⇈",IF(0.5*$L35&gt;=0.5,"↑",IF(0.5*$L35&gt;-0.5,"↔",IF(0.5*$L35&gt;-1.5,"↓","⇊")))))</f>
        <v/>
      </c>
      <c r="T35" s="24">
        <f>IF($E35="","",IF(0.5*$L35-0.5*$K35&gt;=1.5,"⇈",IF(0.5*$L35-0.5*$K35&gt;=0.5,"↑",IF(0.5*$L35-0.5*$K35&gt;-0.5,"↔",IF(0.5*$L35-0.5*$K35&gt;-1.5,"↓","⇊")))))</f>
        <v/>
      </c>
      <c r="U35" s="24">
        <f>IF($E35="","",IF(0.4*$L35-0.6*$K35&gt;=1.5,"⇈",IF(0.4*$L35-0.6*$K35&gt;=0.5,"↑",IF(0.4*$L35-0.6*$K35&gt;-0.5,"↔",IF(0.4*$L35-0.6*$K35&gt;-1.5,"↓","⇊")))))</f>
        <v/>
      </c>
      <c r="V35" s="24">
        <f>IF($E35="","",IF(0.5*$L35&gt;=1.5,"⇈",IF(0.5*$L35&gt;=0.5,"↑",IF(0.5*$L35&gt;-0.5,"↔",IF(0.5*$L35&gt;-1.5,"↓","⇊")))))</f>
        <v/>
      </c>
      <c r="W35" s="24">
        <f>IF($E35="","",IF(AND($L35&gt;=0.5,$K35&lt;=0.5),"Risk-on",IF(OR($L35&lt;=-0.5,$K35&gt;=1),"Risk-off","Neutral")))</f>
        <v/>
      </c>
      <c r="X35" s="24">
        <f>IF($E35="","",IF(AND(IFERROR(INDEX(Lib_Importance,$Z35),0)&gt;=4,ABS($I35)&gt;=1),"High",IF(ABS($I35)&lt;0.5,"Low","Medium")))</f>
        <v/>
      </c>
      <c r="Z35" s="32">
        <f>IF('Data Tracker'!$D35="","",IFERROR(MATCH('Data Tracker'!$D35,Lib_Name,0),""))</f>
        <v/>
      </c>
    </row>
    <row r="36">
      <c r="B36" s="29">
        <f>IF('Data Tracker'!$D36="","",'Data Tracker'!$B36)</f>
        <v/>
      </c>
      <c r="C36" s="11">
        <f>IF('Data Tracker'!$D36="","",'Data Tracker'!$D36)</f>
        <v/>
      </c>
      <c r="D36" s="24">
        <f>IF($Z36="","",IFERROR(INDEX(Lib_Cat,$Z36),""))</f>
        <v/>
      </c>
      <c r="E36" s="30">
        <f>IF('Data Tracker'!$D36="","",'Data Tracker'!$E36)</f>
        <v/>
      </c>
      <c r="F36" s="30">
        <f>IF('Data Tracker'!$D36="","",'Data Tracker'!$F36)</f>
        <v/>
      </c>
      <c r="G36" s="30">
        <f>IF('Data Tracker'!$D36="","",'Data Tracker'!$G36)</f>
        <v/>
      </c>
      <c r="H36" s="28">
        <f>IF($E36="","",$E36-$F36)</f>
        <v/>
      </c>
      <c r="I36" s="31">
        <f>IF($E36="","",IFERROR($H36/INDEX(Lib_Scale,$Z36),0))</f>
        <v/>
      </c>
      <c r="J36" s="24">
        <f>IF($E36="","",IF(ABS($I36)&lt;0.5,"Neutral",IF($I36&gt;0,"Hot","Cold")))</f>
        <v/>
      </c>
      <c r="K36" s="31">
        <f>IF($E36="","",$I36*INDEX(Lib_PolInfl,$Z36)*INDEX(Lib_Importance,$Z36)/5)</f>
        <v/>
      </c>
      <c r="L36" s="31">
        <f>IF($E36="","",$I36*INDEX(Lib_PolGrow,$Z36)*INDEX(Lib_Importance,$Z36)/5)</f>
        <v/>
      </c>
      <c r="M36" s="24">
        <f>IF($E36="","",IF($K36&gt;0.5,"Inflationary",IF($K36&lt;-0.5,"Disinflationary","Neutral")))</f>
        <v/>
      </c>
      <c r="N36" s="24">
        <f>IF($E36="","",IF($L36&gt;0.5,"Growth+",IF($L36&lt;-0.5,"Growth-","Neutral")))</f>
        <v/>
      </c>
      <c r="O36" s="24">
        <f>IF($E36="","",IF(0.6*$K36+0.4*$L36&gt;=1.5,"⇈",IF(0.6*$K36+0.4*$L36&gt;=0.5,"↑",IF(0.6*$K36+0.4*$L36&gt;-0.5,"↔",IF(0.6*$K36+0.4*$L36&gt;-1.5,"↓","⇊")))))</f>
        <v/>
      </c>
      <c r="P36" s="24">
        <f>IF($E36="","",IF(0.7*$K36+0.3*$L36&gt;=1.5,"⇈",IF(0.7*$K36+0.3*$L36&gt;=0.5,"↑",IF(0.7*$K36+0.3*$L36&gt;-0.5,"↔",IF(0.7*$K36+0.3*$L36&gt;-1.5,"↓","⇊")))))</f>
        <v/>
      </c>
      <c r="Q36" s="24">
        <f>IF($E36="","",IF(-(0.7*$K36+0.3*$L36)&gt;=1.5,"⇈",IF(-(0.7*$K36+0.3*$L36)&gt;=0.5,"↑",IF(-(0.7*$K36+0.3*$L36)&gt;-0.5,"↔",IF(-(0.7*$K36+0.3*$L36)&gt;-1.5,"↓","⇊")))))</f>
        <v/>
      </c>
      <c r="R36" s="24">
        <f>IF($E36="","",IF(-0.8*$K36&gt;=1.5,"⇈",IF(-0.8*$K36&gt;=0.5,"↑",IF(-0.8*$K36&gt;-0.5,"↔",IF(-0.8*$K36&gt;-1.5,"↓","⇊")))))</f>
        <v/>
      </c>
      <c r="S36" s="24">
        <f>IF($E36="","",IF(0.5*$L36&gt;=1.5,"⇈",IF(0.5*$L36&gt;=0.5,"↑",IF(0.5*$L36&gt;-0.5,"↔",IF(0.5*$L36&gt;-1.5,"↓","⇊")))))</f>
        <v/>
      </c>
      <c r="T36" s="24">
        <f>IF($E36="","",IF(0.5*$L36-0.5*$K36&gt;=1.5,"⇈",IF(0.5*$L36-0.5*$K36&gt;=0.5,"↑",IF(0.5*$L36-0.5*$K36&gt;-0.5,"↔",IF(0.5*$L36-0.5*$K36&gt;-1.5,"↓","⇊")))))</f>
        <v/>
      </c>
      <c r="U36" s="24">
        <f>IF($E36="","",IF(0.4*$L36-0.6*$K36&gt;=1.5,"⇈",IF(0.4*$L36-0.6*$K36&gt;=0.5,"↑",IF(0.4*$L36-0.6*$K36&gt;-0.5,"↔",IF(0.4*$L36-0.6*$K36&gt;-1.5,"↓","⇊")))))</f>
        <v/>
      </c>
      <c r="V36" s="24">
        <f>IF($E36="","",IF(0.5*$L36&gt;=1.5,"⇈",IF(0.5*$L36&gt;=0.5,"↑",IF(0.5*$L36&gt;-0.5,"↔",IF(0.5*$L36&gt;-1.5,"↓","⇊")))))</f>
        <v/>
      </c>
      <c r="W36" s="24">
        <f>IF($E36="","",IF(AND($L36&gt;=0.5,$K36&lt;=0.5),"Risk-on",IF(OR($L36&lt;=-0.5,$K36&gt;=1),"Risk-off","Neutral")))</f>
        <v/>
      </c>
      <c r="X36" s="24">
        <f>IF($E36="","",IF(AND(IFERROR(INDEX(Lib_Importance,$Z36),0)&gt;=4,ABS($I36)&gt;=1),"High",IF(ABS($I36)&lt;0.5,"Low","Medium")))</f>
        <v/>
      </c>
      <c r="Z36" s="32">
        <f>IF('Data Tracker'!$D36="","",IFERROR(MATCH('Data Tracker'!$D36,Lib_Name,0),""))</f>
        <v/>
      </c>
    </row>
    <row r="37">
      <c r="B37" s="29">
        <f>IF('Data Tracker'!$D37="","",'Data Tracker'!$B37)</f>
        <v/>
      </c>
      <c r="C37" s="11">
        <f>IF('Data Tracker'!$D37="","",'Data Tracker'!$D37)</f>
        <v/>
      </c>
      <c r="D37" s="24">
        <f>IF($Z37="","",IFERROR(INDEX(Lib_Cat,$Z37),""))</f>
        <v/>
      </c>
      <c r="E37" s="30">
        <f>IF('Data Tracker'!$D37="","",'Data Tracker'!$E37)</f>
        <v/>
      </c>
      <c r="F37" s="30">
        <f>IF('Data Tracker'!$D37="","",'Data Tracker'!$F37)</f>
        <v/>
      </c>
      <c r="G37" s="30">
        <f>IF('Data Tracker'!$D37="","",'Data Tracker'!$G37)</f>
        <v/>
      </c>
      <c r="H37" s="28">
        <f>IF($E37="","",$E37-$F37)</f>
        <v/>
      </c>
      <c r="I37" s="31">
        <f>IF($E37="","",IFERROR($H37/INDEX(Lib_Scale,$Z37),0))</f>
        <v/>
      </c>
      <c r="J37" s="24">
        <f>IF($E37="","",IF(ABS($I37)&lt;0.5,"Neutral",IF($I37&gt;0,"Hot","Cold")))</f>
        <v/>
      </c>
      <c r="K37" s="31">
        <f>IF($E37="","",$I37*INDEX(Lib_PolInfl,$Z37)*INDEX(Lib_Importance,$Z37)/5)</f>
        <v/>
      </c>
      <c r="L37" s="31">
        <f>IF($E37="","",$I37*INDEX(Lib_PolGrow,$Z37)*INDEX(Lib_Importance,$Z37)/5)</f>
        <v/>
      </c>
      <c r="M37" s="24">
        <f>IF($E37="","",IF($K37&gt;0.5,"Inflationary",IF($K37&lt;-0.5,"Disinflationary","Neutral")))</f>
        <v/>
      </c>
      <c r="N37" s="24">
        <f>IF($E37="","",IF($L37&gt;0.5,"Growth+",IF($L37&lt;-0.5,"Growth-","Neutral")))</f>
        <v/>
      </c>
      <c r="O37" s="24">
        <f>IF($E37="","",IF(0.6*$K37+0.4*$L37&gt;=1.5,"⇈",IF(0.6*$K37+0.4*$L37&gt;=0.5,"↑",IF(0.6*$K37+0.4*$L37&gt;-0.5,"↔",IF(0.6*$K37+0.4*$L37&gt;-1.5,"↓","⇊")))))</f>
        <v/>
      </c>
      <c r="P37" s="24">
        <f>IF($E37="","",IF(0.7*$K37+0.3*$L37&gt;=1.5,"⇈",IF(0.7*$K37+0.3*$L37&gt;=0.5,"↑",IF(0.7*$K37+0.3*$L37&gt;-0.5,"↔",IF(0.7*$K37+0.3*$L37&gt;-1.5,"↓","⇊")))))</f>
        <v/>
      </c>
      <c r="Q37" s="24">
        <f>IF($E37="","",IF(-(0.7*$K37+0.3*$L37)&gt;=1.5,"⇈",IF(-(0.7*$K37+0.3*$L37)&gt;=0.5,"↑",IF(-(0.7*$K37+0.3*$L37)&gt;-0.5,"↔",IF(-(0.7*$K37+0.3*$L37)&gt;-1.5,"↓","⇊")))))</f>
        <v/>
      </c>
      <c r="R37" s="24">
        <f>IF($E37="","",IF(-0.8*$K37&gt;=1.5,"⇈",IF(-0.8*$K37&gt;=0.5,"↑",IF(-0.8*$K37&gt;-0.5,"↔",IF(-0.8*$K37&gt;-1.5,"↓","⇊")))))</f>
        <v/>
      </c>
      <c r="S37" s="24">
        <f>IF($E37="","",IF(0.5*$L37&gt;=1.5,"⇈",IF(0.5*$L37&gt;=0.5,"↑",IF(0.5*$L37&gt;-0.5,"↔",IF(0.5*$L37&gt;-1.5,"↓","⇊")))))</f>
        <v/>
      </c>
      <c r="T37" s="24">
        <f>IF($E37="","",IF(0.5*$L37-0.5*$K37&gt;=1.5,"⇈",IF(0.5*$L37-0.5*$K37&gt;=0.5,"↑",IF(0.5*$L37-0.5*$K37&gt;-0.5,"↔",IF(0.5*$L37-0.5*$K37&gt;-1.5,"↓","⇊")))))</f>
        <v/>
      </c>
      <c r="U37" s="24">
        <f>IF($E37="","",IF(0.4*$L37-0.6*$K37&gt;=1.5,"⇈",IF(0.4*$L37-0.6*$K37&gt;=0.5,"↑",IF(0.4*$L37-0.6*$K37&gt;-0.5,"↔",IF(0.4*$L37-0.6*$K37&gt;-1.5,"↓","⇊")))))</f>
        <v/>
      </c>
      <c r="V37" s="24">
        <f>IF($E37="","",IF(0.5*$L37&gt;=1.5,"⇈",IF(0.5*$L37&gt;=0.5,"↑",IF(0.5*$L37&gt;-0.5,"↔",IF(0.5*$L37&gt;-1.5,"↓","⇊")))))</f>
        <v/>
      </c>
      <c r="W37" s="24">
        <f>IF($E37="","",IF(AND($L37&gt;=0.5,$K37&lt;=0.5),"Risk-on",IF(OR($L37&lt;=-0.5,$K37&gt;=1),"Risk-off","Neutral")))</f>
        <v/>
      </c>
      <c r="X37" s="24">
        <f>IF($E37="","",IF(AND(IFERROR(INDEX(Lib_Importance,$Z37),0)&gt;=4,ABS($I37)&gt;=1),"High",IF(ABS($I37)&lt;0.5,"Low","Medium")))</f>
        <v/>
      </c>
      <c r="Z37" s="32">
        <f>IF('Data Tracker'!$D37="","",IFERROR(MATCH('Data Tracker'!$D37,Lib_Name,0),""))</f>
        <v/>
      </c>
    </row>
    <row r="38">
      <c r="B38" s="29">
        <f>IF('Data Tracker'!$D38="","",'Data Tracker'!$B38)</f>
        <v/>
      </c>
      <c r="C38" s="11">
        <f>IF('Data Tracker'!$D38="","",'Data Tracker'!$D38)</f>
        <v/>
      </c>
      <c r="D38" s="24">
        <f>IF($Z38="","",IFERROR(INDEX(Lib_Cat,$Z38),""))</f>
        <v/>
      </c>
      <c r="E38" s="30">
        <f>IF('Data Tracker'!$D38="","",'Data Tracker'!$E38)</f>
        <v/>
      </c>
      <c r="F38" s="30">
        <f>IF('Data Tracker'!$D38="","",'Data Tracker'!$F38)</f>
        <v/>
      </c>
      <c r="G38" s="30">
        <f>IF('Data Tracker'!$D38="","",'Data Tracker'!$G38)</f>
        <v/>
      </c>
      <c r="H38" s="28">
        <f>IF($E38="","",$E38-$F38)</f>
        <v/>
      </c>
      <c r="I38" s="31">
        <f>IF($E38="","",IFERROR($H38/INDEX(Lib_Scale,$Z38),0))</f>
        <v/>
      </c>
      <c r="J38" s="24">
        <f>IF($E38="","",IF(ABS($I38)&lt;0.5,"Neutral",IF($I38&gt;0,"Hot","Cold")))</f>
        <v/>
      </c>
      <c r="K38" s="31">
        <f>IF($E38="","",$I38*INDEX(Lib_PolInfl,$Z38)*INDEX(Lib_Importance,$Z38)/5)</f>
        <v/>
      </c>
      <c r="L38" s="31">
        <f>IF($E38="","",$I38*INDEX(Lib_PolGrow,$Z38)*INDEX(Lib_Importance,$Z38)/5)</f>
        <v/>
      </c>
      <c r="M38" s="24">
        <f>IF($E38="","",IF($K38&gt;0.5,"Inflationary",IF($K38&lt;-0.5,"Disinflationary","Neutral")))</f>
        <v/>
      </c>
      <c r="N38" s="24">
        <f>IF($E38="","",IF($L38&gt;0.5,"Growth+",IF($L38&lt;-0.5,"Growth-","Neutral")))</f>
        <v/>
      </c>
      <c r="O38" s="24">
        <f>IF($E38="","",IF(0.6*$K38+0.4*$L38&gt;=1.5,"⇈",IF(0.6*$K38+0.4*$L38&gt;=0.5,"↑",IF(0.6*$K38+0.4*$L38&gt;-0.5,"↔",IF(0.6*$K38+0.4*$L38&gt;-1.5,"↓","⇊")))))</f>
        <v/>
      </c>
      <c r="P38" s="24">
        <f>IF($E38="","",IF(0.7*$K38+0.3*$L38&gt;=1.5,"⇈",IF(0.7*$K38+0.3*$L38&gt;=0.5,"↑",IF(0.7*$K38+0.3*$L38&gt;-0.5,"↔",IF(0.7*$K38+0.3*$L38&gt;-1.5,"↓","⇊")))))</f>
        <v/>
      </c>
      <c r="Q38" s="24">
        <f>IF($E38="","",IF(-(0.7*$K38+0.3*$L38)&gt;=1.5,"⇈",IF(-(0.7*$K38+0.3*$L38)&gt;=0.5,"↑",IF(-(0.7*$K38+0.3*$L38)&gt;-0.5,"↔",IF(-(0.7*$K38+0.3*$L38)&gt;-1.5,"↓","⇊")))))</f>
        <v/>
      </c>
      <c r="R38" s="24">
        <f>IF($E38="","",IF(-0.8*$K38&gt;=1.5,"⇈",IF(-0.8*$K38&gt;=0.5,"↑",IF(-0.8*$K38&gt;-0.5,"↔",IF(-0.8*$K38&gt;-1.5,"↓","⇊")))))</f>
        <v/>
      </c>
      <c r="S38" s="24">
        <f>IF($E38="","",IF(0.5*$L38&gt;=1.5,"⇈",IF(0.5*$L38&gt;=0.5,"↑",IF(0.5*$L38&gt;-0.5,"↔",IF(0.5*$L38&gt;-1.5,"↓","⇊")))))</f>
        <v/>
      </c>
      <c r="T38" s="24">
        <f>IF($E38="","",IF(0.5*$L38-0.5*$K38&gt;=1.5,"⇈",IF(0.5*$L38-0.5*$K38&gt;=0.5,"↑",IF(0.5*$L38-0.5*$K38&gt;-0.5,"↔",IF(0.5*$L38-0.5*$K38&gt;-1.5,"↓","⇊")))))</f>
        <v/>
      </c>
      <c r="U38" s="24">
        <f>IF($E38="","",IF(0.4*$L38-0.6*$K38&gt;=1.5,"⇈",IF(0.4*$L38-0.6*$K38&gt;=0.5,"↑",IF(0.4*$L38-0.6*$K38&gt;-0.5,"↔",IF(0.4*$L38-0.6*$K38&gt;-1.5,"↓","⇊")))))</f>
        <v/>
      </c>
      <c r="V38" s="24">
        <f>IF($E38="","",IF(0.5*$L38&gt;=1.5,"⇈",IF(0.5*$L38&gt;=0.5,"↑",IF(0.5*$L38&gt;-0.5,"↔",IF(0.5*$L38&gt;-1.5,"↓","⇊")))))</f>
        <v/>
      </c>
      <c r="W38" s="24">
        <f>IF($E38="","",IF(AND($L38&gt;=0.5,$K38&lt;=0.5),"Risk-on",IF(OR($L38&lt;=-0.5,$K38&gt;=1),"Risk-off","Neutral")))</f>
        <v/>
      </c>
      <c r="X38" s="24">
        <f>IF($E38="","",IF(AND(IFERROR(INDEX(Lib_Importance,$Z38),0)&gt;=4,ABS($I38)&gt;=1),"High",IF(ABS($I38)&lt;0.5,"Low","Medium")))</f>
        <v/>
      </c>
      <c r="Z38" s="32">
        <f>IF('Data Tracker'!$D38="","",IFERROR(MATCH('Data Tracker'!$D38,Lib_Name,0),""))</f>
        <v/>
      </c>
    </row>
    <row r="39">
      <c r="B39" s="29">
        <f>IF('Data Tracker'!$D39="","",'Data Tracker'!$B39)</f>
        <v/>
      </c>
      <c r="C39" s="11">
        <f>IF('Data Tracker'!$D39="","",'Data Tracker'!$D39)</f>
        <v/>
      </c>
      <c r="D39" s="24">
        <f>IF($Z39="","",IFERROR(INDEX(Lib_Cat,$Z39),""))</f>
        <v/>
      </c>
      <c r="E39" s="30">
        <f>IF('Data Tracker'!$D39="","",'Data Tracker'!$E39)</f>
        <v/>
      </c>
      <c r="F39" s="30">
        <f>IF('Data Tracker'!$D39="","",'Data Tracker'!$F39)</f>
        <v/>
      </c>
      <c r="G39" s="30">
        <f>IF('Data Tracker'!$D39="","",'Data Tracker'!$G39)</f>
        <v/>
      </c>
      <c r="H39" s="28">
        <f>IF($E39="","",$E39-$F39)</f>
        <v/>
      </c>
      <c r="I39" s="31">
        <f>IF($E39="","",IFERROR($H39/INDEX(Lib_Scale,$Z39),0))</f>
        <v/>
      </c>
      <c r="J39" s="24">
        <f>IF($E39="","",IF(ABS($I39)&lt;0.5,"Neutral",IF($I39&gt;0,"Hot","Cold")))</f>
        <v/>
      </c>
      <c r="K39" s="31">
        <f>IF($E39="","",$I39*INDEX(Lib_PolInfl,$Z39)*INDEX(Lib_Importance,$Z39)/5)</f>
        <v/>
      </c>
      <c r="L39" s="31">
        <f>IF($E39="","",$I39*INDEX(Lib_PolGrow,$Z39)*INDEX(Lib_Importance,$Z39)/5)</f>
        <v/>
      </c>
      <c r="M39" s="24">
        <f>IF($E39="","",IF($K39&gt;0.5,"Inflationary",IF($K39&lt;-0.5,"Disinflationary","Neutral")))</f>
        <v/>
      </c>
      <c r="N39" s="24">
        <f>IF($E39="","",IF($L39&gt;0.5,"Growth+",IF($L39&lt;-0.5,"Growth-","Neutral")))</f>
        <v/>
      </c>
      <c r="O39" s="24">
        <f>IF($E39="","",IF(0.6*$K39+0.4*$L39&gt;=1.5,"⇈",IF(0.6*$K39+0.4*$L39&gt;=0.5,"↑",IF(0.6*$K39+0.4*$L39&gt;-0.5,"↔",IF(0.6*$K39+0.4*$L39&gt;-1.5,"↓","⇊")))))</f>
        <v/>
      </c>
      <c r="P39" s="24">
        <f>IF($E39="","",IF(0.7*$K39+0.3*$L39&gt;=1.5,"⇈",IF(0.7*$K39+0.3*$L39&gt;=0.5,"↑",IF(0.7*$K39+0.3*$L39&gt;-0.5,"↔",IF(0.7*$K39+0.3*$L39&gt;-1.5,"↓","⇊")))))</f>
        <v/>
      </c>
      <c r="Q39" s="24">
        <f>IF($E39="","",IF(-(0.7*$K39+0.3*$L39)&gt;=1.5,"⇈",IF(-(0.7*$K39+0.3*$L39)&gt;=0.5,"↑",IF(-(0.7*$K39+0.3*$L39)&gt;-0.5,"↔",IF(-(0.7*$K39+0.3*$L39)&gt;-1.5,"↓","⇊")))))</f>
        <v/>
      </c>
      <c r="R39" s="24">
        <f>IF($E39="","",IF(-0.8*$K39&gt;=1.5,"⇈",IF(-0.8*$K39&gt;=0.5,"↑",IF(-0.8*$K39&gt;-0.5,"↔",IF(-0.8*$K39&gt;-1.5,"↓","⇊")))))</f>
        <v/>
      </c>
      <c r="S39" s="24">
        <f>IF($E39="","",IF(0.5*$L39&gt;=1.5,"⇈",IF(0.5*$L39&gt;=0.5,"↑",IF(0.5*$L39&gt;-0.5,"↔",IF(0.5*$L39&gt;-1.5,"↓","⇊")))))</f>
        <v/>
      </c>
      <c r="T39" s="24">
        <f>IF($E39="","",IF(0.5*$L39-0.5*$K39&gt;=1.5,"⇈",IF(0.5*$L39-0.5*$K39&gt;=0.5,"↑",IF(0.5*$L39-0.5*$K39&gt;-0.5,"↔",IF(0.5*$L39-0.5*$K39&gt;-1.5,"↓","⇊")))))</f>
        <v/>
      </c>
      <c r="U39" s="24">
        <f>IF($E39="","",IF(0.4*$L39-0.6*$K39&gt;=1.5,"⇈",IF(0.4*$L39-0.6*$K39&gt;=0.5,"↑",IF(0.4*$L39-0.6*$K39&gt;-0.5,"↔",IF(0.4*$L39-0.6*$K39&gt;-1.5,"↓","⇊")))))</f>
        <v/>
      </c>
      <c r="V39" s="24">
        <f>IF($E39="","",IF(0.5*$L39&gt;=1.5,"⇈",IF(0.5*$L39&gt;=0.5,"↑",IF(0.5*$L39&gt;-0.5,"↔",IF(0.5*$L39&gt;-1.5,"↓","⇊")))))</f>
        <v/>
      </c>
      <c r="W39" s="24">
        <f>IF($E39="","",IF(AND($L39&gt;=0.5,$K39&lt;=0.5),"Risk-on",IF(OR($L39&lt;=-0.5,$K39&gt;=1),"Risk-off","Neutral")))</f>
        <v/>
      </c>
      <c r="X39" s="24">
        <f>IF($E39="","",IF(AND(IFERROR(INDEX(Lib_Importance,$Z39),0)&gt;=4,ABS($I39)&gt;=1),"High",IF(ABS($I39)&lt;0.5,"Low","Medium")))</f>
        <v/>
      </c>
      <c r="Z39" s="32">
        <f>IF('Data Tracker'!$D39="","",IFERROR(MATCH('Data Tracker'!$D39,Lib_Name,0),""))</f>
        <v/>
      </c>
    </row>
    <row r="40">
      <c r="B40" s="29">
        <f>IF('Data Tracker'!$D40="","",'Data Tracker'!$B40)</f>
        <v/>
      </c>
      <c r="C40" s="11">
        <f>IF('Data Tracker'!$D40="","",'Data Tracker'!$D40)</f>
        <v/>
      </c>
      <c r="D40" s="24">
        <f>IF($Z40="","",IFERROR(INDEX(Lib_Cat,$Z40),""))</f>
        <v/>
      </c>
      <c r="E40" s="30">
        <f>IF('Data Tracker'!$D40="","",'Data Tracker'!$E40)</f>
        <v/>
      </c>
      <c r="F40" s="30">
        <f>IF('Data Tracker'!$D40="","",'Data Tracker'!$F40)</f>
        <v/>
      </c>
      <c r="G40" s="30">
        <f>IF('Data Tracker'!$D40="","",'Data Tracker'!$G40)</f>
        <v/>
      </c>
      <c r="H40" s="28">
        <f>IF($E40="","",$E40-$F40)</f>
        <v/>
      </c>
      <c r="I40" s="31">
        <f>IF($E40="","",IFERROR($H40/INDEX(Lib_Scale,$Z40),0))</f>
        <v/>
      </c>
      <c r="J40" s="24">
        <f>IF($E40="","",IF(ABS($I40)&lt;0.5,"Neutral",IF($I40&gt;0,"Hot","Cold")))</f>
        <v/>
      </c>
      <c r="K40" s="31">
        <f>IF($E40="","",$I40*INDEX(Lib_PolInfl,$Z40)*INDEX(Lib_Importance,$Z40)/5)</f>
        <v/>
      </c>
      <c r="L40" s="31">
        <f>IF($E40="","",$I40*INDEX(Lib_PolGrow,$Z40)*INDEX(Lib_Importance,$Z40)/5)</f>
        <v/>
      </c>
      <c r="M40" s="24">
        <f>IF($E40="","",IF($K40&gt;0.5,"Inflationary",IF($K40&lt;-0.5,"Disinflationary","Neutral")))</f>
        <v/>
      </c>
      <c r="N40" s="24">
        <f>IF($E40="","",IF($L40&gt;0.5,"Growth+",IF($L40&lt;-0.5,"Growth-","Neutral")))</f>
        <v/>
      </c>
      <c r="O40" s="24">
        <f>IF($E40="","",IF(0.6*$K40+0.4*$L40&gt;=1.5,"⇈",IF(0.6*$K40+0.4*$L40&gt;=0.5,"↑",IF(0.6*$K40+0.4*$L40&gt;-0.5,"↔",IF(0.6*$K40+0.4*$L40&gt;-1.5,"↓","⇊")))))</f>
        <v/>
      </c>
      <c r="P40" s="24">
        <f>IF($E40="","",IF(0.7*$K40+0.3*$L40&gt;=1.5,"⇈",IF(0.7*$K40+0.3*$L40&gt;=0.5,"↑",IF(0.7*$K40+0.3*$L40&gt;-0.5,"↔",IF(0.7*$K40+0.3*$L40&gt;-1.5,"↓","⇊")))))</f>
        <v/>
      </c>
      <c r="Q40" s="24">
        <f>IF($E40="","",IF(-(0.7*$K40+0.3*$L40)&gt;=1.5,"⇈",IF(-(0.7*$K40+0.3*$L40)&gt;=0.5,"↑",IF(-(0.7*$K40+0.3*$L40)&gt;-0.5,"↔",IF(-(0.7*$K40+0.3*$L40)&gt;-1.5,"↓","⇊")))))</f>
        <v/>
      </c>
      <c r="R40" s="24">
        <f>IF($E40="","",IF(-0.8*$K40&gt;=1.5,"⇈",IF(-0.8*$K40&gt;=0.5,"↑",IF(-0.8*$K40&gt;-0.5,"↔",IF(-0.8*$K40&gt;-1.5,"↓","⇊")))))</f>
        <v/>
      </c>
      <c r="S40" s="24">
        <f>IF($E40="","",IF(0.5*$L40&gt;=1.5,"⇈",IF(0.5*$L40&gt;=0.5,"↑",IF(0.5*$L40&gt;-0.5,"↔",IF(0.5*$L40&gt;-1.5,"↓","⇊")))))</f>
        <v/>
      </c>
      <c r="T40" s="24">
        <f>IF($E40="","",IF(0.5*$L40-0.5*$K40&gt;=1.5,"⇈",IF(0.5*$L40-0.5*$K40&gt;=0.5,"↑",IF(0.5*$L40-0.5*$K40&gt;-0.5,"↔",IF(0.5*$L40-0.5*$K40&gt;-1.5,"↓","⇊")))))</f>
        <v/>
      </c>
      <c r="U40" s="24">
        <f>IF($E40="","",IF(0.4*$L40-0.6*$K40&gt;=1.5,"⇈",IF(0.4*$L40-0.6*$K40&gt;=0.5,"↑",IF(0.4*$L40-0.6*$K40&gt;-0.5,"↔",IF(0.4*$L40-0.6*$K40&gt;-1.5,"↓","⇊")))))</f>
        <v/>
      </c>
      <c r="V40" s="24">
        <f>IF($E40="","",IF(0.5*$L40&gt;=1.5,"⇈",IF(0.5*$L40&gt;=0.5,"↑",IF(0.5*$L40&gt;-0.5,"↔",IF(0.5*$L40&gt;-1.5,"↓","⇊")))))</f>
        <v/>
      </c>
      <c r="W40" s="24">
        <f>IF($E40="","",IF(AND($L40&gt;=0.5,$K40&lt;=0.5),"Risk-on",IF(OR($L40&lt;=-0.5,$K40&gt;=1),"Risk-off","Neutral")))</f>
        <v/>
      </c>
      <c r="X40" s="24">
        <f>IF($E40="","",IF(AND(IFERROR(INDEX(Lib_Importance,$Z40),0)&gt;=4,ABS($I40)&gt;=1),"High",IF(ABS($I40)&lt;0.5,"Low","Medium")))</f>
        <v/>
      </c>
      <c r="Z40" s="32">
        <f>IF('Data Tracker'!$D40="","",IFERROR(MATCH('Data Tracker'!$D40,Lib_Name,0),""))</f>
        <v/>
      </c>
    </row>
    <row r="41">
      <c r="B41" s="29">
        <f>IF('Data Tracker'!$D41="","",'Data Tracker'!$B41)</f>
        <v/>
      </c>
      <c r="C41" s="11">
        <f>IF('Data Tracker'!$D41="","",'Data Tracker'!$D41)</f>
        <v/>
      </c>
      <c r="D41" s="24">
        <f>IF($Z41="","",IFERROR(INDEX(Lib_Cat,$Z41),""))</f>
        <v/>
      </c>
      <c r="E41" s="30">
        <f>IF('Data Tracker'!$D41="","",'Data Tracker'!$E41)</f>
        <v/>
      </c>
      <c r="F41" s="30">
        <f>IF('Data Tracker'!$D41="","",'Data Tracker'!$F41)</f>
        <v/>
      </c>
      <c r="G41" s="30">
        <f>IF('Data Tracker'!$D41="","",'Data Tracker'!$G41)</f>
        <v/>
      </c>
      <c r="H41" s="28">
        <f>IF($E41="","",$E41-$F41)</f>
        <v/>
      </c>
      <c r="I41" s="31">
        <f>IF($E41="","",IFERROR($H41/INDEX(Lib_Scale,$Z41),0))</f>
        <v/>
      </c>
      <c r="J41" s="24">
        <f>IF($E41="","",IF(ABS($I41)&lt;0.5,"Neutral",IF($I41&gt;0,"Hot","Cold")))</f>
        <v/>
      </c>
      <c r="K41" s="31">
        <f>IF($E41="","",$I41*INDEX(Lib_PolInfl,$Z41)*INDEX(Lib_Importance,$Z41)/5)</f>
        <v/>
      </c>
      <c r="L41" s="31">
        <f>IF($E41="","",$I41*INDEX(Lib_PolGrow,$Z41)*INDEX(Lib_Importance,$Z41)/5)</f>
        <v/>
      </c>
      <c r="M41" s="24">
        <f>IF($E41="","",IF($K41&gt;0.5,"Inflationary",IF($K41&lt;-0.5,"Disinflationary","Neutral")))</f>
        <v/>
      </c>
      <c r="N41" s="24">
        <f>IF($E41="","",IF($L41&gt;0.5,"Growth+",IF($L41&lt;-0.5,"Growth-","Neutral")))</f>
        <v/>
      </c>
      <c r="O41" s="24">
        <f>IF($E41="","",IF(0.6*$K41+0.4*$L41&gt;=1.5,"⇈",IF(0.6*$K41+0.4*$L41&gt;=0.5,"↑",IF(0.6*$K41+0.4*$L41&gt;-0.5,"↔",IF(0.6*$K41+0.4*$L41&gt;-1.5,"↓","⇊")))))</f>
        <v/>
      </c>
      <c r="P41" s="24">
        <f>IF($E41="","",IF(0.7*$K41+0.3*$L41&gt;=1.5,"⇈",IF(0.7*$K41+0.3*$L41&gt;=0.5,"↑",IF(0.7*$K41+0.3*$L41&gt;-0.5,"↔",IF(0.7*$K41+0.3*$L41&gt;-1.5,"↓","⇊")))))</f>
        <v/>
      </c>
      <c r="Q41" s="24">
        <f>IF($E41="","",IF(-(0.7*$K41+0.3*$L41)&gt;=1.5,"⇈",IF(-(0.7*$K41+0.3*$L41)&gt;=0.5,"↑",IF(-(0.7*$K41+0.3*$L41)&gt;-0.5,"↔",IF(-(0.7*$K41+0.3*$L41)&gt;-1.5,"↓","⇊")))))</f>
        <v/>
      </c>
      <c r="R41" s="24">
        <f>IF($E41="","",IF(-0.8*$K41&gt;=1.5,"⇈",IF(-0.8*$K41&gt;=0.5,"↑",IF(-0.8*$K41&gt;-0.5,"↔",IF(-0.8*$K41&gt;-1.5,"↓","⇊")))))</f>
        <v/>
      </c>
      <c r="S41" s="24">
        <f>IF($E41="","",IF(0.5*$L41&gt;=1.5,"⇈",IF(0.5*$L41&gt;=0.5,"↑",IF(0.5*$L41&gt;-0.5,"↔",IF(0.5*$L41&gt;-1.5,"↓","⇊")))))</f>
        <v/>
      </c>
      <c r="T41" s="24">
        <f>IF($E41="","",IF(0.5*$L41-0.5*$K41&gt;=1.5,"⇈",IF(0.5*$L41-0.5*$K41&gt;=0.5,"↑",IF(0.5*$L41-0.5*$K41&gt;-0.5,"↔",IF(0.5*$L41-0.5*$K41&gt;-1.5,"↓","⇊")))))</f>
        <v/>
      </c>
      <c r="U41" s="24">
        <f>IF($E41="","",IF(0.4*$L41-0.6*$K41&gt;=1.5,"⇈",IF(0.4*$L41-0.6*$K41&gt;=0.5,"↑",IF(0.4*$L41-0.6*$K41&gt;-0.5,"↔",IF(0.4*$L41-0.6*$K41&gt;-1.5,"↓","⇊")))))</f>
        <v/>
      </c>
      <c r="V41" s="24">
        <f>IF($E41="","",IF(0.5*$L41&gt;=1.5,"⇈",IF(0.5*$L41&gt;=0.5,"↑",IF(0.5*$L41&gt;-0.5,"↔",IF(0.5*$L41&gt;-1.5,"↓","⇊")))))</f>
        <v/>
      </c>
      <c r="W41" s="24">
        <f>IF($E41="","",IF(AND($L41&gt;=0.5,$K41&lt;=0.5),"Risk-on",IF(OR($L41&lt;=-0.5,$K41&gt;=1),"Risk-off","Neutral")))</f>
        <v/>
      </c>
      <c r="X41" s="24">
        <f>IF($E41="","",IF(AND(IFERROR(INDEX(Lib_Importance,$Z41),0)&gt;=4,ABS($I41)&gt;=1),"High",IF(ABS($I41)&lt;0.5,"Low","Medium")))</f>
        <v/>
      </c>
      <c r="Z41" s="32">
        <f>IF('Data Tracker'!$D41="","",IFERROR(MATCH('Data Tracker'!$D41,Lib_Name,0),""))</f>
        <v/>
      </c>
    </row>
    <row r="42">
      <c r="B42" s="29">
        <f>IF('Data Tracker'!$D42="","",'Data Tracker'!$B42)</f>
        <v/>
      </c>
      <c r="C42" s="11">
        <f>IF('Data Tracker'!$D42="","",'Data Tracker'!$D42)</f>
        <v/>
      </c>
      <c r="D42" s="24">
        <f>IF($Z42="","",IFERROR(INDEX(Lib_Cat,$Z42),""))</f>
        <v/>
      </c>
      <c r="E42" s="30">
        <f>IF('Data Tracker'!$D42="","",'Data Tracker'!$E42)</f>
        <v/>
      </c>
      <c r="F42" s="30">
        <f>IF('Data Tracker'!$D42="","",'Data Tracker'!$F42)</f>
        <v/>
      </c>
      <c r="G42" s="30">
        <f>IF('Data Tracker'!$D42="","",'Data Tracker'!$G42)</f>
        <v/>
      </c>
      <c r="H42" s="28">
        <f>IF($E42="","",$E42-$F42)</f>
        <v/>
      </c>
      <c r="I42" s="31">
        <f>IF($E42="","",IFERROR($H42/INDEX(Lib_Scale,$Z42),0))</f>
        <v/>
      </c>
      <c r="J42" s="24">
        <f>IF($E42="","",IF(ABS($I42)&lt;0.5,"Neutral",IF($I42&gt;0,"Hot","Cold")))</f>
        <v/>
      </c>
      <c r="K42" s="31">
        <f>IF($E42="","",$I42*INDEX(Lib_PolInfl,$Z42)*INDEX(Lib_Importance,$Z42)/5)</f>
        <v/>
      </c>
      <c r="L42" s="31">
        <f>IF($E42="","",$I42*INDEX(Lib_PolGrow,$Z42)*INDEX(Lib_Importance,$Z42)/5)</f>
        <v/>
      </c>
      <c r="M42" s="24">
        <f>IF($E42="","",IF($K42&gt;0.5,"Inflationary",IF($K42&lt;-0.5,"Disinflationary","Neutral")))</f>
        <v/>
      </c>
      <c r="N42" s="24">
        <f>IF($E42="","",IF($L42&gt;0.5,"Growth+",IF($L42&lt;-0.5,"Growth-","Neutral")))</f>
        <v/>
      </c>
      <c r="O42" s="24">
        <f>IF($E42="","",IF(0.6*$K42+0.4*$L42&gt;=1.5,"⇈",IF(0.6*$K42+0.4*$L42&gt;=0.5,"↑",IF(0.6*$K42+0.4*$L42&gt;-0.5,"↔",IF(0.6*$K42+0.4*$L42&gt;-1.5,"↓","⇊")))))</f>
        <v/>
      </c>
      <c r="P42" s="24">
        <f>IF($E42="","",IF(0.7*$K42+0.3*$L42&gt;=1.5,"⇈",IF(0.7*$K42+0.3*$L42&gt;=0.5,"↑",IF(0.7*$K42+0.3*$L42&gt;-0.5,"↔",IF(0.7*$K42+0.3*$L42&gt;-1.5,"↓","⇊")))))</f>
        <v/>
      </c>
      <c r="Q42" s="24">
        <f>IF($E42="","",IF(-(0.7*$K42+0.3*$L42)&gt;=1.5,"⇈",IF(-(0.7*$K42+0.3*$L42)&gt;=0.5,"↑",IF(-(0.7*$K42+0.3*$L42)&gt;-0.5,"↔",IF(-(0.7*$K42+0.3*$L42)&gt;-1.5,"↓","⇊")))))</f>
        <v/>
      </c>
      <c r="R42" s="24">
        <f>IF($E42="","",IF(-0.8*$K42&gt;=1.5,"⇈",IF(-0.8*$K42&gt;=0.5,"↑",IF(-0.8*$K42&gt;-0.5,"↔",IF(-0.8*$K42&gt;-1.5,"↓","⇊")))))</f>
        <v/>
      </c>
      <c r="S42" s="24">
        <f>IF($E42="","",IF(0.5*$L42&gt;=1.5,"⇈",IF(0.5*$L42&gt;=0.5,"↑",IF(0.5*$L42&gt;-0.5,"↔",IF(0.5*$L42&gt;-1.5,"↓","⇊")))))</f>
        <v/>
      </c>
      <c r="T42" s="24">
        <f>IF($E42="","",IF(0.5*$L42-0.5*$K42&gt;=1.5,"⇈",IF(0.5*$L42-0.5*$K42&gt;=0.5,"↑",IF(0.5*$L42-0.5*$K42&gt;-0.5,"↔",IF(0.5*$L42-0.5*$K42&gt;-1.5,"↓","⇊")))))</f>
        <v/>
      </c>
      <c r="U42" s="24">
        <f>IF($E42="","",IF(0.4*$L42-0.6*$K42&gt;=1.5,"⇈",IF(0.4*$L42-0.6*$K42&gt;=0.5,"↑",IF(0.4*$L42-0.6*$K42&gt;-0.5,"↔",IF(0.4*$L42-0.6*$K42&gt;-1.5,"↓","⇊")))))</f>
        <v/>
      </c>
      <c r="V42" s="24">
        <f>IF($E42="","",IF(0.5*$L42&gt;=1.5,"⇈",IF(0.5*$L42&gt;=0.5,"↑",IF(0.5*$L42&gt;-0.5,"↔",IF(0.5*$L42&gt;-1.5,"↓","⇊")))))</f>
        <v/>
      </c>
      <c r="W42" s="24">
        <f>IF($E42="","",IF(AND($L42&gt;=0.5,$K42&lt;=0.5),"Risk-on",IF(OR($L42&lt;=-0.5,$K42&gt;=1),"Risk-off","Neutral")))</f>
        <v/>
      </c>
      <c r="X42" s="24">
        <f>IF($E42="","",IF(AND(IFERROR(INDEX(Lib_Importance,$Z42),0)&gt;=4,ABS($I42)&gt;=1),"High",IF(ABS($I42)&lt;0.5,"Low","Medium")))</f>
        <v/>
      </c>
      <c r="Z42" s="32">
        <f>IF('Data Tracker'!$D42="","",IFERROR(MATCH('Data Tracker'!$D42,Lib_Name,0),""))</f>
        <v/>
      </c>
    </row>
    <row r="43">
      <c r="B43" s="29">
        <f>IF('Data Tracker'!$D43="","",'Data Tracker'!$B43)</f>
        <v/>
      </c>
      <c r="C43" s="11">
        <f>IF('Data Tracker'!$D43="","",'Data Tracker'!$D43)</f>
        <v/>
      </c>
      <c r="D43" s="24">
        <f>IF($Z43="","",IFERROR(INDEX(Lib_Cat,$Z43),""))</f>
        <v/>
      </c>
      <c r="E43" s="30">
        <f>IF('Data Tracker'!$D43="","",'Data Tracker'!$E43)</f>
        <v/>
      </c>
      <c r="F43" s="30">
        <f>IF('Data Tracker'!$D43="","",'Data Tracker'!$F43)</f>
        <v/>
      </c>
      <c r="G43" s="30">
        <f>IF('Data Tracker'!$D43="","",'Data Tracker'!$G43)</f>
        <v/>
      </c>
      <c r="H43" s="28">
        <f>IF($E43="","",$E43-$F43)</f>
        <v/>
      </c>
      <c r="I43" s="31">
        <f>IF($E43="","",IFERROR($H43/INDEX(Lib_Scale,$Z43),0))</f>
        <v/>
      </c>
      <c r="J43" s="24">
        <f>IF($E43="","",IF(ABS($I43)&lt;0.5,"Neutral",IF($I43&gt;0,"Hot","Cold")))</f>
        <v/>
      </c>
      <c r="K43" s="31">
        <f>IF($E43="","",$I43*INDEX(Lib_PolInfl,$Z43)*INDEX(Lib_Importance,$Z43)/5)</f>
        <v/>
      </c>
      <c r="L43" s="31">
        <f>IF($E43="","",$I43*INDEX(Lib_PolGrow,$Z43)*INDEX(Lib_Importance,$Z43)/5)</f>
        <v/>
      </c>
      <c r="M43" s="24">
        <f>IF($E43="","",IF($K43&gt;0.5,"Inflationary",IF($K43&lt;-0.5,"Disinflationary","Neutral")))</f>
        <v/>
      </c>
      <c r="N43" s="24">
        <f>IF($E43="","",IF($L43&gt;0.5,"Growth+",IF($L43&lt;-0.5,"Growth-","Neutral")))</f>
        <v/>
      </c>
      <c r="O43" s="24">
        <f>IF($E43="","",IF(0.6*$K43+0.4*$L43&gt;=1.5,"⇈",IF(0.6*$K43+0.4*$L43&gt;=0.5,"↑",IF(0.6*$K43+0.4*$L43&gt;-0.5,"↔",IF(0.6*$K43+0.4*$L43&gt;-1.5,"↓","⇊")))))</f>
        <v/>
      </c>
      <c r="P43" s="24">
        <f>IF($E43="","",IF(0.7*$K43+0.3*$L43&gt;=1.5,"⇈",IF(0.7*$K43+0.3*$L43&gt;=0.5,"↑",IF(0.7*$K43+0.3*$L43&gt;-0.5,"↔",IF(0.7*$K43+0.3*$L43&gt;-1.5,"↓","⇊")))))</f>
        <v/>
      </c>
      <c r="Q43" s="24">
        <f>IF($E43="","",IF(-(0.7*$K43+0.3*$L43)&gt;=1.5,"⇈",IF(-(0.7*$K43+0.3*$L43)&gt;=0.5,"↑",IF(-(0.7*$K43+0.3*$L43)&gt;-0.5,"↔",IF(-(0.7*$K43+0.3*$L43)&gt;-1.5,"↓","⇊")))))</f>
        <v/>
      </c>
      <c r="R43" s="24">
        <f>IF($E43="","",IF(-0.8*$K43&gt;=1.5,"⇈",IF(-0.8*$K43&gt;=0.5,"↑",IF(-0.8*$K43&gt;-0.5,"↔",IF(-0.8*$K43&gt;-1.5,"↓","⇊")))))</f>
        <v/>
      </c>
      <c r="S43" s="24">
        <f>IF($E43="","",IF(0.5*$L43&gt;=1.5,"⇈",IF(0.5*$L43&gt;=0.5,"↑",IF(0.5*$L43&gt;-0.5,"↔",IF(0.5*$L43&gt;-1.5,"↓","⇊")))))</f>
        <v/>
      </c>
      <c r="T43" s="24">
        <f>IF($E43="","",IF(0.5*$L43-0.5*$K43&gt;=1.5,"⇈",IF(0.5*$L43-0.5*$K43&gt;=0.5,"↑",IF(0.5*$L43-0.5*$K43&gt;-0.5,"↔",IF(0.5*$L43-0.5*$K43&gt;-1.5,"↓","⇊")))))</f>
        <v/>
      </c>
      <c r="U43" s="24">
        <f>IF($E43="","",IF(0.4*$L43-0.6*$K43&gt;=1.5,"⇈",IF(0.4*$L43-0.6*$K43&gt;=0.5,"↑",IF(0.4*$L43-0.6*$K43&gt;-0.5,"↔",IF(0.4*$L43-0.6*$K43&gt;-1.5,"↓","⇊")))))</f>
        <v/>
      </c>
      <c r="V43" s="24">
        <f>IF($E43="","",IF(0.5*$L43&gt;=1.5,"⇈",IF(0.5*$L43&gt;=0.5,"↑",IF(0.5*$L43&gt;-0.5,"↔",IF(0.5*$L43&gt;-1.5,"↓","⇊")))))</f>
        <v/>
      </c>
      <c r="W43" s="24">
        <f>IF($E43="","",IF(AND($L43&gt;=0.5,$K43&lt;=0.5),"Risk-on",IF(OR($L43&lt;=-0.5,$K43&gt;=1),"Risk-off","Neutral")))</f>
        <v/>
      </c>
      <c r="X43" s="24">
        <f>IF($E43="","",IF(AND(IFERROR(INDEX(Lib_Importance,$Z43),0)&gt;=4,ABS($I43)&gt;=1),"High",IF(ABS($I43)&lt;0.5,"Low","Medium")))</f>
        <v/>
      </c>
      <c r="Z43" s="32">
        <f>IF('Data Tracker'!$D43="","",IFERROR(MATCH('Data Tracker'!$D43,Lib_Name,0),""))</f>
        <v/>
      </c>
    </row>
    <row r="44">
      <c r="B44" s="29">
        <f>IF('Data Tracker'!$D44="","",'Data Tracker'!$B44)</f>
        <v/>
      </c>
      <c r="C44" s="11">
        <f>IF('Data Tracker'!$D44="","",'Data Tracker'!$D44)</f>
        <v/>
      </c>
      <c r="D44" s="24">
        <f>IF($Z44="","",IFERROR(INDEX(Lib_Cat,$Z44),""))</f>
        <v/>
      </c>
      <c r="E44" s="30">
        <f>IF('Data Tracker'!$D44="","",'Data Tracker'!$E44)</f>
        <v/>
      </c>
      <c r="F44" s="30">
        <f>IF('Data Tracker'!$D44="","",'Data Tracker'!$F44)</f>
        <v/>
      </c>
      <c r="G44" s="30">
        <f>IF('Data Tracker'!$D44="","",'Data Tracker'!$G44)</f>
        <v/>
      </c>
      <c r="H44" s="28">
        <f>IF($E44="","",$E44-$F44)</f>
        <v/>
      </c>
      <c r="I44" s="31">
        <f>IF($E44="","",IFERROR($H44/INDEX(Lib_Scale,$Z44),0))</f>
        <v/>
      </c>
      <c r="J44" s="24">
        <f>IF($E44="","",IF(ABS($I44)&lt;0.5,"Neutral",IF($I44&gt;0,"Hot","Cold")))</f>
        <v/>
      </c>
      <c r="K44" s="31">
        <f>IF($E44="","",$I44*INDEX(Lib_PolInfl,$Z44)*INDEX(Lib_Importance,$Z44)/5)</f>
        <v/>
      </c>
      <c r="L44" s="31">
        <f>IF($E44="","",$I44*INDEX(Lib_PolGrow,$Z44)*INDEX(Lib_Importance,$Z44)/5)</f>
        <v/>
      </c>
      <c r="M44" s="24">
        <f>IF($E44="","",IF($K44&gt;0.5,"Inflationary",IF($K44&lt;-0.5,"Disinflationary","Neutral")))</f>
        <v/>
      </c>
      <c r="N44" s="24">
        <f>IF($E44="","",IF($L44&gt;0.5,"Growth+",IF($L44&lt;-0.5,"Growth-","Neutral")))</f>
        <v/>
      </c>
      <c r="O44" s="24">
        <f>IF($E44="","",IF(0.6*$K44+0.4*$L44&gt;=1.5,"⇈",IF(0.6*$K44+0.4*$L44&gt;=0.5,"↑",IF(0.6*$K44+0.4*$L44&gt;-0.5,"↔",IF(0.6*$K44+0.4*$L44&gt;-1.5,"↓","⇊")))))</f>
        <v/>
      </c>
      <c r="P44" s="24">
        <f>IF($E44="","",IF(0.7*$K44+0.3*$L44&gt;=1.5,"⇈",IF(0.7*$K44+0.3*$L44&gt;=0.5,"↑",IF(0.7*$K44+0.3*$L44&gt;-0.5,"↔",IF(0.7*$K44+0.3*$L44&gt;-1.5,"↓","⇊")))))</f>
        <v/>
      </c>
      <c r="Q44" s="24">
        <f>IF($E44="","",IF(-(0.7*$K44+0.3*$L44)&gt;=1.5,"⇈",IF(-(0.7*$K44+0.3*$L44)&gt;=0.5,"↑",IF(-(0.7*$K44+0.3*$L44)&gt;-0.5,"↔",IF(-(0.7*$K44+0.3*$L44)&gt;-1.5,"↓","⇊")))))</f>
        <v/>
      </c>
      <c r="R44" s="24">
        <f>IF($E44="","",IF(-0.8*$K44&gt;=1.5,"⇈",IF(-0.8*$K44&gt;=0.5,"↑",IF(-0.8*$K44&gt;-0.5,"↔",IF(-0.8*$K44&gt;-1.5,"↓","⇊")))))</f>
        <v/>
      </c>
      <c r="S44" s="24">
        <f>IF($E44="","",IF(0.5*$L44&gt;=1.5,"⇈",IF(0.5*$L44&gt;=0.5,"↑",IF(0.5*$L44&gt;-0.5,"↔",IF(0.5*$L44&gt;-1.5,"↓","⇊")))))</f>
        <v/>
      </c>
      <c r="T44" s="24">
        <f>IF($E44="","",IF(0.5*$L44-0.5*$K44&gt;=1.5,"⇈",IF(0.5*$L44-0.5*$K44&gt;=0.5,"↑",IF(0.5*$L44-0.5*$K44&gt;-0.5,"↔",IF(0.5*$L44-0.5*$K44&gt;-1.5,"↓","⇊")))))</f>
        <v/>
      </c>
      <c r="U44" s="24">
        <f>IF($E44="","",IF(0.4*$L44-0.6*$K44&gt;=1.5,"⇈",IF(0.4*$L44-0.6*$K44&gt;=0.5,"↑",IF(0.4*$L44-0.6*$K44&gt;-0.5,"↔",IF(0.4*$L44-0.6*$K44&gt;-1.5,"↓","⇊")))))</f>
        <v/>
      </c>
      <c r="V44" s="24">
        <f>IF($E44="","",IF(0.5*$L44&gt;=1.5,"⇈",IF(0.5*$L44&gt;=0.5,"↑",IF(0.5*$L44&gt;-0.5,"↔",IF(0.5*$L44&gt;-1.5,"↓","⇊")))))</f>
        <v/>
      </c>
      <c r="W44" s="24">
        <f>IF($E44="","",IF(AND($L44&gt;=0.5,$K44&lt;=0.5),"Risk-on",IF(OR($L44&lt;=-0.5,$K44&gt;=1),"Risk-off","Neutral")))</f>
        <v/>
      </c>
      <c r="X44" s="24">
        <f>IF($E44="","",IF(AND(IFERROR(INDEX(Lib_Importance,$Z44),0)&gt;=4,ABS($I44)&gt;=1),"High",IF(ABS($I44)&lt;0.5,"Low","Medium")))</f>
        <v/>
      </c>
      <c r="Z44" s="32">
        <f>IF('Data Tracker'!$D44="","",IFERROR(MATCH('Data Tracker'!$D44,Lib_Name,0),""))</f>
        <v/>
      </c>
    </row>
    <row r="45">
      <c r="B45" s="29">
        <f>IF('Data Tracker'!$D45="","",'Data Tracker'!$B45)</f>
        <v/>
      </c>
      <c r="C45" s="11">
        <f>IF('Data Tracker'!$D45="","",'Data Tracker'!$D45)</f>
        <v/>
      </c>
      <c r="D45" s="24">
        <f>IF($Z45="","",IFERROR(INDEX(Lib_Cat,$Z45),""))</f>
        <v/>
      </c>
      <c r="E45" s="30">
        <f>IF('Data Tracker'!$D45="","",'Data Tracker'!$E45)</f>
        <v/>
      </c>
      <c r="F45" s="30">
        <f>IF('Data Tracker'!$D45="","",'Data Tracker'!$F45)</f>
        <v/>
      </c>
      <c r="G45" s="30">
        <f>IF('Data Tracker'!$D45="","",'Data Tracker'!$G45)</f>
        <v/>
      </c>
      <c r="H45" s="28">
        <f>IF($E45="","",$E45-$F45)</f>
        <v/>
      </c>
      <c r="I45" s="31">
        <f>IF($E45="","",IFERROR($H45/INDEX(Lib_Scale,$Z45),0))</f>
        <v/>
      </c>
      <c r="J45" s="24">
        <f>IF($E45="","",IF(ABS($I45)&lt;0.5,"Neutral",IF($I45&gt;0,"Hot","Cold")))</f>
        <v/>
      </c>
      <c r="K45" s="31">
        <f>IF($E45="","",$I45*INDEX(Lib_PolInfl,$Z45)*INDEX(Lib_Importance,$Z45)/5)</f>
        <v/>
      </c>
      <c r="L45" s="31">
        <f>IF($E45="","",$I45*INDEX(Lib_PolGrow,$Z45)*INDEX(Lib_Importance,$Z45)/5)</f>
        <v/>
      </c>
      <c r="M45" s="24">
        <f>IF($E45="","",IF($K45&gt;0.5,"Inflationary",IF($K45&lt;-0.5,"Disinflationary","Neutral")))</f>
        <v/>
      </c>
      <c r="N45" s="24">
        <f>IF($E45="","",IF($L45&gt;0.5,"Growth+",IF($L45&lt;-0.5,"Growth-","Neutral")))</f>
        <v/>
      </c>
      <c r="O45" s="24">
        <f>IF($E45="","",IF(0.6*$K45+0.4*$L45&gt;=1.5,"⇈",IF(0.6*$K45+0.4*$L45&gt;=0.5,"↑",IF(0.6*$K45+0.4*$L45&gt;-0.5,"↔",IF(0.6*$K45+0.4*$L45&gt;-1.5,"↓","⇊")))))</f>
        <v/>
      </c>
      <c r="P45" s="24">
        <f>IF($E45="","",IF(0.7*$K45+0.3*$L45&gt;=1.5,"⇈",IF(0.7*$K45+0.3*$L45&gt;=0.5,"↑",IF(0.7*$K45+0.3*$L45&gt;-0.5,"↔",IF(0.7*$K45+0.3*$L45&gt;-1.5,"↓","⇊")))))</f>
        <v/>
      </c>
      <c r="Q45" s="24">
        <f>IF($E45="","",IF(-(0.7*$K45+0.3*$L45)&gt;=1.5,"⇈",IF(-(0.7*$K45+0.3*$L45)&gt;=0.5,"↑",IF(-(0.7*$K45+0.3*$L45)&gt;-0.5,"↔",IF(-(0.7*$K45+0.3*$L45)&gt;-1.5,"↓","⇊")))))</f>
        <v/>
      </c>
      <c r="R45" s="24">
        <f>IF($E45="","",IF(-0.8*$K45&gt;=1.5,"⇈",IF(-0.8*$K45&gt;=0.5,"↑",IF(-0.8*$K45&gt;-0.5,"↔",IF(-0.8*$K45&gt;-1.5,"↓","⇊")))))</f>
        <v/>
      </c>
      <c r="S45" s="24">
        <f>IF($E45="","",IF(0.5*$L45&gt;=1.5,"⇈",IF(0.5*$L45&gt;=0.5,"↑",IF(0.5*$L45&gt;-0.5,"↔",IF(0.5*$L45&gt;-1.5,"↓","⇊")))))</f>
        <v/>
      </c>
      <c r="T45" s="24">
        <f>IF($E45="","",IF(0.5*$L45-0.5*$K45&gt;=1.5,"⇈",IF(0.5*$L45-0.5*$K45&gt;=0.5,"↑",IF(0.5*$L45-0.5*$K45&gt;-0.5,"↔",IF(0.5*$L45-0.5*$K45&gt;-1.5,"↓","⇊")))))</f>
        <v/>
      </c>
      <c r="U45" s="24">
        <f>IF($E45="","",IF(0.4*$L45-0.6*$K45&gt;=1.5,"⇈",IF(0.4*$L45-0.6*$K45&gt;=0.5,"↑",IF(0.4*$L45-0.6*$K45&gt;-0.5,"↔",IF(0.4*$L45-0.6*$K45&gt;-1.5,"↓","⇊")))))</f>
        <v/>
      </c>
      <c r="V45" s="24">
        <f>IF($E45="","",IF(0.5*$L45&gt;=1.5,"⇈",IF(0.5*$L45&gt;=0.5,"↑",IF(0.5*$L45&gt;-0.5,"↔",IF(0.5*$L45&gt;-1.5,"↓","⇊")))))</f>
        <v/>
      </c>
      <c r="W45" s="24">
        <f>IF($E45="","",IF(AND($L45&gt;=0.5,$K45&lt;=0.5),"Risk-on",IF(OR($L45&lt;=-0.5,$K45&gt;=1),"Risk-off","Neutral")))</f>
        <v/>
      </c>
      <c r="X45" s="24">
        <f>IF($E45="","",IF(AND(IFERROR(INDEX(Lib_Importance,$Z45),0)&gt;=4,ABS($I45)&gt;=1),"High",IF(ABS($I45)&lt;0.5,"Low","Medium")))</f>
        <v/>
      </c>
      <c r="Z45" s="32">
        <f>IF('Data Tracker'!$D45="","",IFERROR(MATCH('Data Tracker'!$D45,Lib_Name,0),""))</f>
        <v/>
      </c>
    </row>
    <row r="46">
      <c r="B46" s="29">
        <f>IF('Data Tracker'!$D46="","",'Data Tracker'!$B46)</f>
        <v/>
      </c>
      <c r="C46" s="11">
        <f>IF('Data Tracker'!$D46="","",'Data Tracker'!$D46)</f>
        <v/>
      </c>
      <c r="D46" s="24">
        <f>IF($Z46="","",IFERROR(INDEX(Lib_Cat,$Z46),""))</f>
        <v/>
      </c>
      <c r="E46" s="30">
        <f>IF('Data Tracker'!$D46="","",'Data Tracker'!$E46)</f>
        <v/>
      </c>
      <c r="F46" s="30">
        <f>IF('Data Tracker'!$D46="","",'Data Tracker'!$F46)</f>
        <v/>
      </c>
      <c r="G46" s="30">
        <f>IF('Data Tracker'!$D46="","",'Data Tracker'!$G46)</f>
        <v/>
      </c>
      <c r="H46" s="28">
        <f>IF($E46="","",$E46-$F46)</f>
        <v/>
      </c>
      <c r="I46" s="31">
        <f>IF($E46="","",IFERROR($H46/INDEX(Lib_Scale,$Z46),0))</f>
        <v/>
      </c>
      <c r="J46" s="24">
        <f>IF($E46="","",IF(ABS($I46)&lt;0.5,"Neutral",IF($I46&gt;0,"Hot","Cold")))</f>
        <v/>
      </c>
      <c r="K46" s="31">
        <f>IF($E46="","",$I46*INDEX(Lib_PolInfl,$Z46)*INDEX(Lib_Importance,$Z46)/5)</f>
        <v/>
      </c>
      <c r="L46" s="31">
        <f>IF($E46="","",$I46*INDEX(Lib_PolGrow,$Z46)*INDEX(Lib_Importance,$Z46)/5)</f>
        <v/>
      </c>
      <c r="M46" s="24">
        <f>IF($E46="","",IF($K46&gt;0.5,"Inflationary",IF($K46&lt;-0.5,"Disinflationary","Neutral")))</f>
        <v/>
      </c>
      <c r="N46" s="24">
        <f>IF($E46="","",IF($L46&gt;0.5,"Growth+",IF($L46&lt;-0.5,"Growth-","Neutral")))</f>
        <v/>
      </c>
      <c r="O46" s="24">
        <f>IF($E46="","",IF(0.6*$K46+0.4*$L46&gt;=1.5,"⇈",IF(0.6*$K46+0.4*$L46&gt;=0.5,"↑",IF(0.6*$K46+0.4*$L46&gt;-0.5,"↔",IF(0.6*$K46+0.4*$L46&gt;-1.5,"↓","⇊")))))</f>
        <v/>
      </c>
      <c r="P46" s="24">
        <f>IF($E46="","",IF(0.7*$K46+0.3*$L46&gt;=1.5,"⇈",IF(0.7*$K46+0.3*$L46&gt;=0.5,"↑",IF(0.7*$K46+0.3*$L46&gt;-0.5,"↔",IF(0.7*$K46+0.3*$L46&gt;-1.5,"↓","⇊")))))</f>
        <v/>
      </c>
      <c r="Q46" s="24">
        <f>IF($E46="","",IF(-(0.7*$K46+0.3*$L46)&gt;=1.5,"⇈",IF(-(0.7*$K46+0.3*$L46)&gt;=0.5,"↑",IF(-(0.7*$K46+0.3*$L46)&gt;-0.5,"↔",IF(-(0.7*$K46+0.3*$L46)&gt;-1.5,"↓","⇊")))))</f>
        <v/>
      </c>
      <c r="R46" s="24">
        <f>IF($E46="","",IF(-0.8*$K46&gt;=1.5,"⇈",IF(-0.8*$K46&gt;=0.5,"↑",IF(-0.8*$K46&gt;-0.5,"↔",IF(-0.8*$K46&gt;-1.5,"↓","⇊")))))</f>
        <v/>
      </c>
      <c r="S46" s="24">
        <f>IF($E46="","",IF(0.5*$L46&gt;=1.5,"⇈",IF(0.5*$L46&gt;=0.5,"↑",IF(0.5*$L46&gt;-0.5,"↔",IF(0.5*$L46&gt;-1.5,"↓","⇊")))))</f>
        <v/>
      </c>
      <c r="T46" s="24">
        <f>IF($E46="","",IF(0.5*$L46-0.5*$K46&gt;=1.5,"⇈",IF(0.5*$L46-0.5*$K46&gt;=0.5,"↑",IF(0.5*$L46-0.5*$K46&gt;-0.5,"↔",IF(0.5*$L46-0.5*$K46&gt;-1.5,"↓","⇊")))))</f>
        <v/>
      </c>
      <c r="U46" s="24">
        <f>IF($E46="","",IF(0.4*$L46-0.6*$K46&gt;=1.5,"⇈",IF(0.4*$L46-0.6*$K46&gt;=0.5,"↑",IF(0.4*$L46-0.6*$K46&gt;-0.5,"↔",IF(0.4*$L46-0.6*$K46&gt;-1.5,"↓","⇊")))))</f>
        <v/>
      </c>
      <c r="V46" s="24">
        <f>IF($E46="","",IF(0.5*$L46&gt;=1.5,"⇈",IF(0.5*$L46&gt;=0.5,"↑",IF(0.5*$L46&gt;-0.5,"↔",IF(0.5*$L46&gt;-1.5,"↓","⇊")))))</f>
        <v/>
      </c>
      <c r="W46" s="24">
        <f>IF($E46="","",IF(AND($L46&gt;=0.5,$K46&lt;=0.5),"Risk-on",IF(OR($L46&lt;=-0.5,$K46&gt;=1),"Risk-off","Neutral")))</f>
        <v/>
      </c>
      <c r="X46" s="24">
        <f>IF($E46="","",IF(AND(IFERROR(INDEX(Lib_Importance,$Z46),0)&gt;=4,ABS($I46)&gt;=1),"High",IF(ABS($I46)&lt;0.5,"Low","Medium")))</f>
        <v/>
      </c>
      <c r="Z46" s="32">
        <f>IF('Data Tracker'!$D46="","",IFERROR(MATCH('Data Tracker'!$D46,Lib_Name,0),""))</f>
        <v/>
      </c>
    </row>
    <row r="47">
      <c r="B47" s="29">
        <f>IF('Data Tracker'!$D47="","",'Data Tracker'!$B47)</f>
        <v/>
      </c>
      <c r="C47" s="11">
        <f>IF('Data Tracker'!$D47="","",'Data Tracker'!$D47)</f>
        <v/>
      </c>
      <c r="D47" s="24">
        <f>IF($Z47="","",IFERROR(INDEX(Lib_Cat,$Z47),""))</f>
        <v/>
      </c>
      <c r="E47" s="30">
        <f>IF('Data Tracker'!$D47="","",'Data Tracker'!$E47)</f>
        <v/>
      </c>
      <c r="F47" s="30">
        <f>IF('Data Tracker'!$D47="","",'Data Tracker'!$F47)</f>
        <v/>
      </c>
      <c r="G47" s="30">
        <f>IF('Data Tracker'!$D47="","",'Data Tracker'!$G47)</f>
        <v/>
      </c>
      <c r="H47" s="28">
        <f>IF($E47="","",$E47-$F47)</f>
        <v/>
      </c>
      <c r="I47" s="31">
        <f>IF($E47="","",IFERROR($H47/INDEX(Lib_Scale,$Z47),0))</f>
        <v/>
      </c>
      <c r="J47" s="24">
        <f>IF($E47="","",IF(ABS($I47)&lt;0.5,"Neutral",IF($I47&gt;0,"Hot","Cold")))</f>
        <v/>
      </c>
      <c r="K47" s="31">
        <f>IF($E47="","",$I47*INDEX(Lib_PolInfl,$Z47)*INDEX(Lib_Importance,$Z47)/5)</f>
        <v/>
      </c>
      <c r="L47" s="31">
        <f>IF($E47="","",$I47*INDEX(Lib_PolGrow,$Z47)*INDEX(Lib_Importance,$Z47)/5)</f>
        <v/>
      </c>
      <c r="M47" s="24">
        <f>IF($E47="","",IF($K47&gt;0.5,"Inflationary",IF($K47&lt;-0.5,"Disinflationary","Neutral")))</f>
        <v/>
      </c>
      <c r="N47" s="24">
        <f>IF($E47="","",IF($L47&gt;0.5,"Growth+",IF($L47&lt;-0.5,"Growth-","Neutral")))</f>
        <v/>
      </c>
      <c r="O47" s="24">
        <f>IF($E47="","",IF(0.6*$K47+0.4*$L47&gt;=1.5,"⇈",IF(0.6*$K47+0.4*$L47&gt;=0.5,"↑",IF(0.6*$K47+0.4*$L47&gt;-0.5,"↔",IF(0.6*$K47+0.4*$L47&gt;-1.5,"↓","⇊")))))</f>
        <v/>
      </c>
      <c r="P47" s="24">
        <f>IF($E47="","",IF(0.7*$K47+0.3*$L47&gt;=1.5,"⇈",IF(0.7*$K47+0.3*$L47&gt;=0.5,"↑",IF(0.7*$K47+0.3*$L47&gt;-0.5,"↔",IF(0.7*$K47+0.3*$L47&gt;-1.5,"↓","⇊")))))</f>
        <v/>
      </c>
      <c r="Q47" s="24">
        <f>IF($E47="","",IF(-(0.7*$K47+0.3*$L47)&gt;=1.5,"⇈",IF(-(0.7*$K47+0.3*$L47)&gt;=0.5,"↑",IF(-(0.7*$K47+0.3*$L47)&gt;-0.5,"↔",IF(-(0.7*$K47+0.3*$L47)&gt;-1.5,"↓","⇊")))))</f>
        <v/>
      </c>
      <c r="R47" s="24">
        <f>IF($E47="","",IF(-0.8*$K47&gt;=1.5,"⇈",IF(-0.8*$K47&gt;=0.5,"↑",IF(-0.8*$K47&gt;-0.5,"↔",IF(-0.8*$K47&gt;-1.5,"↓","⇊")))))</f>
        <v/>
      </c>
      <c r="S47" s="24">
        <f>IF($E47="","",IF(0.5*$L47&gt;=1.5,"⇈",IF(0.5*$L47&gt;=0.5,"↑",IF(0.5*$L47&gt;-0.5,"↔",IF(0.5*$L47&gt;-1.5,"↓","⇊")))))</f>
        <v/>
      </c>
      <c r="T47" s="24">
        <f>IF($E47="","",IF(0.5*$L47-0.5*$K47&gt;=1.5,"⇈",IF(0.5*$L47-0.5*$K47&gt;=0.5,"↑",IF(0.5*$L47-0.5*$K47&gt;-0.5,"↔",IF(0.5*$L47-0.5*$K47&gt;-1.5,"↓","⇊")))))</f>
        <v/>
      </c>
      <c r="U47" s="24">
        <f>IF($E47="","",IF(0.4*$L47-0.6*$K47&gt;=1.5,"⇈",IF(0.4*$L47-0.6*$K47&gt;=0.5,"↑",IF(0.4*$L47-0.6*$K47&gt;-0.5,"↔",IF(0.4*$L47-0.6*$K47&gt;-1.5,"↓","⇊")))))</f>
        <v/>
      </c>
      <c r="V47" s="24">
        <f>IF($E47="","",IF(0.5*$L47&gt;=1.5,"⇈",IF(0.5*$L47&gt;=0.5,"↑",IF(0.5*$L47&gt;-0.5,"↔",IF(0.5*$L47&gt;-1.5,"↓","⇊")))))</f>
        <v/>
      </c>
      <c r="W47" s="24">
        <f>IF($E47="","",IF(AND($L47&gt;=0.5,$K47&lt;=0.5),"Risk-on",IF(OR($L47&lt;=-0.5,$K47&gt;=1),"Risk-off","Neutral")))</f>
        <v/>
      </c>
      <c r="X47" s="24">
        <f>IF($E47="","",IF(AND(IFERROR(INDEX(Lib_Importance,$Z47),0)&gt;=4,ABS($I47)&gt;=1),"High",IF(ABS($I47)&lt;0.5,"Low","Medium")))</f>
        <v/>
      </c>
      <c r="Z47" s="32">
        <f>IF('Data Tracker'!$D47="","",IFERROR(MATCH('Data Tracker'!$D47,Lib_Name,0),""))</f>
        <v/>
      </c>
    </row>
    <row r="48">
      <c r="B48" s="29">
        <f>IF('Data Tracker'!$D48="","",'Data Tracker'!$B48)</f>
        <v/>
      </c>
      <c r="C48" s="11">
        <f>IF('Data Tracker'!$D48="","",'Data Tracker'!$D48)</f>
        <v/>
      </c>
      <c r="D48" s="24">
        <f>IF($Z48="","",IFERROR(INDEX(Lib_Cat,$Z48),""))</f>
        <v/>
      </c>
      <c r="E48" s="30">
        <f>IF('Data Tracker'!$D48="","",'Data Tracker'!$E48)</f>
        <v/>
      </c>
      <c r="F48" s="30">
        <f>IF('Data Tracker'!$D48="","",'Data Tracker'!$F48)</f>
        <v/>
      </c>
      <c r="G48" s="30">
        <f>IF('Data Tracker'!$D48="","",'Data Tracker'!$G48)</f>
        <v/>
      </c>
      <c r="H48" s="28">
        <f>IF($E48="","",$E48-$F48)</f>
        <v/>
      </c>
      <c r="I48" s="31">
        <f>IF($E48="","",IFERROR($H48/INDEX(Lib_Scale,$Z48),0))</f>
        <v/>
      </c>
      <c r="J48" s="24">
        <f>IF($E48="","",IF(ABS($I48)&lt;0.5,"Neutral",IF($I48&gt;0,"Hot","Cold")))</f>
        <v/>
      </c>
      <c r="K48" s="31">
        <f>IF($E48="","",$I48*INDEX(Lib_PolInfl,$Z48)*INDEX(Lib_Importance,$Z48)/5)</f>
        <v/>
      </c>
      <c r="L48" s="31">
        <f>IF($E48="","",$I48*INDEX(Lib_PolGrow,$Z48)*INDEX(Lib_Importance,$Z48)/5)</f>
        <v/>
      </c>
      <c r="M48" s="24">
        <f>IF($E48="","",IF($K48&gt;0.5,"Inflationary",IF($K48&lt;-0.5,"Disinflationary","Neutral")))</f>
        <v/>
      </c>
      <c r="N48" s="24">
        <f>IF($E48="","",IF($L48&gt;0.5,"Growth+",IF($L48&lt;-0.5,"Growth-","Neutral")))</f>
        <v/>
      </c>
      <c r="O48" s="24">
        <f>IF($E48="","",IF(0.6*$K48+0.4*$L48&gt;=1.5,"⇈",IF(0.6*$K48+0.4*$L48&gt;=0.5,"↑",IF(0.6*$K48+0.4*$L48&gt;-0.5,"↔",IF(0.6*$K48+0.4*$L48&gt;-1.5,"↓","⇊")))))</f>
        <v/>
      </c>
      <c r="P48" s="24">
        <f>IF($E48="","",IF(0.7*$K48+0.3*$L48&gt;=1.5,"⇈",IF(0.7*$K48+0.3*$L48&gt;=0.5,"↑",IF(0.7*$K48+0.3*$L48&gt;-0.5,"↔",IF(0.7*$K48+0.3*$L48&gt;-1.5,"↓","⇊")))))</f>
        <v/>
      </c>
      <c r="Q48" s="24">
        <f>IF($E48="","",IF(-(0.7*$K48+0.3*$L48)&gt;=1.5,"⇈",IF(-(0.7*$K48+0.3*$L48)&gt;=0.5,"↑",IF(-(0.7*$K48+0.3*$L48)&gt;-0.5,"↔",IF(-(0.7*$K48+0.3*$L48)&gt;-1.5,"↓","⇊")))))</f>
        <v/>
      </c>
      <c r="R48" s="24">
        <f>IF($E48="","",IF(-0.8*$K48&gt;=1.5,"⇈",IF(-0.8*$K48&gt;=0.5,"↑",IF(-0.8*$K48&gt;-0.5,"↔",IF(-0.8*$K48&gt;-1.5,"↓","⇊")))))</f>
        <v/>
      </c>
      <c r="S48" s="24">
        <f>IF($E48="","",IF(0.5*$L48&gt;=1.5,"⇈",IF(0.5*$L48&gt;=0.5,"↑",IF(0.5*$L48&gt;-0.5,"↔",IF(0.5*$L48&gt;-1.5,"↓","⇊")))))</f>
        <v/>
      </c>
      <c r="T48" s="24">
        <f>IF($E48="","",IF(0.5*$L48-0.5*$K48&gt;=1.5,"⇈",IF(0.5*$L48-0.5*$K48&gt;=0.5,"↑",IF(0.5*$L48-0.5*$K48&gt;-0.5,"↔",IF(0.5*$L48-0.5*$K48&gt;-1.5,"↓","⇊")))))</f>
        <v/>
      </c>
      <c r="U48" s="24">
        <f>IF($E48="","",IF(0.4*$L48-0.6*$K48&gt;=1.5,"⇈",IF(0.4*$L48-0.6*$K48&gt;=0.5,"↑",IF(0.4*$L48-0.6*$K48&gt;-0.5,"↔",IF(0.4*$L48-0.6*$K48&gt;-1.5,"↓","⇊")))))</f>
        <v/>
      </c>
      <c r="V48" s="24">
        <f>IF($E48="","",IF(0.5*$L48&gt;=1.5,"⇈",IF(0.5*$L48&gt;=0.5,"↑",IF(0.5*$L48&gt;-0.5,"↔",IF(0.5*$L48&gt;-1.5,"↓","⇊")))))</f>
        <v/>
      </c>
      <c r="W48" s="24">
        <f>IF($E48="","",IF(AND($L48&gt;=0.5,$K48&lt;=0.5),"Risk-on",IF(OR($L48&lt;=-0.5,$K48&gt;=1),"Risk-off","Neutral")))</f>
        <v/>
      </c>
      <c r="X48" s="24">
        <f>IF($E48="","",IF(AND(IFERROR(INDEX(Lib_Importance,$Z48),0)&gt;=4,ABS($I48)&gt;=1),"High",IF(ABS($I48)&lt;0.5,"Low","Medium")))</f>
        <v/>
      </c>
      <c r="Z48" s="32">
        <f>IF('Data Tracker'!$D48="","",IFERROR(MATCH('Data Tracker'!$D48,Lib_Name,0),""))</f>
        <v/>
      </c>
    </row>
    <row r="50" ht="16" customHeight="1">
      <c r="A50" s="4" t="inlineStr">
        <is>
          <t>How to read it</t>
        </is>
      </c>
    </row>
    <row r="51" ht="25" customHeight="1">
      <c r="A51" s="5" t="inlineStr">
        <is>
          <t>Arrows show the USUAL first-order reaction to that surprise: ⇈ strong up · ↑ up · ↔ neutral · ↓ down · ⇊ strong down. UST px is the inverse of UST yld (prices fall when yields rise).</t>
        </is>
      </c>
    </row>
    <row r="52" ht="37" customHeight="1">
      <c r="A52" s="5" t="inlineStr">
        <is>
          <t>Infl.imp (column K) is the hawkish impulse: positive = hawkish/inflationary, negative = dovish. The Fed Tracker averages these by category to build its bias score. GCC is shown as an oil/growth proxy - the dedicated GCC read comes with the Oil and USD modules in the next build phase.</t>
        </is>
      </c>
    </row>
  </sheetData>
  <mergeCells count="7">
    <mergeCell ref="A3:X3"/>
    <mergeCell ref="A50:X50"/>
    <mergeCell ref="A2:X2"/>
    <mergeCell ref="A52:X52"/>
    <mergeCell ref="A51:X51"/>
    <mergeCell ref="A1:X1"/>
    <mergeCell ref="A6:X6"/>
  </mergeCells>
  <conditionalFormatting sqref="J9:J48">
    <cfRule type="cellIs" priority="1" operator="equal" dxfId="1">
      <formula>"Hot"</formula>
    </cfRule>
    <cfRule type="cellIs" priority="2" operator="equal" dxfId="2">
      <formula>"Cold"</formula>
    </cfRule>
    <cfRule type="cellIs" priority="3" operator="equal" dxfId="3">
      <formula>"Neutral"</formula>
    </cfRule>
  </conditionalFormatting>
  <conditionalFormatting sqref="M9:M48">
    <cfRule type="cellIs" priority="4" operator="equal" dxfId="4">
      <formula>"Inflationary"</formula>
    </cfRule>
    <cfRule type="cellIs" priority="5" operator="equal" dxfId="0">
      <formula>"Disinflationary"</formula>
    </cfRule>
    <cfRule type="cellIs" priority="6" operator="equal" dxfId="3">
      <formula>"Neutral"</formula>
    </cfRule>
  </conditionalFormatting>
  <conditionalFormatting sqref="N9:N48">
    <cfRule type="cellIs" priority="7" operator="equal" dxfId="0">
      <formula>"Growth+"</formula>
    </cfRule>
    <cfRule type="cellIs" priority="8" operator="equal" dxfId="4">
      <formula>"Growth-"</formula>
    </cfRule>
    <cfRule type="cellIs" priority="9" operator="equal" dxfId="3">
      <formula>"Neutral"</formula>
    </cfRule>
  </conditionalFormatting>
  <conditionalFormatting sqref="W9:W48">
    <cfRule type="cellIs" priority="10" operator="equal" dxfId="0">
      <formula>"Risk-on"</formula>
    </cfRule>
    <cfRule type="cellIs" priority="11" operator="equal" dxfId="3">
      <formula>"Neutral"</formula>
    </cfRule>
    <cfRule type="cellIs" priority="12" operator="equal" dxfId="4">
      <formula>"Risk-off"</formula>
    </cfRule>
  </conditionalFormatting>
  <conditionalFormatting sqref="X9:X48">
    <cfRule type="cellIs" priority="13" operator="equal" dxfId="0">
      <formula>"High"</formula>
    </cfRule>
    <cfRule type="cellIs" priority="14" operator="equal" dxfId="1">
      <formula>"Medium"</formula>
    </cfRule>
    <cfRule type="cellIs" priority="15" operator="equal" dxfId="3">
      <formula>"Low"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H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FED &amp; CENTRAL BANK TRACKER</t>
        </is>
      </c>
    </row>
    <row r="2">
      <c r="A2" s="2" t="inlineStr">
        <is>
          <t>What the Fed is doing, saying, and our hawkish/dovish score</t>
        </is>
      </c>
    </row>
    <row r="3">
      <c r="A3" s="3" t="inlineStr">
        <is>
          <t>Macro Market Intelligence System  -  v0.9 (core)</t>
        </is>
      </c>
    </row>
    <row r="5">
      <c r="A5" s="15" t="inlineStr">
        <is>
          <t>Cover</t>
        </is>
      </c>
      <c r="B5" s="15" t="inlineStr">
        <is>
          <t>Settings</t>
        </is>
      </c>
      <c r="C5" s="15" t="inlineStr">
        <is>
          <t>Impact Library</t>
        </is>
      </c>
      <c r="D5" s="15" t="inlineStr">
        <is>
          <t>Data Tracker</t>
        </is>
      </c>
      <c r="E5" s="15" t="inlineStr">
        <is>
          <t>Surprise Engine</t>
        </is>
      </c>
      <c r="F5" s="15" t="inlineStr">
        <is>
          <t>Fed Tracker</t>
        </is>
      </c>
    </row>
    <row r="8" ht="16" customHeight="1">
      <c r="A8" s="4" t="inlineStr">
        <is>
          <t>What this sheet does</t>
        </is>
      </c>
    </row>
    <row r="9" ht="37" customHeight="1">
      <c r="A9" s="5" t="inlineStr">
        <is>
          <t>The score blends seven inputs (each -2 dovish .. +2 hawkish): inflation, labor and growth surprises come straight from the Surprise Engine; the rest you set from Fed speeches and market moves. Weights live on Settings. Composite &gt;= +1 = Hawkish, &lt;= -1 = Dovish.</t>
        </is>
      </c>
    </row>
    <row r="12" ht="18" customHeight="1">
      <c r="A12" s="6" t="inlineStr">
        <is>
          <t>Policy state</t>
        </is>
      </c>
    </row>
    <row r="13">
      <c r="A13" s="7" t="inlineStr">
        <is>
          <t>Fed funds target range</t>
        </is>
      </c>
      <c r="C13" s="18" t="n">
        <v>4.25</v>
      </c>
      <c r="D13" s="18" t="n">
        <v>4.5</v>
      </c>
      <c r="E13" s="14" t="inlineStr">
        <is>
          <t>% lower / upper bound</t>
        </is>
      </c>
    </row>
    <row r="14">
      <c r="A14" s="7" t="inlineStr">
        <is>
          <t>Last decision</t>
        </is>
      </c>
      <c r="C14" s="8" t="inlineStr">
        <is>
          <t>Hold</t>
        </is>
      </c>
      <c r="D14" s="9" t="n"/>
    </row>
    <row r="15">
      <c r="A15" s="7" t="inlineStr">
        <is>
          <t>Last meeting date</t>
        </is>
      </c>
      <c r="C15" s="26" t="n">
        <v>46191</v>
      </c>
      <c r="D15" s="9" t="n"/>
    </row>
    <row r="16">
      <c r="A16" s="7" t="inlineStr">
        <is>
          <t>Next FOMC date</t>
        </is>
      </c>
      <c r="C16" s="26" t="n">
        <v>46232</v>
      </c>
      <c r="D16" s="9" t="n"/>
    </row>
    <row r="17">
      <c r="A17" s="7" t="inlineStr">
        <is>
          <t>Days to next FOMC</t>
        </is>
      </c>
      <c r="C17" s="33">
        <f>IF(C16="","",C16-TODAY())</f>
        <v/>
      </c>
      <c r="E17" s="14" t="inlineStr">
        <is>
          <t>counts down automatically</t>
        </is>
      </c>
    </row>
    <row r="18">
      <c r="A18" s="7" t="inlineStr">
        <is>
          <t>Market-implied path change (bps)</t>
        </is>
      </c>
      <c r="C18" s="34" t="n">
        <v>0</v>
      </c>
      <c r="D18" s="9" t="n"/>
      <c r="E18" s="14" t="inlineStr">
        <is>
          <t>+ = market priced more hawkish since last meeting</t>
        </is>
      </c>
    </row>
    <row r="19">
      <c r="A19" s="7" t="inlineStr">
        <is>
          <t>Cuts priced this year</t>
        </is>
      </c>
      <c r="C19" s="34" t="n">
        <v>0</v>
      </c>
      <c r="D19" s="9" t="n"/>
    </row>
    <row r="20">
      <c r="A20" s="7" t="inlineStr">
        <is>
          <t>Dot-plot direction</t>
        </is>
      </c>
      <c r="C20" s="8" t="inlineStr">
        <is>
          <t>Fewer cuts</t>
        </is>
      </c>
      <c r="D20" s="9" t="n"/>
    </row>
    <row r="21">
      <c r="A21" s="7" t="inlineStr">
        <is>
          <t>2Y yield move since last (bps)</t>
        </is>
      </c>
      <c r="C21" s="34" t="n">
        <v>0</v>
      </c>
      <c r="D21" s="9" t="n"/>
    </row>
    <row r="22">
      <c r="A22" s="7" t="inlineStr">
        <is>
          <t>10Y real-yield move (bps)</t>
        </is>
      </c>
      <c r="C22" s="34" t="n">
        <v>0</v>
      </c>
      <c r="D22" s="9" t="n"/>
    </row>
    <row r="23">
      <c r="A23" s="7" t="inlineStr">
        <is>
          <t>Balance sheet / QT</t>
        </is>
      </c>
      <c r="C23" s="27" t="inlineStr">
        <is>
          <t>QT ongoing at a reduced pace; balance-sheet runoff continues.</t>
        </is>
      </c>
      <c r="D23" s="35" t="n"/>
      <c r="E23" s="35" t="n"/>
      <c r="F23" s="35" t="n"/>
      <c r="G23" s="35" t="n"/>
      <c r="H23" s="9" t="n"/>
    </row>
    <row r="25" ht="18" customHeight="1">
      <c r="A25" s="6" t="inlineStr">
        <is>
          <t>Fed speech log (tone: -2 dovish .. +2 hawkish)</t>
        </is>
      </c>
    </row>
    <row r="26">
      <c r="A26" s="16" t="inlineStr">
        <is>
          <t>Date</t>
        </is>
      </c>
      <c r="B26" s="16" t="inlineStr">
        <is>
          <t>Speaker</t>
        </is>
      </c>
      <c r="D26" s="17" t="inlineStr">
        <is>
          <t>Tone</t>
        </is>
      </c>
      <c r="E26" s="16" t="inlineStr">
        <is>
          <t>Comment / takeaway</t>
        </is>
      </c>
    </row>
    <row r="27">
      <c r="A27" s="26" t="n"/>
      <c r="B27" s="27" t="n"/>
      <c r="C27" s="9" t="n"/>
      <c r="D27" s="34" t="n"/>
      <c r="E27" s="27" t="n"/>
      <c r="F27" s="35" t="n"/>
      <c r="G27" s="35" t="n"/>
      <c r="H27" s="9" t="n"/>
    </row>
    <row r="28">
      <c r="A28" s="26" t="n"/>
      <c r="B28" s="27" t="n"/>
      <c r="C28" s="9" t="n"/>
      <c r="D28" s="34" t="n"/>
      <c r="E28" s="27" t="n"/>
      <c r="F28" s="35" t="n"/>
      <c r="G28" s="35" t="n"/>
      <c r="H28" s="9" t="n"/>
    </row>
    <row r="29">
      <c r="A29" s="26" t="n"/>
      <c r="B29" s="27" t="n"/>
      <c r="C29" s="9" t="n"/>
      <c r="D29" s="34" t="n"/>
      <c r="E29" s="27" t="n"/>
      <c r="F29" s="35" t="n"/>
      <c r="G29" s="35" t="n"/>
      <c r="H29" s="9" t="n"/>
    </row>
    <row r="30">
      <c r="A30" s="26" t="n"/>
      <c r="B30" s="27" t="n"/>
      <c r="C30" s="9" t="n"/>
      <c r="D30" s="34" t="n"/>
      <c r="E30" s="27" t="n"/>
      <c r="F30" s="35" t="n"/>
      <c r="G30" s="35" t="n"/>
      <c r="H30" s="9" t="n"/>
    </row>
    <row r="31">
      <c r="A31" s="26" t="n"/>
      <c r="B31" s="27" t="n"/>
      <c r="C31" s="9" t="n"/>
      <c r="D31" s="34" t="n"/>
      <c r="E31" s="27" t="n"/>
      <c r="F31" s="35" t="n"/>
      <c r="G31" s="35" t="n"/>
      <c r="H31" s="9" t="n"/>
    </row>
    <row r="32">
      <c r="A32" s="26" t="n"/>
      <c r="B32" s="27" t="n"/>
      <c r="C32" s="9" t="n"/>
      <c r="D32" s="34" t="n"/>
      <c r="E32" s="27" t="n"/>
      <c r="F32" s="35" t="n"/>
      <c r="G32" s="35" t="n"/>
      <c r="H32" s="9" t="n"/>
    </row>
    <row r="34" ht="18" customHeight="1">
      <c r="A34" s="6" t="inlineStr">
        <is>
          <t>Hawkish / dovish score</t>
        </is>
      </c>
    </row>
    <row r="35">
      <c r="A35" s="16" t="inlineStr">
        <is>
          <t>Sub-score</t>
        </is>
      </c>
      <c r="C35" s="17" t="inlineStr">
        <is>
          <t>Score</t>
        </is>
      </c>
      <c r="D35" s="17" t="inlineStr">
        <is>
          <t>Weight</t>
        </is>
      </c>
      <c r="E35" s="17" t="inlineStr">
        <is>
          <t>Contribution</t>
        </is>
      </c>
      <c r="F35" s="16" t="inlineStr">
        <is>
          <t>Source</t>
        </is>
      </c>
    </row>
    <row r="36">
      <c r="A36" s="7" t="inlineStr">
        <is>
          <t>Inflation surprises</t>
        </is>
      </c>
      <c r="C36" s="31">
        <f>MEDIAN(-2,IFERROR(AVERAGEIF(SUR_CAT,"Inflation",SUR_INFLIMP),0),2)</f>
        <v/>
      </c>
      <c r="D36" s="31">
        <f>INDEX(Fed_Weights,1)</f>
        <v/>
      </c>
      <c r="E36" s="31">
        <f>C36*D36</f>
        <v/>
      </c>
      <c r="F36" s="14" t="inlineStr">
        <is>
          <t>Surprise Engine - Inflation category</t>
        </is>
      </c>
    </row>
    <row r="37">
      <c r="A37" s="7" t="inlineStr">
        <is>
          <t>Labor-market strength</t>
        </is>
      </c>
      <c r="C37" s="31">
        <f>MEDIAN(-2,IFERROR(AVERAGEIF(SUR_CAT,"Labor",SUR_INFLIMP),0),2)</f>
        <v/>
      </c>
      <c r="D37" s="31">
        <f>INDEX(Fed_Weights,2)</f>
        <v/>
      </c>
      <c r="E37" s="31">
        <f>C37*D37</f>
        <v/>
      </c>
      <c r="F37" s="14" t="inlineStr">
        <is>
          <t>Surprise Engine - Labor category</t>
        </is>
      </c>
    </row>
    <row r="38">
      <c r="A38" s="7" t="inlineStr">
        <is>
          <t>Growth strength</t>
        </is>
      </c>
      <c r="C38" s="31">
        <f>MEDIAN(-2,IFERROR(AVERAGEIF(SUR_CAT,"Growth",SUR_GROWIMP),0),2)</f>
        <v/>
      </c>
      <c r="D38" s="31">
        <f>INDEX(Fed_Weights,3)</f>
        <v/>
      </c>
      <c r="E38" s="31">
        <f>C38*D38</f>
        <v/>
      </c>
      <c r="F38" s="14" t="inlineStr">
        <is>
          <t>Surprise Engine - Growth category</t>
        </is>
      </c>
    </row>
    <row r="39">
      <c r="A39" s="7" t="inlineStr">
        <is>
          <t>Fed-speech tone</t>
        </is>
      </c>
      <c r="C39" s="31">
        <f>MEDIAN(-2,IFERROR(AVERAGE(D27:D32),0),2)</f>
        <v/>
      </c>
      <c r="D39" s="31">
        <f>INDEX(Fed_Weights,4)</f>
        <v/>
      </c>
      <c r="E39" s="31">
        <f>C39*D39</f>
        <v/>
      </c>
      <c r="F39" s="14" t="inlineStr">
        <is>
          <t>average of the speech tones above</t>
        </is>
      </c>
    </row>
    <row r="40">
      <c r="A40" s="7" t="inlineStr">
        <is>
          <t>Market-implied rate change</t>
        </is>
      </c>
      <c r="C40" s="31">
        <f>IF(C18&gt;=15,2,IF(C18&gt;=5,1,IF(C18&gt;-5,0,IF(C18&gt;-15,-1,-2))))</f>
        <v/>
      </c>
      <c r="D40" s="31">
        <f>INDEX(Fed_Weights,5)</f>
        <v/>
      </c>
      <c r="E40" s="31">
        <f>C40*D40</f>
        <v/>
      </c>
      <c r="F40" s="14" t="inlineStr">
        <is>
          <t>market-implied path change (bps)</t>
        </is>
      </c>
    </row>
    <row r="41">
      <c r="A41" s="7" t="inlineStr">
        <is>
          <t>Yield-curve move (2Y)</t>
        </is>
      </c>
      <c r="C41" s="31">
        <f>IF(C21&gt;=15,2,IF(C21&gt;=5,1,IF(C21&gt;-5,0,IF(C21&gt;-15,-1,-2))))</f>
        <v/>
      </c>
      <c r="D41" s="31">
        <f>INDEX(Fed_Weights,6)</f>
        <v/>
      </c>
      <c r="E41" s="31">
        <f>C41*D41</f>
        <v/>
      </c>
      <c r="F41" s="14" t="inlineStr">
        <is>
          <t>2Y yield move (bps)</t>
        </is>
      </c>
    </row>
    <row r="42">
      <c r="A42" s="7" t="inlineStr">
        <is>
          <t>Real-yield move (10Y)</t>
        </is>
      </c>
      <c r="C42" s="31">
        <f>IF(C22&gt;=15,2,IF(C22&gt;=5,1,IF(C22&gt;-5,0,IF(C22&gt;-15,-1,-2))))</f>
        <v/>
      </c>
      <c r="D42" s="31">
        <f>INDEX(Fed_Weights,7)</f>
        <v/>
      </c>
      <c r="E42" s="31">
        <f>C42*D42</f>
        <v/>
      </c>
      <c r="F42" s="14" t="inlineStr">
        <is>
          <t>10Y real-yield move (bps)</t>
        </is>
      </c>
    </row>
    <row r="43">
      <c r="A43" s="19" t="inlineStr">
        <is>
          <t>COMPOSITE FED SCORE</t>
        </is>
      </c>
      <c r="B43" s="36" t="n"/>
      <c r="C43" s="20">
        <f>SUMPRODUCT(Fed_SubScores,Fed_Weights)</f>
        <v/>
      </c>
      <c r="E43" s="20">
        <f>SUM(E36:E42)</f>
        <v/>
      </c>
      <c r="F43" s="14" t="inlineStr">
        <is>
          <t>(equals SUMPRODUCT of scores x weights)</t>
        </is>
      </c>
    </row>
    <row r="44">
      <c r="A44" s="7" t="inlineStr">
        <is>
          <t>FED POLICY BIAS</t>
        </is>
      </c>
      <c r="C44" s="37">
        <f>IF(C43&gt;=1.0,"Hawkish",IF(C43&gt;=0.33,"Mildly hawkish",IF(C43&gt;=-0.33,"Neutral",IF(C43&gt;=-1.0,"Mildly dovish","Dovish"))))</f>
        <v/>
      </c>
      <c r="D44" s="38" t="n"/>
      <c r="E44" s="10">
        <f>"Score "&amp;TEXT(Score_Fed,"+0.00;-0.00;0.00")&amp;" / band from Settings"</f>
        <v/>
      </c>
    </row>
    <row r="46" ht="18" customHeight="1">
      <c r="A46" s="6" t="inlineStr">
        <is>
          <t>Other major central banks</t>
        </is>
      </c>
    </row>
    <row r="47">
      <c r="A47" s="16" t="inlineStr">
        <is>
          <t>Central bank</t>
        </is>
      </c>
      <c r="C47" s="17" t="inlineStr">
        <is>
          <t>Bias</t>
        </is>
      </c>
      <c r="E47" s="16" t="inlineStr">
        <is>
          <t>Note</t>
        </is>
      </c>
    </row>
    <row r="48">
      <c r="A48" s="7" t="inlineStr">
        <is>
          <t>ECB</t>
        </is>
      </c>
      <c r="C48" s="8" t="inlineStr">
        <is>
          <t>Mildly dovish</t>
        </is>
      </c>
      <c r="D48" s="9" t="n"/>
      <c r="E48" s="27" t="inlineStr">
        <is>
          <t>Cutting gradually as inflation eases</t>
        </is>
      </c>
      <c r="F48" s="35" t="n"/>
      <c r="G48" s="35" t="n"/>
      <c r="H48" s="9" t="n"/>
    </row>
    <row r="49">
      <c r="A49" s="7" t="inlineStr">
        <is>
          <t>BOE</t>
        </is>
      </c>
      <c r="C49" s="8" t="inlineStr">
        <is>
          <t>Neutral</t>
        </is>
      </c>
      <c r="D49" s="9" t="n"/>
      <c r="E49" s="27" t="inlineStr">
        <is>
          <t>Data-dependent; services inflation still sticky</t>
        </is>
      </c>
      <c r="F49" s="35" t="n"/>
      <c r="G49" s="35" t="n"/>
      <c r="H49" s="9" t="n"/>
    </row>
    <row r="50">
      <c r="A50" s="7" t="inlineStr">
        <is>
          <t>SNB</t>
        </is>
      </c>
      <c r="C50" s="8" t="inlineStr">
        <is>
          <t>Dovish</t>
        </is>
      </c>
      <c r="D50" s="9" t="n"/>
      <c r="E50" s="27" t="inlineStr">
        <is>
          <t>Low inflation, easing bias</t>
        </is>
      </c>
      <c r="F50" s="35" t="n"/>
      <c r="G50" s="35" t="n"/>
      <c r="H50" s="9" t="n"/>
    </row>
    <row r="51">
      <c r="A51" s="7" t="inlineStr">
        <is>
          <t>BOJ</t>
        </is>
      </c>
      <c r="C51" s="8" t="inlineStr">
        <is>
          <t>Mildly hawkish</t>
        </is>
      </c>
      <c r="D51" s="9" t="n"/>
      <c r="E51" s="27" t="inlineStr">
        <is>
          <t>Normalizing policy very slowly</t>
        </is>
      </c>
      <c r="F51" s="35" t="n"/>
      <c r="G51" s="35" t="n"/>
      <c r="H51" s="9" t="n"/>
    </row>
  </sheetData>
  <mergeCells count="65">
    <mergeCell ref="A9:H9"/>
    <mergeCell ref="E26:H26"/>
    <mergeCell ref="F36:H36"/>
    <mergeCell ref="F42:H42"/>
    <mergeCell ref="C15:D15"/>
    <mergeCell ref="F41:H41"/>
    <mergeCell ref="F35:H35"/>
    <mergeCell ref="C14:D14"/>
    <mergeCell ref="A36:B36"/>
    <mergeCell ref="B31:C31"/>
    <mergeCell ref="A1:H1"/>
    <mergeCell ref="B27:C27"/>
    <mergeCell ref="E32:H32"/>
    <mergeCell ref="C20:D20"/>
    <mergeCell ref="F38:H38"/>
    <mergeCell ref="E18:H18"/>
    <mergeCell ref="C16:D16"/>
    <mergeCell ref="E47:H47"/>
    <mergeCell ref="A25:H25"/>
    <mergeCell ref="A41:B41"/>
    <mergeCell ref="E50:H50"/>
    <mergeCell ref="C23:H23"/>
    <mergeCell ref="A37:B37"/>
    <mergeCell ref="F43:H43"/>
    <mergeCell ref="C44:D44"/>
    <mergeCell ref="C50:D50"/>
    <mergeCell ref="C22:D22"/>
    <mergeCell ref="A46:H46"/>
    <mergeCell ref="A40:B40"/>
    <mergeCell ref="F37:H37"/>
    <mergeCell ref="F39:H39"/>
    <mergeCell ref="A12:H12"/>
    <mergeCell ref="A3:H3"/>
    <mergeCell ref="E17:H17"/>
    <mergeCell ref="E48:H48"/>
    <mergeCell ref="C21:D21"/>
    <mergeCell ref="B29:C29"/>
    <mergeCell ref="C51:D51"/>
    <mergeCell ref="A2:H2"/>
    <mergeCell ref="E51:H51"/>
    <mergeCell ref="B28:C28"/>
    <mergeCell ref="A42:B42"/>
    <mergeCell ref="E44:H44"/>
    <mergeCell ref="E29:H29"/>
    <mergeCell ref="C48:D48"/>
    <mergeCell ref="C17:D17"/>
    <mergeCell ref="A8:H8"/>
    <mergeCell ref="E28:H28"/>
    <mergeCell ref="E13:H13"/>
    <mergeCell ref="B30:C30"/>
    <mergeCell ref="A38:B38"/>
    <mergeCell ref="B26:C26"/>
    <mergeCell ref="E31:H31"/>
    <mergeCell ref="A43:B43"/>
    <mergeCell ref="C19:D19"/>
    <mergeCell ref="E30:H30"/>
    <mergeCell ref="F40:H40"/>
    <mergeCell ref="B32:C32"/>
    <mergeCell ref="A44:B44"/>
    <mergeCell ref="C18:D18"/>
    <mergeCell ref="E49:H49"/>
    <mergeCell ref="E27:H27"/>
    <mergeCell ref="A39:B39"/>
    <mergeCell ref="C49:D49"/>
    <mergeCell ref="A34:H34"/>
  </mergeCells>
  <conditionalFormatting sqref="C44">
    <cfRule type="cellIs" priority="1" operator="equal" dxfId="4">
      <formula>"Hawkish"</formula>
    </cfRule>
    <cfRule type="cellIs" priority="2" operator="equal" dxfId="1">
      <formula>"Mildly hawkish"</formula>
    </cfRule>
    <cfRule type="cellIs" priority="3" operator="equal" dxfId="3">
      <formula>"Neutral"</formula>
    </cfRule>
    <cfRule type="cellIs" priority="4" operator="equal" dxfId="5">
      <formula>"Mildly dovish"</formula>
    </cfRule>
    <cfRule type="cellIs" priority="5" operator="equal" dxfId="0">
      <formula>"Dovish"</formula>
    </cfRule>
  </conditionalFormatting>
  <conditionalFormatting sqref="C48">
    <cfRule type="cellIs" priority="6" operator="equal" dxfId="4">
      <formula>"Hawkish"</formula>
    </cfRule>
    <cfRule type="cellIs" priority="7" operator="equal" dxfId="1">
      <formula>"Mildly hawkish"</formula>
    </cfRule>
    <cfRule type="cellIs" priority="8" operator="equal" dxfId="3">
      <formula>"Neutral"</formula>
    </cfRule>
    <cfRule type="cellIs" priority="9" operator="equal" dxfId="5">
      <formula>"Mildly dovish"</formula>
    </cfRule>
    <cfRule type="cellIs" priority="10" operator="equal" dxfId="0">
      <formula>"Dovish"</formula>
    </cfRule>
  </conditionalFormatting>
  <conditionalFormatting sqref="C49">
    <cfRule type="cellIs" priority="11" operator="equal" dxfId="4">
      <formula>"Hawkish"</formula>
    </cfRule>
    <cfRule type="cellIs" priority="12" operator="equal" dxfId="1">
      <formula>"Mildly hawkish"</formula>
    </cfRule>
    <cfRule type="cellIs" priority="13" operator="equal" dxfId="3">
      <formula>"Neutral"</formula>
    </cfRule>
    <cfRule type="cellIs" priority="14" operator="equal" dxfId="5">
      <formula>"Mildly dovish"</formula>
    </cfRule>
    <cfRule type="cellIs" priority="15" operator="equal" dxfId="0">
      <formula>"Dovish"</formula>
    </cfRule>
  </conditionalFormatting>
  <conditionalFormatting sqref="C50">
    <cfRule type="cellIs" priority="16" operator="equal" dxfId="4">
      <formula>"Hawkish"</formula>
    </cfRule>
    <cfRule type="cellIs" priority="17" operator="equal" dxfId="1">
      <formula>"Mildly hawkish"</formula>
    </cfRule>
    <cfRule type="cellIs" priority="18" operator="equal" dxfId="3">
      <formula>"Neutral"</formula>
    </cfRule>
    <cfRule type="cellIs" priority="19" operator="equal" dxfId="5">
      <formula>"Mildly dovish"</formula>
    </cfRule>
    <cfRule type="cellIs" priority="20" operator="equal" dxfId="0">
      <formula>"Dovish"</formula>
    </cfRule>
  </conditionalFormatting>
  <conditionalFormatting sqref="C51">
    <cfRule type="cellIs" priority="21" operator="equal" dxfId="4">
      <formula>"Hawkish"</formula>
    </cfRule>
    <cfRule type="cellIs" priority="22" operator="equal" dxfId="1">
      <formula>"Mildly hawkish"</formula>
    </cfRule>
    <cfRule type="cellIs" priority="23" operator="equal" dxfId="3">
      <formula>"Neutral"</formula>
    </cfRule>
    <cfRule type="cellIs" priority="24" operator="equal" dxfId="5">
      <formula>"Mildly dovish"</formula>
    </cfRule>
    <cfRule type="cellIs" priority="25" operator="equal" dxfId="0">
      <formula>"Dovish"</formula>
    </cfRule>
  </conditionalFormatting>
  <dataValidations count="12">
    <dataValidation sqref="C14" showDropDown="0" showInputMessage="0" showErrorMessage="1" allowBlank="1" type="list">
      <formula1>"Hike,Hold,Cut"</formula1>
    </dataValidation>
    <dataValidation sqref="C20" showDropDown="0" showInputMessage="0" showErrorMessage="1" allowBlank="1" type="list">
      <formula1>"More hikes,Fewer cuts,On hold,More cuts,Cutting"</formula1>
    </dataValidation>
    <dataValidation sqref="D27" showDropDown="0" showInputMessage="0" showErrorMessage="1" allowBlank="1" type="list">
      <formula1>"-2,-1,0,1,2"</formula1>
    </dataValidation>
    <dataValidation sqref="D28" showDropDown="0" showInputMessage="0" showErrorMessage="1" allowBlank="1" type="list">
      <formula1>"-2,-1,0,1,2"</formula1>
    </dataValidation>
    <dataValidation sqref="D29" showDropDown="0" showInputMessage="0" showErrorMessage="1" allowBlank="1" type="list">
      <formula1>"-2,-1,0,1,2"</formula1>
    </dataValidation>
    <dataValidation sqref="D30" showDropDown="0" showInputMessage="0" showErrorMessage="1" allowBlank="1" type="list">
      <formula1>"-2,-1,0,1,2"</formula1>
    </dataValidation>
    <dataValidation sqref="D31" showDropDown="0" showInputMessage="0" showErrorMessage="1" allowBlank="1" type="list">
      <formula1>"-2,-1,0,1,2"</formula1>
    </dataValidation>
    <dataValidation sqref="D32" showDropDown="0" showInputMessage="0" showErrorMessage="1" allowBlank="1" type="list">
      <formula1>"-2,-1,0,1,2"</formula1>
    </dataValidation>
    <dataValidation sqref="C48" showDropDown="0" showInputMessage="0" showErrorMessage="1" allowBlank="1" type="list">
      <formula1>"Hawkish,Mildly hawkish,Neutral,Mildly dovish,Dovish"</formula1>
    </dataValidation>
    <dataValidation sqref="C49" showDropDown="0" showInputMessage="0" showErrorMessage="1" allowBlank="1" type="list">
      <formula1>"Hawkish,Mildly hawkish,Neutral,Mildly dovish,Dovish"</formula1>
    </dataValidation>
    <dataValidation sqref="C50" showDropDown="0" showInputMessage="0" showErrorMessage="1" allowBlank="1" type="list">
      <formula1>"Hawkish,Mildly hawkish,Neutral,Mildly dovish,Dovish"</formula1>
    </dataValidation>
    <dataValidation sqref="C51" showDropDown="0" showInputMessage="0" showErrorMessage="1" allowBlank="1" type="list">
      <formula1>"Hawkish,Mildly hawkish,Neutral,Mildly dovish,Dovish"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Macro Market Intelligence System v0.9 (core)</dc:creator>
  <dc:title>Macro Market Intelligence System</dc:title>
  <dcterms:created xsi:type="dcterms:W3CDTF">2026-07-06T07:39:00Z</dcterms:created>
  <dcterms:modified xsi:type="dcterms:W3CDTF">2026-07-06T07:39:00Z</dcterms:modified>
</cp:coreProperties>
</file>
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Inputs" sheetId="2" state="visible" r:id="rId2"/>
    <sheet name="Cash Flows" sheetId="3" state="visible" r:id="rId3"/>
    <sheet name="Price Basics" sheetId="4" state="visible" r:id="rId4"/>
    <sheet name="Yield Basics" sheetId="5" state="visible" r:id="rId5"/>
    <sheet name="Price &amp; Yield" sheetId="6" state="visible" r:id="rId6"/>
    <sheet name="Duration" sheetId="7" state="visible" r:id="rId7"/>
    <sheet name="DV01" sheetId="8" state="visible" r:id="rId8"/>
    <sheet name="Convexity" sheetId="9" state="visible" r:id="rId9"/>
    <sheet name="Rate Shock" sheetId="10" state="visible" r:id="rId10"/>
    <sheet name="Yield Curve" sheetId="11" state="visible" r:id="rId11"/>
    <sheet name="Valuation Summary" sheetId="12" state="visible" r:id="rId12"/>
    <sheet name="Is It Attractive" sheetId="13" state="visible" r:id="rId13"/>
    <sheet name="Recommendation" sheetId="14" state="visible" r:id="rId14"/>
    <sheet name="Glossary" sheetId="15" state="visible" r:id="rId15"/>
    <sheet name="Formula Explanations" sheetId="16" state="visible" r:id="rId16"/>
    <sheet name="Quality Check" sheetId="17" state="visible" r:id="rId17"/>
    <sheet name="Limitations" sheetId="18" state="visible" r:id="rId18"/>
  </sheets>
  <definedNames>
    <definedName name="BondName">'Inputs'!$B$15</definedName>
    <definedName name="Issuer">'Inputs'!$B$16</definedName>
    <definedName name="Ccy">'Inputs'!$B$17</definedName>
    <definedName name="SecType">'Inputs'!$B$18</definedName>
    <definedName name="Face">'Inputs'!$B$20</definedName>
    <definedName name="PosSize">'Inputs'!$B$21</definedName>
    <definedName name="Cpn">'Inputs'!$B$22</definedName>
    <definedName name="FreqName">'Inputs'!$B$23</definedName>
    <definedName name="Basis">'Inputs'!$B$24</definedName>
    <definedName name="IssueDate">'Inputs'!$B$25</definedName>
    <definedName name="Settle">'Inputs'!$B$26</definedName>
    <definedName name="Mat">'Inputs'!$B$27</definedName>
    <definedName name="MktClean">'Inputs'!$B$29</definedName>
    <definedName name="MktYTM">'Inputs'!$B$30</definedName>
    <definedName name="BenchYield">'Inputs'!$B$31</definedName>
    <definedName name="RateOutlook">'Inputs'!$B$33</definedName>
    <definedName name="Analyst">'Inputs'!$B$34</definedName>
    <definedName name="AnalysisDate">'Inputs'!$B$35</definedName>
    <definedName name="IsZero">'Inputs'!$B$37</definedName>
    <definedName name="Freq">'Inputs'!$B$38</definedName>
    <definedName name="EffCoupon">'Inputs'!$B$39</definedName>
    <definedName name="YrsToMat">'Inputs'!$B$40</definedName>
    <definedName name="InputWarn">'Inputs'!$B$41</definedName>
    <definedName name="Ncoup">'Cash Flows'!$B$15</definedName>
    <definedName name="Ncd">'Cash Flows'!$B$16</definedName>
    <definedName name="Wfrac">'Cash Flows'!$B$17</definedName>
    <definedName name="DirtyCF">'Cash Flows'!$B$85</definedName>
    <definedName name="MacaulayCF">'Cash Flows'!$B$86</definedName>
    <definedName name="Convexity">'Cash Flows'!$B$87</definedName>
    <definedName name="CleanPrice">'Price Basics'!$B$15</definedName>
    <definedName name="Accrued">'Price Basics'!$B$19</definedName>
    <definedName name="Dirty">'Price Basics'!$B$24</definedName>
    <definedName name="YTM">'Yield Basics'!$B$15</definedName>
    <definedName name="CurrentYield">'Yield Basics'!$B$19</definedName>
    <definedName name="PremDisc">'Yield Basics'!$B$23</definedName>
    <definedName name="Spread">'Yield Basics'!$B$30</definedName>
    <definedName name="SpreadBps">'Yield Basics'!$B$31</definedName>
    <definedName name="TestYield">'Price &amp; Yield'!$B$19</definedName>
    <definedName name="TheoClean">'Price &amp; Yield'!$B$20</definedName>
    <definedName name="TheoDirty">'Price &amp; Yield'!$B$22</definedName>
    <definedName name="PriceDiff">'Price &amp; Yield'!$B$23</definedName>
    <definedName name="CheapFair">'Price &amp; Yield'!$B$24</definedName>
    <definedName name="MacDur">'Duration'!$B$13</definedName>
    <definedName name="ModDur">'Duration'!$B$19</definedName>
    <definedName name="DV01">'DV01'!$B$14</definedName>
    <definedName name="DV01Pos">'DV01'!$B$19</definedName>
    <definedName name="ConvexityView">'Convexity'!$B$14</definedName>
    <definedName name="Y3M">'Yield Curve'!$B$15</definedName>
    <definedName name="Y2Y">'Yield Curve'!$B$16</definedName>
    <definedName name="Y5Y">'Yield Curve'!$B$17</definedName>
    <definedName name="Y10Y">'Yield Curve'!$B$18</definedName>
    <definedName name="Y30Y">'Yield Curve'!$B$19</definedName>
    <definedName name="CurveShape">'Yield Curve'!$B$25</definedName>
    <definedName name="AttractScore">'Is It Attractive'!$B$19</definedName>
    <definedName name="ModelView">'Is It Attractive'!$B$25</definedName>
    <definedName name="AnalystOverride">'Is It Attractive'!$C$30</definedName>
    <definedName name="FinalView">'Is It Attractive'!$B$31</definedName>
  </definedNames>
  <calcPr calcId="124519" fullCalcOnLoad="1"/>
</workbook>
</file>

<file path=xl/styles.xml><?xml version="1.0" encoding="utf-8"?>
<styleSheet xmlns="http://schemas.openxmlformats.org/spreadsheetml/2006/main">
  <numFmts count="6">
    <numFmt numFmtId="164" formatCode="yyyy-mm-dd"/>
    <numFmt numFmtId="165" formatCode="dd-mmm-yyyy"/>
    <numFmt numFmtId="166" formatCode="0.00&quot; yrs&quot;"/>
    <numFmt numFmtId="167" formatCode="#,##0.0000"/>
    <numFmt numFmtId="168" formatCode="0.000%"/>
    <numFmt numFmtId="169" formatCode="0.0&quot; bps&quot;"/>
  </numFmts>
  <fonts count="15">
    <font>
      <name val="Calibri"/>
      <family val="2"/>
      <color theme="1"/>
      <sz val="11"/>
      <scheme val="minor"/>
    </font>
    <font>
      <name val="Calibri"/>
      <b val="1"/>
      <color rgb="00FFFFFF"/>
      <sz val="18"/>
    </font>
    <font>
      <name val="Calibri"/>
      <color rgb="00FFFFFF"/>
      <sz val="11"/>
    </font>
    <font>
      <name val="Calibri"/>
      <color rgb="006B7986"/>
      <sz val="9"/>
    </font>
    <font>
      <name val="Calibri"/>
      <b val="1"/>
      <color rgb="00FFFFFF"/>
      <sz val="10"/>
    </font>
    <font>
      <name val="Calibri"/>
      <b val="1"/>
      <color rgb="0020303F"/>
      <sz val="9"/>
    </font>
    <font>
      <name val="Calibri"/>
      <color rgb="0020303F"/>
      <sz val="9"/>
    </font>
    <font>
      <name val="Calibri"/>
      <b val="1"/>
      <color rgb="0020303F"/>
      <sz val="10"/>
    </font>
    <font>
      <name val="Calibri"/>
      <color rgb="001A1A1A"/>
      <sz val="10"/>
    </font>
    <font>
      <name val="Calibri"/>
      <color rgb="000000FF"/>
      <sz val="10"/>
    </font>
    <font>
      <name val="Calibri"/>
      <b val="1"/>
      <color rgb="001F7A3D"/>
      <sz val="10"/>
    </font>
    <font>
      <name val="Calibri"/>
      <b val="1"/>
      <color rgb="00FFFFFF"/>
      <sz val="9"/>
    </font>
    <font>
      <name val="Calibri"/>
      <color rgb="001F7A3D"/>
      <sz val="10"/>
    </font>
    <font>
      <name val="Calibri"/>
      <b val="1"/>
      <color rgb="001F7A3D"/>
      <sz val="12"/>
    </font>
    <font>
      <name val="Calibri"/>
      <color rgb="0020303F"/>
      <sz val="10"/>
    </font>
  </fonts>
  <fills count="10">
    <fill>
      <patternFill/>
    </fill>
    <fill>
      <patternFill patternType="gray125"/>
    </fill>
    <fill>
      <patternFill patternType="solid">
        <fgColor rgb="001F3A5F"/>
        <bgColor rgb="001F3A5F"/>
      </patternFill>
    </fill>
    <fill>
      <patternFill patternType="solid">
        <fgColor rgb="004A789C"/>
        <bgColor rgb="004A789C"/>
      </patternFill>
    </fill>
    <fill>
      <patternFill patternType="solid">
        <fgColor rgb="00FFF8E1"/>
        <bgColor rgb="00FFF8E1"/>
      </patternFill>
    </fill>
    <fill>
      <patternFill patternType="solid">
        <fgColor rgb="00FFF7D6"/>
        <bgColor rgb="00FFF7D6"/>
      </patternFill>
    </fill>
    <fill>
      <patternFill patternType="solid">
        <fgColor rgb="00E2EFDA"/>
        <bgColor rgb="00E2EFDA"/>
      </patternFill>
    </fill>
    <fill>
      <patternFill patternType="solid">
        <fgColor rgb="002E5984"/>
        <bgColor rgb="002E5984"/>
      </patternFill>
    </fill>
    <fill>
      <patternFill patternType="solid">
        <fgColor rgb="00E8EEF4"/>
        <bgColor rgb="00E8EEF4"/>
      </patternFill>
    </fill>
    <fill>
      <patternFill patternType="solid">
        <fgColor rgb="00D6EAD9"/>
        <bgColor rgb="00D6EAD9"/>
      </patternFill>
    </fill>
  </fills>
  <borders count="13">
    <border>
      <left/>
      <right/>
      <top/>
      <bottom/>
      <diagonal/>
    </border>
    <border/>
    <border>
      <left style="medium">
        <color rgb="00E6C200"/>
      </left>
      <right style="medium">
        <color rgb="00E6C200"/>
      </right>
      <top style="medium">
        <color rgb="00E6C200"/>
      </top>
      <bottom style="medium">
        <color rgb="00E6C200"/>
      </bottom>
    </border>
    <border>
      <left style="thin">
        <color rgb="00D5DCE4"/>
      </left>
      <right style="thin">
        <color rgb="00D5DCE4"/>
      </right>
      <top style="thin">
        <color rgb="00D5DCE4"/>
      </top>
      <bottom style="thin">
        <color rgb="00D5DCE4"/>
      </bottom>
    </border>
    <border>
      <left/>
      <right/>
      <top style="thin">
        <color rgb="00D5DCE4"/>
      </top>
      <bottom/>
      <diagonal/>
    </border>
    <border>
      <left/>
      <right style="thin">
        <color rgb="00D5DCE4"/>
      </right>
      <top style="thin">
        <color rgb="00D5DCE4"/>
      </top>
      <bottom/>
      <diagonal/>
    </border>
    <border>
      <left/>
      <right style="thin">
        <color rgb="00D5DCE4"/>
      </right>
      <top style="thin">
        <color rgb="00D5DCE4"/>
      </top>
      <bottom style="thin">
        <color rgb="00D5DCE4"/>
      </bottom>
      <diagonal/>
    </border>
    <border>
      <left/>
      <right/>
      <top style="thin">
        <color rgb="00D5DCE4"/>
      </top>
      <bottom style="thin">
        <color rgb="00D5DCE4"/>
      </bottom>
      <diagonal/>
    </border>
    <border>
      <top style="medium">
        <color rgb="00B7C2CE"/>
      </top>
    </border>
    <border>
      <left style="medium">
        <color rgb="00B7C2CE"/>
      </left>
      <right style="medium">
        <color rgb="00B7C2CE"/>
      </right>
      <top style="medium">
        <color rgb="00B7C2CE"/>
      </top>
      <bottom style="medium">
        <color rgb="00B7C2CE"/>
      </bottom>
    </border>
    <border>
      <left/>
      <right/>
      <top style="medium">
        <color rgb="00B7C2CE"/>
      </top>
      <bottom/>
      <diagonal/>
    </border>
    <border>
      <left/>
      <right style="medium">
        <color rgb="00B7C2CE"/>
      </right>
      <top style="medium">
        <color rgb="00B7C2CE"/>
      </top>
      <bottom/>
      <diagonal/>
    </border>
    <border>
      <left/>
      <right style="medium">
        <color rgb="00B7C2CE"/>
      </right>
      <top style="medium">
        <color rgb="00B7C2CE"/>
      </top>
      <bottom style="medium">
        <color rgb="00B7C2CE"/>
      </bottom>
      <diagonal/>
    </border>
  </borders>
  <cellStyleXfs count="1">
    <xf numFmtId="0" fontId="0" fillId="0" borderId="0"/>
  </cellStyleXfs>
  <cellXfs count="64">
    <xf numFmtId="0" fontId="0" fillId="0" borderId="0" pivotButton="0" quotePrefix="0" xfId="0"/>
    <xf numFmtId="0" fontId="1" fillId="2" borderId="1" applyAlignment="1" pivotButton="0" quotePrefix="0" xfId="0">
      <alignment horizontal="left" vertical="center"/>
    </xf>
    <xf numFmtId="0" fontId="2" fillId="2" borderId="1" applyAlignment="1" pivotButton="0" quotePrefix="0" xfId="0">
      <alignment horizontal="left" vertical="center"/>
    </xf>
    <xf numFmtId="0" fontId="3" fillId="0" borderId="1" applyAlignment="1" pivotButton="0" quotePrefix="0" xfId="0">
      <alignment horizontal="left" vertical="center" wrapText="1"/>
    </xf>
    <xf numFmtId="0" fontId="4" fillId="3" borderId="1" applyAlignment="1" pivotButton="0" quotePrefix="0" xfId="0">
      <alignment horizontal="center" vertical="center"/>
    </xf>
    <xf numFmtId="0" fontId="5" fillId="4" borderId="2" applyAlignment="1" pivotButton="0" quotePrefix="0" xfId="0">
      <alignment horizontal="left" vertical="top" wrapText="1"/>
    </xf>
    <xf numFmtId="0" fontId="6" fillId="4" borderId="2" applyAlignment="1" pivotButton="0" quotePrefix="0" xfId="0">
      <alignment horizontal="left" vertical="top" wrapText="1"/>
    </xf>
    <xf numFmtId="0" fontId="4" fillId="3" borderId="1" applyAlignment="1" pivotButton="0" quotePrefix="0" xfId="0">
      <alignment horizontal="left" vertical="center"/>
    </xf>
    <xf numFmtId="0" fontId="3" fillId="0" borderId="1"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0" fontId="9" fillId="5" borderId="3" applyAlignment="1" applyProtection="1" pivotButton="0" quotePrefix="0" xfId="0">
      <alignment horizontal="center" vertical="center"/>
      <protection locked="0" hidden="0"/>
    </xf>
    <xf numFmtId="0" fontId="10" fillId="6" borderId="3" applyAlignment="1" pivotButton="0" quotePrefix="0" xfId="0">
      <alignment horizontal="left" vertical="center"/>
    </xf>
    <xf numFmtId="0" fontId="9" fillId="5" borderId="3" applyAlignment="1" applyProtection="1" pivotButton="0" quotePrefix="0" xfId="0">
      <alignment horizontal="left" vertical="center"/>
      <protection locked="0" hidden="0"/>
    </xf>
    <xf numFmtId="0" fontId="0" fillId="0" borderId="6" applyProtection="1" pivotButton="0" quotePrefix="0" xfId="0">
      <protection locked="0" hidden="0"/>
    </xf>
    <xf numFmtId="4" fontId="9" fillId="5" borderId="3" applyAlignment="1" applyProtection="1" pivotButton="0" quotePrefix="0" xfId="0">
      <alignment horizontal="right" vertical="center"/>
      <protection locked="0" hidden="0"/>
    </xf>
    <xf numFmtId="3" fontId="9" fillId="5" borderId="3" applyAlignment="1" applyProtection="1" pivotButton="0" quotePrefix="0" xfId="0">
      <alignment horizontal="right" vertical="center"/>
      <protection locked="0" hidden="0"/>
    </xf>
    <xf numFmtId="10" fontId="9" fillId="5" borderId="3" applyAlignment="1" applyProtection="1" pivotButton="0" quotePrefix="0" xfId="0">
      <alignment horizontal="right" vertical="center"/>
      <protection locked="0" hidden="0"/>
    </xf>
    <xf numFmtId="3" fontId="9" fillId="5" borderId="3" applyAlignment="1" applyProtection="1" pivotButton="0" quotePrefix="0" xfId="0">
      <alignment horizontal="center" vertical="center"/>
      <protection locked="0" hidden="0"/>
    </xf>
    <xf numFmtId="165" fontId="9" fillId="5" borderId="3" applyAlignment="1" applyProtection="1" pivotButton="0" quotePrefix="0" xfId="0">
      <alignment horizontal="center" vertical="center"/>
      <protection locked="0" hidden="0"/>
    </xf>
    <xf numFmtId="3" fontId="8" fillId="0" borderId="1" applyAlignment="1" pivotButton="0" quotePrefix="0" xfId="0">
      <alignment horizontal="right" vertical="center"/>
    </xf>
    <xf numFmtId="10" fontId="8" fillId="0" borderId="1" applyAlignment="1" pivotButton="0" quotePrefix="0" xfId="0">
      <alignment horizontal="right" vertical="center"/>
    </xf>
    <xf numFmtId="166" fontId="8" fillId="0" borderId="1" applyAlignment="1" pivotButton="0" quotePrefix="0" xfId="0">
      <alignment horizontal="right" vertical="center"/>
    </xf>
    <xf numFmtId="0" fontId="7" fillId="0" borderId="3" applyAlignment="1" pivotButton="0" quotePrefix="0" xfId="0">
      <alignment horizontal="center" vertical="center"/>
    </xf>
    <xf numFmtId="0" fontId="0" fillId="0" borderId="7" pivotButton="0" quotePrefix="0" xfId="0"/>
    <xf numFmtId="0" fontId="0" fillId="0" borderId="6" pivotButton="0" quotePrefix="0" xfId="0"/>
    <xf numFmtId="165" fontId="8" fillId="0" borderId="1" applyAlignment="1" pivotButton="0" quotePrefix="0" xfId="0">
      <alignment horizontal="right" vertical="center"/>
    </xf>
    <xf numFmtId="167" fontId="8" fillId="0" borderId="1" applyAlignment="1" pivotButton="0" quotePrefix="0" xfId="0">
      <alignment horizontal="right" vertical="center"/>
    </xf>
    <xf numFmtId="0" fontId="11" fillId="7" borderId="1" applyAlignment="1" pivotButton="0" quotePrefix="0" xfId="0">
      <alignment horizontal="left" vertical="center"/>
    </xf>
    <xf numFmtId="0" fontId="11" fillId="7" borderId="1" applyAlignment="1" pivotButton="0" quotePrefix="0" xfId="0">
      <alignment horizontal="center" vertical="center"/>
    </xf>
    <xf numFmtId="4" fontId="8" fillId="0" borderId="1" applyAlignment="1" pivotButton="0" quotePrefix="0" xfId="0">
      <alignment horizontal="right" vertical="center"/>
    </xf>
    <xf numFmtId="2" fontId="8" fillId="0" borderId="1" applyAlignment="1" pivotButton="0" quotePrefix="0" xfId="0">
      <alignment horizontal="right" vertical="center"/>
    </xf>
    <xf numFmtId="0" fontId="7" fillId="8" borderId="8" applyAlignment="1" pivotButton="0" quotePrefix="0" xfId="0">
      <alignment horizontal="left" vertical="center"/>
    </xf>
    <xf numFmtId="4" fontId="7" fillId="8" borderId="8" applyAlignment="1" pivotButton="0" quotePrefix="0" xfId="0">
      <alignment horizontal="right" vertical="center"/>
    </xf>
    <xf numFmtId="4" fontId="10" fillId="6" borderId="3" applyAlignment="1" pivotButton="0" quotePrefix="0" xfId="0">
      <alignment horizontal="right" vertical="center"/>
    </xf>
    <xf numFmtId="166" fontId="10" fillId="6" borderId="3" applyAlignment="1" pivotButton="0" quotePrefix="0" xfId="0">
      <alignment horizontal="right" vertical="center"/>
    </xf>
    <xf numFmtId="2" fontId="10" fillId="6" borderId="3" applyAlignment="1" pivotButton="0" quotePrefix="0" xfId="0">
      <alignment horizontal="right" vertical="center"/>
    </xf>
    <xf numFmtId="4" fontId="12" fillId="0" borderId="1" applyAlignment="1" pivotButton="0" quotePrefix="0" xfId="0">
      <alignment horizontal="right" vertical="center"/>
    </xf>
    <xf numFmtId="4" fontId="13" fillId="9" borderId="9" applyAlignment="1" pivotButton="0" quotePrefix="0" xfId="0">
      <alignment horizontal="right" vertical="center"/>
    </xf>
    <xf numFmtId="0" fontId="0" fillId="0" borderId="12" pivotButton="0" quotePrefix="0" xfId="0"/>
    <xf numFmtId="168" fontId="13" fillId="9" borderId="9" applyAlignment="1" pivotButton="0" quotePrefix="0" xfId="0">
      <alignment horizontal="right" vertical="center"/>
    </xf>
    <xf numFmtId="10" fontId="10" fillId="6" borderId="3" applyAlignment="1" pivotButton="0" quotePrefix="0" xfId="0">
      <alignment horizontal="right" vertical="center"/>
    </xf>
    <xf numFmtId="10" fontId="12" fillId="0" borderId="1" applyAlignment="1" pivotButton="0" quotePrefix="0" xfId="0">
      <alignment horizontal="right" vertical="center"/>
    </xf>
    <xf numFmtId="168" fontId="10" fillId="6" borderId="3" applyAlignment="1" pivotButton="0" quotePrefix="0" xfId="0">
      <alignment horizontal="right" vertical="center"/>
    </xf>
    <xf numFmtId="169" fontId="8" fillId="0" borderId="1" applyAlignment="1" pivotButton="0" quotePrefix="0" xfId="0">
      <alignment horizontal="right" vertical="center"/>
    </xf>
    <xf numFmtId="168" fontId="12" fillId="0" borderId="1" applyAlignment="1" pivotButton="0" quotePrefix="0" xfId="0">
      <alignment horizontal="right" vertical="center"/>
    </xf>
    <xf numFmtId="168" fontId="9" fillId="5" borderId="3" applyAlignment="1" applyProtection="1" pivotButton="0" quotePrefix="0" xfId="0">
      <alignment horizontal="right" vertical="center"/>
      <protection locked="0" hidden="0"/>
    </xf>
    <xf numFmtId="0" fontId="14" fillId="0" borderId="1" applyAlignment="1" pivotButton="0" quotePrefix="0" xfId="0">
      <alignment horizontal="left" vertical="center"/>
    </xf>
    <xf numFmtId="168" fontId="8" fillId="0" borderId="1" applyAlignment="1" pivotButton="0" quotePrefix="0" xfId="0">
      <alignment horizontal="right" vertical="center"/>
    </xf>
    <xf numFmtId="166" fontId="13" fillId="9" borderId="9" applyAlignment="1" pivotButton="0" quotePrefix="0" xfId="0">
      <alignment horizontal="right" vertical="center"/>
    </xf>
    <xf numFmtId="2" fontId="13" fillId="9" borderId="9" applyAlignment="1" pivotButton="0" quotePrefix="0" xfId="0">
      <alignment horizontal="right" vertical="center"/>
    </xf>
    <xf numFmtId="167" fontId="13" fillId="9" borderId="9" applyAlignment="1" pivotButton="0" quotePrefix="0" xfId="0">
      <alignment horizontal="right" vertical="center"/>
    </xf>
    <xf numFmtId="0" fontId="8" fillId="0" borderId="1" applyAlignment="1" pivotButton="0" quotePrefix="0" xfId="0">
      <alignment horizontal="center" vertical="center"/>
    </xf>
    <xf numFmtId="166" fontId="12" fillId="0" borderId="1" applyAlignment="1" pivotButton="0" quotePrefix="0" xfId="0">
      <alignment horizontal="right" vertical="center"/>
    </xf>
    <xf numFmtId="0" fontId="12" fillId="0" borderId="1" applyAlignment="1" pivotButton="0" quotePrefix="0" xfId="0">
      <alignment horizontal="right" vertical="center"/>
    </xf>
    <xf numFmtId="165" fontId="12" fillId="0" borderId="1" applyAlignment="1" pivotButton="0" quotePrefix="0" xfId="0">
      <alignment horizontal="right" vertical="center"/>
    </xf>
    <xf numFmtId="169" fontId="12" fillId="0" borderId="1" applyAlignment="1" pivotButton="0" quotePrefix="0" xfId="0">
      <alignment horizontal="right" vertical="center"/>
    </xf>
    <xf numFmtId="2" fontId="12" fillId="0" borderId="1" applyAlignment="1" pivotButton="0" quotePrefix="0" xfId="0">
      <alignment horizontal="right" vertical="center"/>
    </xf>
    <xf numFmtId="167" fontId="12" fillId="0" borderId="1" applyAlignment="1" pivotButton="0" quotePrefix="0" xfId="0">
      <alignment horizontal="right" vertical="center"/>
    </xf>
    <xf numFmtId="3" fontId="7" fillId="8" borderId="8" applyAlignment="1" pivotButton="0" quotePrefix="0" xfId="0">
      <alignment horizontal="right" vertical="center"/>
    </xf>
    <xf numFmtId="0" fontId="7" fillId="8" borderId="8" applyAlignment="1" pivotButton="0" quotePrefix="0" xfId="0">
      <alignment horizontal="right" vertical="center"/>
    </xf>
    <xf numFmtId="0" fontId="13" fillId="9" borderId="9" applyAlignment="1" pivotButton="0" quotePrefix="0" xfId="0">
      <alignment horizontal="center" vertical="center"/>
    </xf>
    <xf numFmtId="0" fontId="0" fillId="0" borderId="7" applyProtection="1" pivotButton="0" quotePrefix="0" xfId="0">
      <protection locked="0" hidden="0"/>
    </xf>
    <xf numFmtId="0" fontId="8" fillId="0" borderId="1" applyAlignment="1" pivotButton="0" quotePrefix="0" xfId="0">
      <alignment horizontal="right" vertical="center"/>
    </xf>
  </cellXfs>
  <cellStyles count="1">
    <cellStyle name="Normal" xfId="0" builtinId="0" hidden="0"/>
  </cellStyles>
  <dxfs count="3">
    <dxf>
      <font>
        <name val="Calibri"/>
        <b val="1"/>
        <color rgb="001F7A3D"/>
        <sz val="10"/>
      </font>
      <fill>
        <patternFill patternType="solid">
          <fgColor rgb="00D6EAD9"/>
          <bgColor rgb="00D6EAD9"/>
        </patternFill>
      </fill>
    </dxf>
    <dxf>
      <font>
        <name val="Calibri"/>
        <b val="1"/>
        <color rgb="009C6500"/>
        <sz val="10"/>
      </font>
      <fill>
        <patternFill patternType="solid">
          <fgColor rgb="00FFF1C2"/>
          <bgColor rgb="00FFF1C2"/>
        </patternFill>
      </fill>
    </dxf>
    <dxf>
      <font>
        <name val="Calibri"/>
        <b val="1"/>
        <color rgb="00C00000"/>
        <sz val="10"/>
      </font>
      <fill>
        <patternFill patternType="solid">
          <fgColor rgb="00FCE4E4"/>
          <bgColor rgb="00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title>
      <tx>
        <rich>
          <a:bodyPr/>
          <a:p>
            <a:pPr>
              <a:defRPr/>
            </a:pPr>
            <a:r>
              <a:t>Government yield curve</a:t>
            </a:r>
          </a:p>
        </rich>
      </tx>
    </title>
    <plotArea>
      <lineChart>
        <grouping val="standard"/>
        <ser>
          <idx val="0"/>
          <order val="0"/>
          <tx>
            <strRef>
              <f>'Yield Curve'!B14</f>
            </strRef>
          </tx>
          <spPr>
            <a:ln>
              <a:prstDash val="solid"/>
            </a:ln>
          </spPr>
          <marker>
            <symbol val="none"/>
            <spPr>
              <a:ln>
                <a:prstDash val="solid"/>
              </a:ln>
            </spPr>
          </marker>
          <cat>
            <numRef>
              <f>'Yield Curve'!$A$15:$A$19</f>
            </numRef>
          </cat>
          <val>
            <numRef>
              <f>'Yield Curve'!$B$15:$B$19</f>
            </numRef>
          </val>
        </ser>
        <marker val="1"/>
        <axId val="10"/>
        <axId val="100"/>
      </lineChart>
      <catAx>
        <axId val="10"/>
        <scaling>
          <orientation val="minMax"/>
        </scaling>
        <delete val="0"/>
        <axPos val="l"/>
        <title>
          <tx>
            <rich>
              <a:bodyPr/>
              <a:p>
                <a:pPr>
                  <a:defRPr/>
                </a:pPr>
                <a:r>
                  <a:t>Maturity</a:t>
                </a:r>
              </a:p>
            </rich>
          </tx>
        </title>
        <majorTickMark val="none"/>
        <minorTickMark val="none"/>
        <crossAx val="100"/>
        <lblOffset val="100"/>
      </catAx>
      <valAx>
        <axId val="100"/>
        <scaling>
          <orientation val="minMax"/>
        </scaling>
        <delete val="0"/>
        <axPos val="l"/>
        <majorGridlines/>
        <title>
          <tx>
            <rich>
              <a:bodyPr/>
              <a:p>
                <a:pPr>
                  <a:defRPr/>
                </a:pPr>
                <a:r>
                  <a:t>Yield</a:t>
                </a:r>
              </a:p>
            </rich>
          </tx>
        </title>
        <majorTickMark val="none"/>
        <minorTickMark val="none"/>
        <crossAx val="10"/>
      </valAx>
    </plotArea>
    <plotVisOnly val="1"/>
    <dispBlanksAs val="gap"/>
  </chart>
</chartSpace>
</file>

<file path=xl/comments/comment1.xml><?xml version="1.0" encoding="utf-8"?>
<comments xmlns="http://schemas.openxmlformats.org/spreadsheetml/2006/main">
  <authors>
    <author>Bond Course</author>
  </authors>
  <commentList>
    <comment ref="B17" authorId="0" shapeId="0">
      <text>
        <t>How much of the current coupon period is still ahead of you.</t>
      </text>
    </comment>
    <comment ref="I19" authorId="0" shapeId="0">
      <text>
        <t>Helper for convexity. You can ignore it while learning.</t>
      </text>
    </comment>
    <comment ref="J19" authorId="0" shapeId="0">
      <text>
        <t>Helper for Macaulay duration: Time x PV.</t>
      </text>
    </comment>
  </commentList>
</comments>
</file>

<file path=xl/comments/comment2.xml><?xml version="1.0" encoding="utf-8"?>
<comments xmlns="http://schemas.openxmlformats.org/spreadsheetml/2006/main">
  <authors>
    <author>Bond Course</author>
  </authors>
  <commentList>
    <comment ref="B19" authorId="0" shapeId="0">
      <text>
        <t>Accrued = (days since last coupon / days in the period) x periodic coupon.</t>
      </text>
    </comment>
  </commentList>
</comments>
</file>

<file path=xl/comments/comment3.xml><?xml version="1.0" encoding="utf-8"?>
<comments xmlns="http://schemas.openxmlformats.org/spreadsheetml/2006/main">
  <authors>
    <author>Bond Course</author>
  </authors>
  <commentList>
    <comment ref="B15" authorId="0" shapeId="0">
      <text>
        <t>Coupon bonds: Excel YIELD(). Bill/zero: (Face/Price)^(1/Years)-1.</t>
      </text>
    </comment>
  </commentList>
</comments>
</file>

<file path=xl/comments/comment4.xml><?xml version="1.0" encoding="utf-8"?>
<comments xmlns="http://schemas.openxmlformats.org/spreadsheetml/2006/main">
  <authors>
    <author>Bond Course</author>
  </authors>
  <commentList>
    <comment ref="B13" authorId="0" shapeId="0">
      <text>
        <t>Excel DURATION() for coupon bonds; = time to maturity for a zero.</t>
      </text>
    </comment>
  </commentList>
</comments>
</file>

<file path=xl/comments/comment5.xml><?xml version="1.0" encoding="utf-8"?>
<comments xmlns="http://schemas.openxmlformats.org/spreadsheetml/2006/main">
  <authors>
    <author>Bond Course</author>
  </authors>
  <commentList>
    <comment ref="B14" authorId="0" shapeId="0">
      <text>
        <t>DV01 = Modified duration x Dirty price x 0.0001.</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 Type="http://schemas.openxmlformats.org/officeDocument/2006/relationships/hyperlink" Target="#'Start Here'!A1" TargetMode="External" Id="rId19" /><Relationship Type="http://schemas.openxmlformats.org/officeDocument/2006/relationships/hyperlink" Target="#'Inputs'!A1" TargetMode="External" Id="rId20" /><Relationship Type="http://schemas.openxmlformats.org/officeDocument/2006/relationships/hyperlink" Target="#'Cash Flows'!A1" TargetMode="External" Id="rId21" /><Relationship Type="http://schemas.openxmlformats.org/officeDocument/2006/relationships/hyperlink" Target="#'Price Basics'!A1" TargetMode="External" Id="rId22" /><Relationship Type="http://schemas.openxmlformats.org/officeDocument/2006/relationships/hyperlink" Target="#'Yield Basics'!A1" TargetMode="External" Id="rId23" /><Relationship Type="http://schemas.openxmlformats.org/officeDocument/2006/relationships/hyperlink" Target="#'Price &amp; Yield'!A1" TargetMode="External" Id="rId24" /><Relationship Type="http://schemas.openxmlformats.org/officeDocument/2006/relationships/hyperlink" Target="#'Duration'!A1" TargetMode="External" Id="rId25" /><Relationship Type="http://schemas.openxmlformats.org/officeDocument/2006/relationships/hyperlink" Target="#'DV01'!A1" TargetMode="External" Id="rId26" /><Relationship Type="http://schemas.openxmlformats.org/officeDocument/2006/relationships/hyperlink" Target="#'Convexity'!A1" TargetMode="External" Id="rId27" /><Relationship Type="http://schemas.openxmlformats.org/officeDocument/2006/relationships/hyperlink" Target="#'Rate Shock'!A1" TargetMode="External" Id="rId28" /><Relationship Type="http://schemas.openxmlformats.org/officeDocument/2006/relationships/hyperlink" Target="#'Yield Curve'!A1" TargetMode="External" Id="rId29" /><Relationship Type="http://schemas.openxmlformats.org/officeDocument/2006/relationships/hyperlink" Target="#'Valuation Summary'!A1" TargetMode="External" Id="rId30" /><Relationship Type="http://schemas.openxmlformats.org/officeDocument/2006/relationships/hyperlink" Target="#'Is It Attractive'!A1" TargetMode="External" Id="rId31" /><Relationship Type="http://schemas.openxmlformats.org/officeDocument/2006/relationships/hyperlink" Target="#'Recommendation'!A1" TargetMode="External" Id="rId32" /><Relationship Type="http://schemas.openxmlformats.org/officeDocument/2006/relationships/hyperlink" Target="#'Glossary'!A1" TargetMode="External" Id="rId33" /><Relationship Type="http://schemas.openxmlformats.org/officeDocument/2006/relationships/hyperlink" Target="#'Formula Explanations'!A1" TargetMode="External" Id="rId34" /><Relationship Type="http://schemas.openxmlformats.org/officeDocument/2006/relationships/hyperlink" Target="#'Quality Check'!A1" TargetMode="External" Id="rId35" /><Relationship Type="http://schemas.openxmlformats.org/officeDocument/2006/relationships/hyperlink" Target="#'Limitations'!A1" TargetMode="External" Id="rId36" /></Relationships>
</file>

<file path=xl/worksheets/_rels/sheet2.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3.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7.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10.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11.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 Type="http://schemas.openxmlformats.org/officeDocument/2006/relationships/drawing" Target="/xl/drawings/drawing1.xml" Id="rId19" /></Relationships>
</file>

<file path=xl/worksheets/_rels/sheet12.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13.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14.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15.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16.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17.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18.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sheet1.xml><?xml version="1.0" encoding="utf-8"?>
<worksheet xmlns="http://schemas.openxmlformats.org/spreadsheetml/2006/main">
  <sheetPr>
    <tabColor rgb="006B7986"/>
    <outlinePr summaryBelow="1" summaryRight="1"/>
    <pageSetUpPr fitToPage="1"/>
  </sheetPr>
  <dimension ref="A1:H69"/>
  <sheetViews>
    <sheetView showGridLines="0" workbookViewId="0">
      <pane ySplit="5" topLeftCell="A6" activePane="bottomLeft" state="frozen"/>
      <selection pane="bottomLef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ht="28" customHeight="1">
      <c r="A1" s="1" t="inlineStr">
        <is>
          <t>START HERE - BEGINNER GUIDE</t>
        </is>
      </c>
    </row>
    <row r="2">
      <c r="A2" s="2" t="inlineStr">
        <is>
          <t>New to bonds? Read this page first. It assumes you know nothing.</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Welcome. This workbook is a beginner course AND a working government-bond calculator in one. You will learn what a bond is, how it is priced, what its yield means, and how risky it is - one sheet at a time.</t>
        </is>
      </c>
    </row>
    <row r="10" ht="25" customHeight="1">
      <c r="A10" s="6" t="inlineStr">
        <is>
          <t>You only ever type in ONE place: the Inputs sheet (the yellow cells). Everything else updates automatically. Yellow = you type here.  Black = a formula.  Green = a key answer.  Grey = a note or explanation.</t>
        </is>
      </c>
    </row>
    <row r="13" ht="18" customHeight="1">
      <c r="A13" s="7" t="inlineStr">
        <is>
          <t>1.  What is a bond?</t>
        </is>
      </c>
    </row>
    <row r="14" ht="25" customHeight="1">
      <c r="A14" s="8" t="inlineStr">
        <is>
          <t>A bond is a loan. When you buy a bond, you are lending money to a borrower. In return they promise to pay you interest along the way and to repay the amount borrowed on a set date in the future.</t>
        </is>
      </c>
    </row>
    <row r="15" ht="37" customHeight="1">
      <c r="A15" s="8" t="inlineStr">
        <is>
          <t>A GOVERNMENT bond is a loan to a national government (through its treasury). Because major governments can tax and print their own currency, their bonds are treated as very low risk - the safest bonds you can buy. This workbook covers government bonds ONLY.</t>
        </is>
      </c>
    </row>
    <row r="16" ht="25" customHeight="1">
      <c r="A16" s="8" t="inlineStr">
        <is>
          <t>You make money two ways: the regular interest payments (coupons), and any difference between what you pay now and the face value you get back at maturity.</t>
        </is>
      </c>
    </row>
    <row r="18" ht="18" customHeight="1">
      <c r="A18" s="7" t="inlineStr">
        <is>
          <t>2.  The three government bonds in this workbook</t>
        </is>
      </c>
    </row>
    <row r="19" ht="25" customHeight="1">
      <c r="A19" s="9" t="inlineStr">
        <is>
          <t>Treasury Bill (zero-coupon)</t>
        </is>
      </c>
      <c r="B19" s="8" t="inlineStr">
        <is>
          <t>Short term (a year or less). Pays NO coupons. You buy it below 100 and get 100 back at maturity - the gain is your return.</t>
        </is>
      </c>
    </row>
    <row r="20" ht="25" customHeight="1">
      <c r="A20" s="9" t="inlineStr">
        <is>
          <t>Treasury Note (fixed coupon)</t>
        </is>
      </c>
      <c r="B20" s="8" t="inlineStr">
        <is>
          <t>Medium term (about 2-10 years). Pays a fixed coupon, usually twice a year, plus the face value at maturity.</t>
        </is>
      </c>
    </row>
    <row r="21" ht="25" customHeight="1">
      <c r="A21" s="9" t="inlineStr">
        <is>
          <t>Treasury Bond (fixed coupon)</t>
        </is>
      </c>
      <c r="B21" s="8" t="inlineStr">
        <is>
          <t>Long term (often 20-30 years). Same idea as a note but longer, so its price moves more when yields change.</t>
        </is>
      </c>
    </row>
    <row r="23" ht="18" customHeight="1">
      <c r="A23" s="7" t="inlineStr">
        <is>
          <t>3.  The words you must know</t>
        </is>
      </c>
    </row>
    <row r="24" ht="25" customHeight="1">
      <c r="A24" s="9" t="inlineStr">
        <is>
          <t>Face value</t>
        </is>
      </c>
      <c r="B24" s="8" t="inlineStr">
        <is>
          <t>The amount repaid at the end (e.g. 100). Interest is based on it. Prices are quoted per 100 face.</t>
        </is>
      </c>
    </row>
    <row r="25" ht="15" customHeight="1">
      <c r="A25" s="9" t="inlineStr">
        <is>
          <t>Coupon</t>
        </is>
      </c>
      <c r="B25" s="8" t="inlineStr">
        <is>
          <t>The regular interest payment - usually twice a year for government notes and bonds.</t>
        </is>
      </c>
    </row>
    <row r="26" ht="15" customHeight="1">
      <c r="A26" s="9" t="inlineStr">
        <is>
          <t>Coupon rate</t>
        </is>
      </c>
      <c r="B26" s="8" t="inlineStr">
        <is>
          <t>The annual interest rate. A 4% coupon on 100 face pays 4 per year (2 + 2 for semiannual).</t>
        </is>
      </c>
    </row>
    <row r="27" ht="15" customHeight="1">
      <c r="A27" s="9" t="inlineStr">
        <is>
          <t>Maturity</t>
        </is>
      </c>
      <c r="B27" s="8" t="inlineStr">
        <is>
          <t>The date the government repays the face value and the loan ends.</t>
        </is>
      </c>
    </row>
    <row r="28" ht="15" customHeight="1">
      <c r="A28" s="9" t="inlineStr">
        <is>
          <t>Price</t>
        </is>
      </c>
      <c r="B28" s="8" t="inlineStr">
        <is>
          <t>What the bond costs today, quoted per 100 of face value. It can be above or below 100.</t>
        </is>
      </c>
    </row>
    <row r="29" ht="15" customHeight="1">
      <c r="A29" s="9" t="inlineStr">
        <is>
          <t>Yield</t>
        </is>
      </c>
      <c r="B29" s="8" t="inlineStr">
        <is>
          <t>Your return as an annual percentage. The headline one is 'yield to maturity' (YTM).</t>
        </is>
      </c>
    </row>
    <row r="31" ht="18" customHeight="1">
      <c r="A31" s="7" t="inlineStr">
        <is>
          <t>4.  The one golden rule of bonds</t>
        </is>
      </c>
    </row>
    <row r="32" ht="16" customHeight="1">
      <c r="A32" s="5" t="inlineStr">
        <is>
          <t>Remember this one thing</t>
        </is>
      </c>
    </row>
    <row r="33" ht="25" customHeight="1">
      <c r="A33" s="6" t="inlineStr">
        <is>
          <t>PRICE and YIELD move in OPPOSITE directions. When yields (market interest rates) go UP, bond prices go DOWN. When yields go DOWN, bond prices go UP.</t>
        </is>
      </c>
    </row>
    <row r="34" ht="25" customHeight="1">
      <c r="A34" s="6" t="inlineStr">
        <is>
          <t>Why? A bond's coupons are fixed. If new bonds start paying more, yours looks less attractive, so its price must fall until its return matches the market. If new bonds pay less, yours looks better, so its price rises.</t>
        </is>
      </c>
    </row>
    <row r="35" ht="37" customHeight="1">
      <c r="A35" s="6" t="inlineStr">
        <is>
          <t>Simple example: you own a bond paying 4%. If market yields rise to 5%, no one will pay full price for your 4% bond, so its price drops. That price drop is the main risk of owning a bond - and it is what 'duration' on the later sheets measures.</t>
        </is>
      </c>
    </row>
    <row r="37" ht="18" customHeight="1">
      <c r="A37" s="7" t="inlineStr">
        <is>
          <t>5.  How to use this workbook (8 steps)</t>
        </is>
      </c>
    </row>
    <row r="38" ht="15" customHeight="1">
      <c r="A38" s="9" t="inlineStr">
        <is>
          <t>Step 1</t>
        </is>
      </c>
      <c r="B38" s="8" t="inlineStr">
        <is>
          <t>Open the Inputs sheet and enter your bond in the yellow cells (name, dates, coupon, price).</t>
        </is>
      </c>
    </row>
    <row r="39" ht="15" customHeight="1">
      <c r="A39" s="9" t="inlineStr">
        <is>
          <t>Step 2</t>
        </is>
      </c>
      <c r="B39" s="8" t="inlineStr">
        <is>
          <t>Read Cash Flows to see every payment you will receive and its value today.</t>
        </is>
      </c>
    </row>
    <row r="40" ht="25" customHeight="1">
      <c r="A40" s="9" t="inlineStr">
        <is>
          <t>Step 3</t>
        </is>
      </c>
      <c r="B40" s="8" t="inlineStr">
        <is>
          <t>Read Price Basics to learn the difference between the clean price and the price you actually pay (dirty).</t>
        </is>
      </c>
    </row>
    <row r="41" ht="15" customHeight="1">
      <c r="A41" s="9" t="inlineStr">
        <is>
          <t>Step 4</t>
        </is>
      </c>
      <c r="B41" s="8" t="inlineStr">
        <is>
          <t>Read Yield Basics to see your return - the yield to maturity.</t>
        </is>
      </c>
    </row>
    <row r="42" ht="25" customHeight="1">
      <c r="A42" s="9" t="inlineStr">
        <is>
          <t>Step 5</t>
        </is>
      </c>
      <c r="B42" s="8" t="inlineStr">
        <is>
          <t>Use the Price &amp; Yield Calculator to test: what price does a yield imply, and is the bond cheap or expensive?</t>
        </is>
      </c>
    </row>
    <row r="43" ht="15" customHeight="1">
      <c r="A43" s="9" t="inlineStr">
        <is>
          <t>Step 6</t>
        </is>
      </c>
      <c r="B43" s="8" t="inlineStr">
        <is>
          <t>Check Duration, DV01 and Convexity to understand how risky the bond is.</t>
        </is>
      </c>
    </row>
    <row r="44" ht="15" customHeight="1">
      <c r="A44" s="9" t="inlineStr">
        <is>
          <t>Step 7</t>
        </is>
      </c>
      <c r="B44" s="8" t="inlineStr">
        <is>
          <t>Look at Rate Shock and the Yield Curve to see the bigger interest-rate picture.</t>
        </is>
      </c>
    </row>
    <row r="45" ht="15" customHeight="1">
      <c r="A45" s="9" t="inlineStr">
        <is>
          <t>Step 8</t>
        </is>
      </c>
      <c r="B45" s="8" t="inlineStr">
        <is>
          <t>Finish on Is It Attractive? and Recommendation to form your own Buy / Hold / Avoid view.</t>
        </is>
      </c>
    </row>
    <row r="47" ht="18" customHeight="1">
      <c r="A47" s="7" t="inlineStr">
        <is>
          <t>6.  A map of every sheet</t>
        </is>
      </c>
    </row>
    <row r="48" ht="15" customHeight="1">
      <c r="A48" s="10" t="inlineStr">
        <is>
          <t>Start Here</t>
        </is>
      </c>
      <c r="B48" s="8" t="inlineStr">
        <is>
          <t>This page - what bonds are and how to use the workbook.</t>
        </is>
      </c>
    </row>
    <row r="49" ht="15" customHeight="1">
      <c r="A49" s="10" t="inlineStr">
        <is>
          <t>Inputs</t>
        </is>
      </c>
      <c r="B49" s="8" t="inlineStr">
        <is>
          <t>The ONLY page you type on. Enter your bond in the yellow cells.</t>
        </is>
      </c>
    </row>
    <row r="50" ht="15" customHeight="1">
      <c r="A50" s="10" t="inlineStr">
        <is>
          <t>Cash Flows</t>
        </is>
      </c>
      <c r="B50" s="8" t="inlineStr">
        <is>
          <t>The payments you will receive, and what they are worth today.</t>
        </is>
      </c>
    </row>
    <row r="51" ht="15" customHeight="1">
      <c r="A51" s="10" t="inlineStr">
        <is>
          <t>Price Basics</t>
        </is>
      </c>
      <c r="B51" s="8" t="inlineStr">
        <is>
          <t>Clean price, dirty price and accrued interest - the price you really pay.</t>
        </is>
      </c>
    </row>
    <row r="52" ht="15" customHeight="1">
      <c r="A52" s="10" t="inlineStr">
        <is>
          <t>Yield Basics</t>
        </is>
      </c>
      <c r="B52" s="8" t="inlineStr">
        <is>
          <t>Your return: yield to maturity, current yield and spread.</t>
        </is>
      </c>
    </row>
    <row r="53" ht="15" customHeight="1">
      <c r="A53" s="10" t="inlineStr">
        <is>
          <t>Price &amp; Yield</t>
        </is>
      </c>
      <c r="B53" s="8" t="inlineStr">
        <is>
          <t>A calculator: price from a yield, yield from a price, both ways.</t>
        </is>
      </c>
    </row>
    <row r="54" ht="15" customHeight="1">
      <c r="A54" s="10" t="inlineStr">
        <is>
          <t>Duration</t>
        </is>
      </c>
      <c r="B54" s="8" t="inlineStr">
        <is>
          <t>How sensitive your bond is to interest-rate moves.</t>
        </is>
      </c>
    </row>
    <row r="55" ht="15" customHeight="1">
      <c r="A55" s="10" t="inlineStr">
        <is>
          <t>DV01</t>
        </is>
      </c>
      <c r="B55" s="8" t="inlineStr">
        <is>
          <t>That same risk, but in money terms, per 1 basis point.</t>
        </is>
      </c>
    </row>
    <row r="56" ht="15" customHeight="1">
      <c r="A56" s="10" t="inlineStr">
        <is>
          <t>Convexity</t>
        </is>
      </c>
      <c r="B56" s="8" t="inlineStr">
        <is>
          <t>Why duration is not perfect - and why that helps you.</t>
        </is>
      </c>
    </row>
    <row r="57" ht="15" customHeight="1">
      <c r="A57" s="10" t="inlineStr">
        <is>
          <t>Rate Shock</t>
        </is>
      </c>
      <c r="B57" s="8" t="inlineStr">
        <is>
          <t>What happens to the price if yields jump up or down.</t>
        </is>
      </c>
    </row>
    <row r="58" ht="15" customHeight="1">
      <c r="A58" s="10" t="inlineStr">
        <is>
          <t>Yield Curve</t>
        </is>
      </c>
      <c r="B58" s="8" t="inlineStr">
        <is>
          <t>Government yields by maturity, and where your bond sits.</t>
        </is>
      </c>
    </row>
    <row r="59" ht="15" customHeight="1">
      <c r="A59" s="10" t="inlineStr">
        <is>
          <t>Valuation Summary</t>
        </is>
      </c>
      <c r="B59" s="8" t="inlineStr">
        <is>
          <t>The whole bond at a glance, with plain-English reads.</t>
        </is>
      </c>
    </row>
    <row r="60" ht="15" customHeight="1">
      <c r="A60" s="10" t="inlineStr">
        <is>
          <t>Is It Attractive</t>
        </is>
      </c>
      <c r="B60" s="8" t="inlineStr">
        <is>
          <t>A simple score out of 10 - is the yield worth the risk?</t>
        </is>
      </c>
    </row>
    <row r="61" ht="15" customHeight="1">
      <c r="A61" s="10" t="inlineStr">
        <is>
          <t>Recommendation</t>
        </is>
      </c>
      <c r="B61" s="8" t="inlineStr">
        <is>
          <t>Your final Buy / Hold / Avoid call (you decide).</t>
        </is>
      </c>
    </row>
    <row r="62" ht="15" customHeight="1">
      <c r="A62" s="10" t="inlineStr">
        <is>
          <t>Glossary</t>
        </is>
      </c>
      <c r="B62" s="8" t="inlineStr">
        <is>
          <t>Every term defined in simple language.</t>
        </is>
      </c>
    </row>
    <row r="63" ht="15" customHeight="1">
      <c r="A63" s="10" t="inlineStr">
        <is>
          <t>Formula Explanations</t>
        </is>
      </c>
      <c r="B63" s="8" t="inlineStr">
        <is>
          <t>Every formula, explained in plain English.</t>
        </is>
      </c>
    </row>
    <row r="64" ht="15" customHeight="1">
      <c r="A64" s="10" t="inlineStr">
        <is>
          <t>Quality Check</t>
        </is>
      </c>
      <c r="B64" s="8" t="inlineStr">
        <is>
          <t>15 checks that the maths is correct.</t>
        </is>
      </c>
    </row>
    <row r="65" ht="15" customHeight="1">
      <c r="A65" s="10" t="inlineStr">
        <is>
          <t>Limitations</t>
        </is>
      </c>
      <c r="B65" s="8" t="inlineStr">
        <is>
          <t>What this simple workbook does not try to do.</t>
        </is>
      </c>
    </row>
    <row r="67" ht="16" customHeight="1">
      <c r="A67" s="5" t="inlineStr">
        <is>
          <t>Final tip</t>
        </is>
      </c>
    </row>
    <row r="68" ht="25" customHeight="1">
      <c r="A68" s="6" t="inlineStr">
        <is>
          <t>Take it slowly and in order - each sheet builds on the one before. By the end you will understand what a government bond is worth, what it yields, how risky it is, and whether it looks attractive to you.</t>
        </is>
      </c>
    </row>
    <row r="69" ht="14" customHeight="1">
      <c r="A69" s="6" t="inlineStr">
        <is>
          <t>This is an educational tool, not investment advice.</t>
        </is>
      </c>
    </row>
  </sheetData>
  <mergeCells count="57">
    <mergeCell ref="A9:H9"/>
    <mergeCell ref="A67:H67"/>
    <mergeCell ref="B40:H40"/>
    <mergeCell ref="A15:H15"/>
    <mergeCell ref="B49:H49"/>
    <mergeCell ref="B65:H65"/>
    <mergeCell ref="B55:H55"/>
    <mergeCell ref="B24:H24"/>
    <mergeCell ref="B64:H64"/>
    <mergeCell ref="A1:H1"/>
    <mergeCell ref="B51:H51"/>
    <mergeCell ref="B20:H20"/>
    <mergeCell ref="B45:H45"/>
    <mergeCell ref="B63:H63"/>
    <mergeCell ref="B50:H50"/>
    <mergeCell ref="B26:H26"/>
    <mergeCell ref="B41:H41"/>
    <mergeCell ref="A69:H69"/>
    <mergeCell ref="A16:H16"/>
    <mergeCell ref="B54:H54"/>
    <mergeCell ref="B62:H62"/>
    <mergeCell ref="B25:H25"/>
    <mergeCell ref="A37:H37"/>
    <mergeCell ref="B59:H59"/>
    <mergeCell ref="A18:H18"/>
    <mergeCell ref="A3:H3"/>
    <mergeCell ref="B27:H27"/>
    <mergeCell ref="B56:H56"/>
    <mergeCell ref="B58:H58"/>
    <mergeCell ref="B52:H52"/>
    <mergeCell ref="B21:H21"/>
    <mergeCell ref="A2:H2"/>
    <mergeCell ref="B43:H43"/>
    <mergeCell ref="B39:H39"/>
    <mergeCell ref="A33:H33"/>
    <mergeCell ref="A14:H14"/>
    <mergeCell ref="B48:H48"/>
    <mergeCell ref="A47:H47"/>
    <mergeCell ref="B42:H42"/>
    <mergeCell ref="A23:H23"/>
    <mergeCell ref="A32:H32"/>
    <mergeCell ref="A8:H8"/>
    <mergeCell ref="B60:H60"/>
    <mergeCell ref="B61:H61"/>
    <mergeCell ref="A35:H35"/>
    <mergeCell ref="B57:H57"/>
    <mergeCell ref="B44:H44"/>
    <mergeCell ref="B53:H53"/>
    <mergeCell ref="A10:H10"/>
    <mergeCell ref="B38:H38"/>
    <mergeCell ref="A13:H13"/>
    <mergeCell ref="A68:H68"/>
    <mergeCell ref="B29:H29"/>
    <mergeCell ref="B19:H19"/>
    <mergeCell ref="A31:H31"/>
    <mergeCell ref="B28:H28"/>
    <mergeCell ref="A34:H34"/>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 xmlns:r="http://schemas.openxmlformats.org/officeDocument/2006/relationships" ref="A48" r:id="rId19"/>
    <hyperlink xmlns:r="http://schemas.openxmlformats.org/officeDocument/2006/relationships" ref="A49" r:id="rId20"/>
    <hyperlink xmlns:r="http://schemas.openxmlformats.org/officeDocument/2006/relationships" ref="A50" r:id="rId21"/>
    <hyperlink xmlns:r="http://schemas.openxmlformats.org/officeDocument/2006/relationships" ref="A51" r:id="rId22"/>
    <hyperlink xmlns:r="http://schemas.openxmlformats.org/officeDocument/2006/relationships" ref="A52" r:id="rId23"/>
    <hyperlink xmlns:r="http://schemas.openxmlformats.org/officeDocument/2006/relationships" ref="A53" r:id="rId24"/>
    <hyperlink xmlns:r="http://schemas.openxmlformats.org/officeDocument/2006/relationships" ref="A54" r:id="rId25"/>
    <hyperlink xmlns:r="http://schemas.openxmlformats.org/officeDocument/2006/relationships" ref="A55" r:id="rId26"/>
    <hyperlink xmlns:r="http://schemas.openxmlformats.org/officeDocument/2006/relationships" ref="A56" r:id="rId27"/>
    <hyperlink xmlns:r="http://schemas.openxmlformats.org/officeDocument/2006/relationships" ref="A57" r:id="rId28"/>
    <hyperlink xmlns:r="http://schemas.openxmlformats.org/officeDocument/2006/relationships" ref="A58" r:id="rId29"/>
    <hyperlink xmlns:r="http://schemas.openxmlformats.org/officeDocument/2006/relationships" ref="A59" r:id="rId30"/>
    <hyperlink xmlns:r="http://schemas.openxmlformats.org/officeDocument/2006/relationships" ref="A60" r:id="rId31"/>
    <hyperlink xmlns:r="http://schemas.openxmlformats.org/officeDocument/2006/relationships" ref="A61" r:id="rId32"/>
    <hyperlink xmlns:r="http://schemas.openxmlformats.org/officeDocument/2006/relationships" ref="A62" r:id="rId33"/>
    <hyperlink xmlns:r="http://schemas.openxmlformats.org/officeDocument/2006/relationships" ref="A63" r:id="rId34"/>
    <hyperlink xmlns:r="http://schemas.openxmlformats.org/officeDocument/2006/relationships" ref="A64" r:id="rId35"/>
    <hyperlink xmlns:r="http://schemas.openxmlformats.org/officeDocument/2006/relationships" ref="A65" r:id="rId36"/>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2.xml><?xml version="1.0" encoding="utf-8"?>
<worksheet xmlns="http://schemas.openxmlformats.org/spreadsheetml/2006/main">
  <sheetPr>
    <tabColor rgb="000000FF"/>
    <outlinePr summaryBelow="1" summaryRight="1"/>
    <pageSetUpPr fitToPage="1"/>
  </sheetPr>
  <dimension ref="A1:G41"/>
  <sheetViews>
    <sheetView showGridLines="0" workbookViewId="0">
      <pane ySplit="5" topLeftCell="A6" activePane="bottomLeft" state="frozen"/>
      <selection pane="bottomLeft" activeCell="A1" sqref="A1"/>
    </sheetView>
  </sheetViews>
  <sheetFormatPr baseColWidth="8" defaultRowHeight="15"/>
  <cols>
    <col width="26" customWidth="1" min="1" max="1"/>
    <col width="15" customWidth="1" min="2" max="2"/>
    <col width="15" customWidth="1" min="3" max="3"/>
    <col width="12" customWidth="1" min="4" max="4"/>
    <col width="12" customWidth="1" min="5" max="5"/>
    <col width="12" customWidth="1" min="6" max="6"/>
    <col width="12" customWidth="1" min="7" max="7"/>
  </cols>
  <sheetData>
    <row r="1" ht="28" customHeight="1">
      <c r="A1" s="1" t="inlineStr">
        <is>
          <t>INPUTS / BOND TERMS</t>
        </is>
      </c>
    </row>
    <row r="2">
      <c r="A2" s="2" t="inlineStr">
        <is>
          <t>Enter your bond here - this is the only page you type on</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14" customHeight="1">
      <c r="A9" s="6" t="inlineStr">
        <is>
          <t>THESE INPUTS DRIVE THE WHOLE WORKBOOK.  Change only the yellow cells; every other sheet updates by itself.</t>
        </is>
      </c>
    </row>
    <row r="10" ht="25" customHeight="1">
      <c r="A10" s="6" t="inlineStr">
        <is>
          <t>For a Treasury Bill or a zero-coupon bond: set Coupon frequency = Zero-coupon and Coupon rate = 0%. The bond then has a single payment - the principal at maturity.</t>
        </is>
      </c>
    </row>
    <row r="12">
      <c r="A12" s="9" t="inlineStr">
        <is>
          <t>Legend:</t>
        </is>
      </c>
      <c r="B12" s="11" t="inlineStr">
        <is>
          <t>Input (type here)</t>
        </is>
      </c>
      <c r="D12" s="10" t="inlineStr">
        <is>
          <t>Formula</t>
        </is>
      </c>
      <c r="E12" s="12" t="inlineStr">
        <is>
          <t>Key output</t>
        </is>
      </c>
      <c r="G12" s="8" t="inlineStr">
        <is>
          <t>blue = input - black = formula - green = key output</t>
        </is>
      </c>
    </row>
    <row r="14" ht="18" customHeight="1">
      <c r="A14" s="7" t="inlineStr">
        <is>
          <t>Identification</t>
        </is>
      </c>
    </row>
    <row r="15">
      <c r="A15" s="9" t="inlineStr">
        <is>
          <t>Bond name</t>
        </is>
      </c>
      <c r="B15" s="13" t="inlineStr">
        <is>
          <t>&lt;Bond name&gt;</t>
        </is>
      </c>
      <c r="C15" s="14" t="n"/>
      <c r="D15" s="8" t="inlineStr">
        <is>
          <t>Whatever you want to call this bond.</t>
        </is>
      </c>
    </row>
    <row r="16">
      <c r="A16" s="9" t="inlineStr">
        <is>
          <t>Country / issuer</t>
        </is>
      </c>
      <c r="B16" s="13" t="inlineStr"/>
      <c r="C16" s="14" t="n"/>
      <c r="D16" s="8" t="inlineStr">
        <is>
          <t>Who borrowed the money (e.g. the US Treasury).</t>
        </is>
      </c>
    </row>
    <row r="17">
      <c r="A17" s="9" t="inlineStr">
        <is>
          <t>Currency</t>
        </is>
      </c>
      <c r="B17" s="11" t="inlineStr">
        <is>
          <t>USD</t>
        </is>
      </c>
      <c r="C17" s="14" t="n"/>
    </row>
    <row r="18">
      <c r="A18" s="9" t="inlineStr">
        <is>
          <t>Security type</t>
        </is>
      </c>
      <c r="B18" s="11" t="inlineStr">
        <is>
          <t>Treasury Note</t>
        </is>
      </c>
      <c r="C18" s="14" t="n"/>
      <c r="D18" s="8" t="inlineStr">
        <is>
          <t>Bill = zero-coupon; Note/Bond = pays coupons; Government Bond = generic sovereign.</t>
        </is>
      </c>
    </row>
    <row r="19" ht="18" customHeight="1">
      <c r="A19" s="7" t="inlineStr">
        <is>
          <t>Economic terms</t>
        </is>
      </c>
    </row>
    <row r="20">
      <c r="A20" s="9" t="inlineStr">
        <is>
          <t>Face value</t>
        </is>
      </c>
      <c r="B20" s="15" t="n">
        <v>100</v>
      </c>
      <c r="C20" s="14" t="n"/>
      <c r="D20" s="8" t="inlineStr">
        <is>
          <t>The amount repaid at maturity. Prices are quoted per 100 face - keep this 100.</t>
        </is>
      </c>
    </row>
    <row r="21">
      <c r="A21" s="9" t="inlineStr">
        <is>
          <t>Position size (optional)</t>
        </is>
      </c>
      <c r="B21" s="16" t="n"/>
      <c r="C21" s="14" t="n"/>
      <c r="D21" s="8" t="inlineStr">
        <is>
          <t>How much face value you hold. Optional - used only to show money amounts.</t>
        </is>
      </c>
    </row>
    <row r="22">
      <c r="A22" s="9" t="inlineStr">
        <is>
          <t>Coupon rate (annual)</t>
        </is>
      </c>
      <c r="B22" s="17" t="n">
        <v>0.04</v>
      </c>
      <c r="C22" s="14" t="n"/>
      <c r="D22" s="8" t="inlineStr">
        <is>
          <t>The annual interest rate the bond pays. Use 0% for a bill / zero-coupon bond.</t>
        </is>
      </c>
    </row>
    <row r="23">
      <c r="A23" s="9" t="inlineStr">
        <is>
          <t>Coupon frequency</t>
        </is>
      </c>
      <c r="B23" s="11" t="inlineStr">
        <is>
          <t>Semiannual</t>
        </is>
      </c>
      <c r="C23" s="14" t="n"/>
      <c r="D23" s="8" t="inlineStr">
        <is>
          <t>How often coupons are paid: Semiannual (twice a year), Annual, or Zero-coupon.</t>
        </is>
      </c>
    </row>
    <row r="24">
      <c r="A24" s="9" t="inlineStr">
        <is>
          <t>Day-count basis</t>
        </is>
      </c>
      <c r="B24" s="18" t="n">
        <v>1</v>
      </c>
      <c r="C24" s="14" t="n"/>
      <c r="D24" s="8" t="inlineStr">
        <is>
          <t>How days are counted. 1 = Actual/Actual (usual for governments).</t>
        </is>
      </c>
    </row>
    <row r="25">
      <c r="A25" s="9" t="inlineStr">
        <is>
          <t>Issue date</t>
        </is>
      </c>
      <c r="B25" s="19" t="n">
        <v>45337</v>
      </c>
      <c r="C25" s="14" t="n"/>
      <c r="D25" s="8" t="inlineStr">
        <is>
          <t>When the bond was first sold.</t>
        </is>
      </c>
    </row>
    <row r="26">
      <c r="A26" s="9" t="inlineStr">
        <is>
          <t>Settlement date</t>
        </is>
      </c>
      <c r="B26" s="19" t="n">
        <v>45736</v>
      </c>
      <c r="C26" s="14" t="n"/>
      <c r="D26" s="8" t="inlineStr">
        <is>
          <t>The date you buy / value the bond (usually today).</t>
        </is>
      </c>
    </row>
    <row r="27">
      <c r="A27" s="9" t="inlineStr">
        <is>
          <t>Maturity date</t>
        </is>
      </c>
      <c r="B27" s="19" t="n">
        <v>48990</v>
      </c>
      <c r="C27" s="14" t="n"/>
      <c r="D27" s="8" t="inlineStr">
        <is>
          <t>The date the government repays the principal.</t>
        </is>
      </c>
    </row>
    <row r="28" ht="18" customHeight="1">
      <c r="A28" s="7" t="inlineStr">
        <is>
          <t>Market data</t>
        </is>
      </c>
    </row>
    <row r="29">
      <c r="A29" s="9" t="inlineStr">
        <is>
          <t>Market clean price</t>
        </is>
      </c>
      <c r="B29" s="15" t="n">
        <v>100</v>
      </c>
      <c r="C29" s="14" t="n"/>
      <c r="D29" s="8" t="inlineStr">
        <is>
          <t>The quoted market price per 100 face. Drives the yield.</t>
        </is>
      </c>
    </row>
    <row r="30">
      <c r="A30" s="9" t="inlineStr">
        <is>
          <t>Market yield to maturity</t>
        </is>
      </c>
      <c r="B30" s="17" t="n"/>
      <c r="C30" s="14" t="n"/>
      <c r="D30" s="8" t="inlineStr">
        <is>
          <t>Optional. A yield you want to cross-check against the calculated one.</t>
        </is>
      </c>
    </row>
    <row r="31">
      <c r="A31" s="9" t="inlineStr">
        <is>
          <t>Benchmark yield (similar maturity)</t>
        </is>
      </c>
      <c r="B31" s="17" t="n">
        <v>0.043</v>
      </c>
      <c r="C31" s="14" t="n"/>
      <c r="D31" s="8" t="inlineStr">
        <is>
          <t>The comparable government market yield, for the spread.</t>
        </is>
      </c>
    </row>
    <row r="32" ht="18" customHeight="1">
      <c r="A32" s="7" t="inlineStr">
        <is>
          <t>Analyst</t>
        </is>
      </c>
    </row>
    <row r="33">
      <c r="A33" s="9" t="inlineStr">
        <is>
          <t>Rate outlook</t>
        </is>
      </c>
      <c r="B33" s="11" t="inlineStr">
        <is>
          <t>Yields Stable</t>
        </is>
      </c>
      <c r="C33" s="14" t="n"/>
      <c r="D33" s="8" t="inlineStr">
        <is>
          <t>Your view on where yields go next - used by the attractiveness score.</t>
        </is>
      </c>
    </row>
    <row r="34">
      <c r="A34" s="9" t="inlineStr">
        <is>
          <t>Analyst name</t>
        </is>
      </c>
      <c r="B34" s="13" t="inlineStr"/>
      <c r="C34" s="14" t="n"/>
    </row>
    <row r="35">
      <c r="A35" s="9" t="inlineStr">
        <is>
          <t>Analysis date</t>
        </is>
      </c>
      <c r="B35" s="19" t="n">
        <v>45736</v>
      </c>
      <c r="C35" s="14" t="n"/>
    </row>
    <row r="36" ht="18" customHeight="1">
      <c r="A36" s="7" t="inlineStr">
        <is>
          <t>Derived values (auto - do not edit)</t>
        </is>
      </c>
    </row>
    <row r="37">
      <c r="A37" s="9" t="inlineStr">
        <is>
          <t>Zero-coupon?</t>
        </is>
      </c>
      <c r="B37" s="20">
        <f>IF(OR(FreqName="Zero-coupon",SecType="Treasury Bill"),1,0)</f>
        <v/>
      </c>
      <c r="D37" s="8" t="inlineStr">
        <is>
          <t>1 = no coupons; only principal at maturity.</t>
        </is>
      </c>
    </row>
    <row r="38">
      <c r="A38" s="9" t="inlineStr">
        <is>
          <t>Payments per year</t>
        </is>
      </c>
      <c r="B38" s="20">
        <f>IF(IsZero=1,1,IF(FreqName="Annual",1,2))</f>
        <v/>
      </c>
    </row>
    <row r="39">
      <c r="A39" s="9" t="inlineStr">
        <is>
          <t>Effective coupon rate</t>
        </is>
      </c>
      <c r="B39" s="21">
        <f>IF(IsZero=1,0,Cpn)</f>
        <v/>
      </c>
    </row>
    <row r="40">
      <c r="A40" s="9" t="inlineStr">
        <is>
          <t>Years to maturity</t>
        </is>
      </c>
      <c r="B40" s="22">
        <f>YEARFRAC(Settle,Mat,Basis)</f>
        <v/>
      </c>
    </row>
    <row r="41">
      <c r="A41" s="9" t="inlineStr">
        <is>
          <t>Consistency check</t>
        </is>
      </c>
      <c r="B41" s="23">
        <f>IF(AND(OR(SecType="Treasury Bill",FreqName="Zero-coupon"),Cpn&gt;0),"WARNING: set coupon rate to 0% for a bill / zero-coupon bond","OK")</f>
        <v/>
      </c>
      <c r="C41" s="24" t="n"/>
      <c r="D41" s="25" t="n"/>
    </row>
  </sheetData>
  <mergeCells count="47">
    <mergeCell ref="A32:G32"/>
    <mergeCell ref="A14:G14"/>
    <mergeCell ref="D18:G18"/>
    <mergeCell ref="B16:C16"/>
    <mergeCell ref="B25:C25"/>
    <mergeCell ref="A8:G8"/>
    <mergeCell ref="D25:G25"/>
    <mergeCell ref="D24:G24"/>
    <mergeCell ref="B22:C22"/>
    <mergeCell ref="D30:G30"/>
    <mergeCell ref="D15:G15"/>
    <mergeCell ref="D33:G33"/>
    <mergeCell ref="B31:C31"/>
    <mergeCell ref="D29:G29"/>
    <mergeCell ref="B18:C18"/>
    <mergeCell ref="B27:C27"/>
    <mergeCell ref="A19:G19"/>
    <mergeCell ref="A10:G10"/>
    <mergeCell ref="A28:G28"/>
    <mergeCell ref="D23:G23"/>
    <mergeCell ref="B21:C21"/>
    <mergeCell ref="D26:G26"/>
    <mergeCell ref="A9:G9"/>
    <mergeCell ref="G12"/>
    <mergeCell ref="D20:G20"/>
    <mergeCell ref="B23:C23"/>
    <mergeCell ref="B17:C17"/>
    <mergeCell ref="D22:G22"/>
    <mergeCell ref="A36:G36"/>
    <mergeCell ref="D31:G31"/>
    <mergeCell ref="A1:G1"/>
    <mergeCell ref="B29:C29"/>
    <mergeCell ref="B41:D41"/>
    <mergeCell ref="B34:C34"/>
    <mergeCell ref="D21:G21"/>
    <mergeCell ref="D27:G27"/>
    <mergeCell ref="B24:C24"/>
    <mergeCell ref="B30:C30"/>
    <mergeCell ref="B15:C15"/>
    <mergeCell ref="B33:C33"/>
    <mergeCell ref="A3:G3"/>
    <mergeCell ref="B20:C20"/>
    <mergeCell ref="D16:G16"/>
    <mergeCell ref="A2:G2"/>
    <mergeCell ref="B26:C26"/>
    <mergeCell ref="D37:G37"/>
    <mergeCell ref="B35:C35"/>
  </mergeCells>
  <conditionalFormatting sqref="B41">
    <cfRule type="expression" priority="1" dxfId="0" stopIfTrue="1">
      <formula>OR(ISNUMBER(SEARCH("PASS",B41)),ISNUMBER(SEARCH("OK",B41)),ISNUMBER(SEARCH("Low",B41)),ISNUMBER(SEARCH("Normal",B41)),ISNUMBER(SEARCH("Buy",B41)),ISNUMBER(SEARCH("Short",B41)),ISNUMBER(SEARCH("Yes",B41)),ISNUMBER(SEARCH("Within",B41)),ISNUMBER(SEARCH("Attractive",B41)),ISNUMBER(SEARCH("Cheap",B41)),ISNUMBER(SEARCH("Upside",B41)))</formula>
    </cfRule>
    <cfRule type="expression" priority="2" dxfId="1" stopIfTrue="1">
      <formula>OR(ISNUMBER(SEARCH("WARNING",B41)),ISNUMBER(SEARCH("WARN",B41)),ISNUMBER(SEARCH("Medium",B41)),ISNUMBER(SEARCH("Flat",B41)),ISNUMBER(SEARCH("Hold",B41)),ISNUMBER(SEARCH("Intermediate",B41)),ISNUMBER(SEARCH("Review",B41)),ISNUMBER(SEARCH("Fair",B41)),ISNUMBER(SEARCH("Neutral",B41)))</formula>
    </cfRule>
    <cfRule type="expression" priority="3" dxfId="2" stopIfTrue="1">
      <formula>OR(ISNUMBER(SEARCH("FAIL",B41)),ISNUMBER(SEARCH("High",B41)),ISNUMBER(SEARCH("Inverted",B41)),ISNUMBER(SEARCH("Avoid",B41)),ISNUMBER(SEARCH("Long",B41)),ISNUMBER(SEARCH("Negative",B41)),ISNUMBER(SEARCH("Expensive",B41)),ISNUMBER(SEARCH("Not Attractive",B41)),ISNUMBER(SEARCH("Downside",B41)))</formula>
    </cfRule>
  </conditionalFormatting>
  <dataValidations count="4">
    <dataValidation sqref="B18" showDropDown="0" showInputMessage="0" showErrorMessage="1" allowBlank="1" type="list">
      <formula1>"Treasury Bill,Treasury Note,Treasury Bond,Government Bond"</formula1>
    </dataValidation>
    <dataValidation sqref="B23" showDropDown="0" showInputMessage="0" showErrorMessage="1" allowBlank="1" type="list">
      <formula1>"Semiannual,Annual,Zero-coupon"</formula1>
    </dataValidation>
    <dataValidation sqref="B24" showDropDown="0" showInputMessage="0" showErrorMessage="1" allowBlank="1" type="list">
      <formula1>"0,1,2,3,4"</formula1>
    </dataValidation>
    <dataValidation sqref="B33" showDropDown="0" showInputMessage="0" showErrorMessage="1" allowBlank="1" type="list">
      <formula1>"Yields Rise,Yields Fall,Yields Stable"</formula1>
    </dataValidation>
  </dataValidation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3.xml><?xml version="1.0" encoding="utf-8"?>
<worksheet xmlns="http://schemas.openxmlformats.org/spreadsheetml/2006/main">
  <sheetPr>
    <tabColor rgb="002E5984"/>
    <outlinePr summaryBelow="1" summaryRight="1"/>
    <pageSetUpPr fitToPage="1"/>
  </sheetPr>
  <dimension ref="A1:J87"/>
  <sheetViews>
    <sheetView showGridLines="0" workbookViewId="0">
      <pane ySplit="19" topLeftCell="A20" activePane="bottomLeft" state="frozen"/>
      <selection pane="bottomLeft" activeCell="A1" sqref="A1"/>
    </sheetView>
  </sheetViews>
  <sheetFormatPr baseColWidth="8" defaultRowHeight="15"/>
  <cols>
    <col width="1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ht="28" customHeight="1">
      <c r="A1" s="1" t="inlineStr">
        <is>
          <t>BOND CASH FLOWS</t>
        </is>
      </c>
    </row>
    <row r="2">
      <c r="A2" s="2" t="inlineStr">
        <is>
          <t>What money do I receive - and what is it worth today?</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A bond is valued by taking every future payment and converting it into today's value (its PRESENT VALUE). Money received in the future is worth less than money today, because investors want a return for waiting.</t>
        </is>
      </c>
    </row>
    <row r="10" ht="25" customHeight="1">
      <c r="A10" s="6" t="inlineStr">
        <is>
          <t>Coupon cash flow = the interest payment. Principal cash flow = the face value repaid at maturity. Total cash flow = coupon + principal. Discount factor = how much a future 1 is worth today. Present value = total x discount factor.</t>
        </is>
      </c>
    </row>
    <row r="11" ht="25" customHeight="1">
      <c r="A11" s="6" t="inlineStr">
        <is>
          <t>A fixed-coupon bond pays coupons until maturity, plus the principal at the end. A zero-coupon bond has just ONE payment - the principal at maturity.</t>
        </is>
      </c>
    </row>
    <row r="14" ht="18" customHeight="1">
      <c r="A14" s="7" t="inlineStr">
        <is>
          <t>Schedule parameters (auto)</t>
        </is>
      </c>
    </row>
    <row r="15">
      <c r="A15" s="9" t="inlineStr">
        <is>
          <t>Remaining payments</t>
        </is>
      </c>
      <c r="B15" s="20">
        <f>IF(IsZero=1,1,COUPNUM(Settle,Mat,Freq,Basis))</f>
        <v/>
      </c>
      <c r="D15" s="8" t="inlineStr">
        <is>
          <t>Number of future payments (capped at 62 rows).</t>
        </is>
      </c>
    </row>
    <row r="16">
      <c r="A16" s="9" t="inlineStr">
        <is>
          <t>Next payment date</t>
        </is>
      </c>
      <c r="B16" s="26">
        <f>IF(IsZero=1,Mat,COUPNCD(Settle,Mat,Freq,Basis))</f>
        <v/>
      </c>
    </row>
    <row r="17">
      <c r="A17" s="9" t="inlineStr">
        <is>
          <t>Fraction of 1st period left</t>
        </is>
      </c>
      <c r="B17" s="27">
        <f>IF(IsZero=1,YrsToMat,COUPDAYSNC(Settle,Mat,Freq,Basis)/COUPDAYS(Settle,Mat,Freq,Basis))</f>
        <v/>
      </c>
    </row>
    <row r="19" ht="24" customHeight="1">
      <c r="A19" s="28" t="inlineStr">
        <is>
          <t>Payment #</t>
        </is>
      </c>
      <c r="B19" s="29" t="inlineStr">
        <is>
          <t>Payment date</t>
        </is>
      </c>
      <c r="C19" s="29" t="inlineStr">
        <is>
          <t>Coupon CF</t>
        </is>
      </c>
      <c r="D19" s="29" t="inlineStr">
        <is>
          <t>Principal CF</t>
        </is>
      </c>
      <c r="E19" s="29" t="inlineStr">
        <is>
          <t>Total CF</t>
        </is>
      </c>
      <c r="F19" s="29" t="inlineStr">
        <is>
          <t>Time (years)</t>
        </is>
      </c>
      <c r="G19" s="29" t="inlineStr">
        <is>
          <t>Discount factor</t>
        </is>
      </c>
      <c r="H19" s="29" t="inlineStr">
        <is>
          <t>PV of CF</t>
        </is>
      </c>
      <c r="I19" s="29" t="inlineStr">
        <is>
          <t>Convexity term</t>
        </is>
      </c>
      <c r="J19" s="29" t="inlineStr">
        <is>
          <t>Time x PV</t>
        </is>
      </c>
    </row>
    <row r="20">
      <c r="A20" s="20">
        <f>IF(1&gt;Ncoup,"",1)</f>
        <v/>
      </c>
      <c r="B20" s="26">
        <f>IF(1&gt;Ncoup,"",EDATE(Ncd,(12/Freq)*(1-1)))</f>
        <v/>
      </c>
      <c r="C20" s="30">
        <f>IF(1&gt;Ncoup,"",IF(IsZero=1,0,Cpn/Freq*Face))</f>
        <v/>
      </c>
      <c r="D20" s="30">
        <f>IF(1&gt;Ncoup,"",IF(1=Ncoup,Face,0))</f>
        <v/>
      </c>
      <c r="E20" s="30">
        <f>IF(1&gt;Ncoup,"",$C$20+$D$20)</f>
        <v/>
      </c>
      <c r="F20" s="31">
        <f>IF(1&gt;Ncoup,"",((1-1)+Wfrac)/Freq)</f>
        <v/>
      </c>
      <c r="G20" s="27">
        <f>IF(1&gt;Ncoup,"",1/(1+YTM/Freq)^((1-1)+Wfrac))</f>
        <v/>
      </c>
      <c r="H20" s="30">
        <f>IF(1&gt;Ncoup,"",$E$20*$G$20)</f>
        <v/>
      </c>
      <c r="I20" s="27">
        <f>IF(1&gt;Ncoup,"",$E$20*((1-1)+Wfrac)*((1-1)+Wfrac+1)/(1+YTM/Freq)^((1-1)+Wfrac+2))</f>
        <v/>
      </c>
      <c r="J20" s="27">
        <f>IF(1&gt;Ncoup,"",$F$20*$H$20)</f>
        <v/>
      </c>
    </row>
    <row r="21">
      <c r="A21" s="20">
        <f>IF(2&gt;Ncoup,"",2)</f>
        <v/>
      </c>
      <c r="B21" s="26">
        <f>IF(2&gt;Ncoup,"",EDATE(Ncd,(12/Freq)*(2-1)))</f>
        <v/>
      </c>
      <c r="C21" s="30">
        <f>IF(2&gt;Ncoup,"",IF(IsZero=1,0,Cpn/Freq*Face))</f>
        <v/>
      </c>
      <c r="D21" s="30">
        <f>IF(2&gt;Ncoup,"",IF(2=Ncoup,Face,0))</f>
        <v/>
      </c>
      <c r="E21" s="30">
        <f>IF(2&gt;Ncoup,"",$C$21+$D$21)</f>
        <v/>
      </c>
      <c r="F21" s="31">
        <f>IF(2&gt;Ncoup,"",((2-1)+Wfrac)/Freq)</f>
        <v/>
      </c>
      <c r="G21" s="27">
        <f>IF(2&gt;Ncoup,"",1/(1+YTM/Freq)^((2-1)+Wfrac))</f>
        <v/>
      </c>
      <c r="H21" s="30">
        <f>IF(2&gt;Ncoup,"",$E$21*$G$21)</f>
        <v/>
      </c>
      <c r="I21" s="27">
        <f>IF(2&gt;Ncoup,"",$E$21*((2-1)+Wfrac)*((2-1)+Wfrac+1)/(1+YTM/Freq)^((2-1)+Wfrac+2))</f>
        <v/>
      </c>
      <c r="J21" s="27">
        <f>IF(2&gt;Ncoup,"",$F$21*$H$21)</f>
        <v/>
      </c>
    </row>
    <row r="22">
      <c r="A22" s="20">
        <f>IF(3&gt;Ncoup,"",3)</f>
        <v/>
      </c>
      <c r="B22" s="26">
        <f>IF(3&gt;Ncoup,"",EDATE(Ncd,(12/Freq)*(3-1)))</f>
        <v/>
      </c>
      <c r="C22" s="30">
        <f>IF(3&gt;Ncoup,"",IF(IsZero=1,0,Cpn/Freq*Face))</f>
        <v/>
      </c>
      <c r="D22" s="30">
        <f>IF(3&gt;Ncoup,"",IF(3=Ncoup,Face,0))</f>
        <v/>
      </c>
      <c r="E22" s="30">
        <f>IF(3&gt;Ncoup,"",$C$22+$D$22)</f>
        <v/>
      </c>
      <c r="F22" s="31">
        <f>IF(3&gt;Ncoup,"",((3-1)+Wfrac)/Freq)</f>
        <v/>
      </c>
      <c r="G22" s="27">
        <f>IF(3&gt;Ncoup,"",1/(1+YTM/Freq)^((3-1)+Wfrac))</f>
        <v/>
      </c>
      <c r="H22" s="30">
        <f>IF(3&gt;Ncoup,"",$E$22*$G$22)</f>
        <v/>
      </c>
      <c r="I22" s="27">
        <f>IF(3&gt;Ncoup,"",$E$22*((3-1)+Wfrac)*((3-1)+Wfrac+1)/(1+YTM/Freq)^((3-1)+Wfrac+2))</f>
        <v/>
      </c>
      <c r="J22" s="27">
        <f>IF(3&gt;Ncoup,"",$F$22*$H$22)</f>
        <v/>
      </c>
    </row>
    <row r="23">
      <c r="A23" s="20">
        <f>IF(4&gt;Ncoup,"",4)</f>
        <v/>
      </c>
      <c r="B23" s="26">
        <f>IF(4&gt;Ncoup,"",EDATE(Ncd,(12/Freq)*(4-1)))</f>
        <v/>
      </c>
      <c r="C23" s="30">
        <f>IF(4&gt;Ncoup,"",IF(IsZero=1,0,Cpn/Freq*Face))</f>
        <v/>
      </c>
      <c r="D23" s="30">
        <f>IF(4&gt;Ncoup,"",IF(4=Ncoup,Face,0))</f>
        <v/>
      </c>
      <c r="E23" s="30">
        <f>IF(4&gt;Ncoup,"",$C$23+$D$23)</f>
        <v/>
      </c>
      <c r="F23" s="31">
        <f>IF(4&gt;Ncoup,"",((4-1)+Wfrac)/Freq)</f>
        <v/>
      </c>
      <c r="G23" s="27">
        <f>IF(4&gt;Ncoup,"",1/(1+YTM/Freq)^((4-1)+Wfrac))</f>
        <v/>
      </c>
      <c r="H23" s="30">
        <f>IF(4&gt;Ncoup,"",$E$23*$G$23)</f>
        <v/>
      </c>
      <c r="I23" s="27">
        <f>IF(4&gt;Ncoup,"",$E$23*((4-1)+Wfrac)*((4-1)+Wfrac+1)/(1+YTM/Freq)^((4-1)+Wfrac+2))</f>
        <v/>
      </c>
      <c r="J23" s="27">
        <f>IF(4&gt;Ncoup,"",$F$23*$H$23)</f>
        <v/>
      </c>
    </row>
    <row r="24">
      <c r="A24" s="20">
        <f>IF(5&gt;Ncoup,"",5)</f>
        <v/>
      </c>
      <c r="B24" s="26">
        <f>IF(5&gt;Ncoup,"",EDATE(Ncd,(12/Freq)*(5-1)))</f>
        <v/>
      </c>
      <c r="C24" s="30">
        <f>IF(5&gt;Ncoup,"",IF(IsZero=1,0,Cpn/Freq*Face))</f>
        <v/>
      </c>
      <c r="D24" s="30">
        <f>IF(5&gt;Ncoup,"",IF(5=Ncoup,Face,0))</f>
        <v/>
      </c>
      <c r="E24" s="30">
        <f>IF(5&gt;Ncoup,"",$C$24+$D$24)</f>
        <v/>
      </c>
      <c r="F24" s="31">
        <f>IF(5&gt;Ncoup,"",((5-1)+Wfrac)/Freq)</f>
        <v/>
      </c>
      <c r="G24" s="27">
        <f>IF(5&gt;Ncoup,"",1/(1+YTM/Freq)^((5-1)+Wfrac))</f>
        <v/>
      </c>
      <c r="H24" s="30">
        <f>IF(5&gt;Ncoup,"",$E$24*$G$24)</f>
        <v/>
      </c>
      <c r="I24" s="27">
        <f>IF(5&gt;Ncoup,"",$E$24*((5-1)+Wfrac)*((5-1)+Wfrac+1)/(1+YTM/Freq)^((5-1)+Wfrac+2))</f>
        <v/>
      </c>
      <c r="J24" s="27">
        <f>IF(5&gt;Ncoup,"",$F$24*$H$24)</f>
        <v/>
      </c>
    </row>
    <row r="25">
      <c r="A25" s="20">
        <f>IF(6&gt;Ncoup,"",6)</f>
        <v/>
      </c>
      <c r="B25" s="26">
        <f>IF(6&gt;Ncoup,"",EDATE(Ncd,(12/Freq)*(6-1)))</f>
        <v/>
      </c>
      <c r="C25" s="30">
        <f>IF(6&gt;Ncoup,"",IF(IsZero=1,0,Cpn/Freq*Face))</f>
        <v/>
      </c>
      <c r="D25" s="30">
        <f>IF(6&gt;Ncoup,"",IF(6=Ncoup,Face,0))</f>
        <v/>
      </c>
      <c r="E25" s="30">
        <f>IF(6&gt;Ncoup,"",$C$25+$D$25)</f>
        <v/>
      </c>
      <c r="F25" s="31">
        <f>IF(6&gt;Ncoup,"",((6-1)+Wfrac)/Freq)</f>
        <v/>
      </c>
      <c r="G25" s="27">
        <f>IF(6&gt;Ncoup,"",1/(1+YTM/Freq)^((6-1)+Wfrac))</f>
        <v/>
      </c>
      <c r="H25" s="30">
        <f>IF(6&gt;Ncoup,"",$E$25*$G$25)</f>
        <v/>
      </c>
      <c r="I25" s="27">
        <f>IF(6&gt;Ncoup,"",$E$25*((6-1)+Wfrac)*((6-1)+Wfrac+1)/(1+YTM/Freq)^((6-1)+Wfrac+2))</f>
        <v/>
      </c>
      <c r="J25" s="27">
        <f>IF(6&gt;Ncoup,"",$F$25*$H$25)</f>
        <v/>
      </c>
    </row>
    <row r="26">
      <c r="A26" s="20">
        <f>IF(7&gt;Ncoup,"",7)</f>
        <v/>
      </c>
      <c r="B26" s="26">
        <f>IF(7&gt;Ncoup,"",EDATE(Ncd,(12/Freq)*(7-1)))</f>
        <v/>
      </c>
      <c r="C26" s="30">
        <f>IF(7&gt;Ncoup,"",IF(IsZero=1,0,Cpn/Freq*Face))</f>
        <v/>
      </c>
      <c r="D26" s="30">
        <f>IF(7&gt;Ncoup,"",IF(7=Ncoup,Face,0))</f>
        <v/>
      </c>
      <c r="E26" s="30">
        <f>IF(7&gt;Ncoup,"",$C$26+$D$26)</f>
        <v/>
      </c>
      <c r="F26" s="31">
        <f>IF(7&gt;Ncoup,"",((7-1)+Wfrac)/Freq)</f>
        <v/>
      </c>
      <c r="G26" s="27">
        <f>IF(7&gt;Ncoup,"",1/(1+YTM/Freq)^((7-1)+Wfrac))</f>
        <v/>
      </c>
      <c r="H26" s="30">
        <f>IF(7&gt;Ncoup,"",$E$26*$G$26)</f>
        <v/>
      </c>
      <c r="I26" s="27">
        <f>IF(7&gt;Ncoup,"",$E$26*((7-1)+Wfrac)*((7-1)+Wfrac+1)/(1+YTM/Freq)^((7-1)+Wfrac+2))</f>
        <v/>
      </c>
      <c r="J26" s="27">
        <f>IF(7&gt;Ncoup,"",$F$26*$H$26)</f>
        <v/>
      </c>
    </row>
    <row r="27">
      <c r="A27" s="20">
        <f>IF(8&gt;Ncoup,"",8)</f>
        <v/>
      </c>
      <c r="B27" s="26">
        <f>IF(8&gt;Ncoup,"",EDATE(Ncd,(12/Freq)*(8-1)))</f>
        <v/>
      </c>
      <c r="C27" s="30">
        <f>IF(8&gt;Ncoup,"",IF(IsZero=1,0,Cpn/Freq*Face))</f>
        <v/>
      </c>
      <c r="D27" s="30">
        <f>IF(8&gt;Ncoup,"",IF(8=Ncoup,Face,0))</f>
        <v/>
      </c>
      <c r="E27" s="30">
        <f>IF(8&gt;Ncoup,"",$C$27+$D$27)</f>
        <v/>
      </c>
      <c r="F27" s="31">
        <f>IF(8&gt;Ncoup,"",((8-1)+Wfrac)/Freq)</f>
        <v/>
      </c>
      <c r="G27" s="27">
        <f>IF(8&gt;Ncoup,"",1/(1+YTM/Freq)^((8-1)+Wfrac))</f>
        <v/>
      </c>
      <c r="H27" s="30">
        <f>IF(8&gt;Ncoup,"",$E$27*$G$27)</f>
        <v/>
      </c>
      <c r="I27" s="27">
        <f>IF(8&gt;Ncoup,"",$E$27*((8-1)+Wfrac)*((8-1)+Wfrac+1)/(1+YTM/Freq)^((8-1)+Wfrac+2))</f>
        <v/>
      </c>
      <c r="J27" s="27">
        <f>IF(8&gt;Ncoup,"",$F$27*$H$27)</f>
        <v/>
      </c>
    </row>
    <row r="28">
      <c r="A28" s="20">
        <f>IF(9&gt;Ncoup,"",9)</f>
        <v/>
      </c>
      <c r="B28" s="26">
        <f>IF(9&gt;Ncoup,"",EDATE(Ncd,(12/Freq)*(9-1)))</f>
        <v/>
      </c>
      <c r="C28" s="30">
        <f>IF(9&gt;Ncoup,"",IF(IsZero=1,0,Cpn/Freq*Face))</f>
        <v/>
      </c>
      <c r="D28" s="30">
        <f>IF(9&gt;Ncoup,"",IF(9=Ncoup,Face,0))</f>
        <v/>
      </c>
      <c r="E28" s="30">
        <f>IF(9&gt;Ncoup,"",$C$28+$D$28)</f>
        <v/>
      </c>
      <c r="F28" s="31">
        <f>IF(9&gt;Ncoup,"",((9-1)+Wfrac)/Freq)</f>
        <v/>
      </c>
      <c r="G28" s="27">
        <f>IF(9&gt;Ncoup,"",1/(1+YTM/Freq)^((9-1)+Wfrac))</f>
        <v/>
      </c>
      <c r="H28" s="30">
        <f>IF(9&gt;Ncoup,"",$E$28*$G$28)</f>
        <v/>
      </c>
      <c r="I28" s="27">
        <f>IF(9&gt;Ncoup,"",$E$28*((9-1)+Wfrac)*((9-1)+Wfrac+1)/(1+YTM/Freq)^((9-1)+Wfrac+2))</f>
        <v/>
      </c>
      <c r="J28" s="27">
        <f>IF(9&gt;Ncoup,"",$F$28*$H$28)</f>
        <v/>
      </c>
    </row>
    <row r="29">
      <c r="A29" s="20">
        <f>IF(10&gt;Ncoup,"",10)</f>
        <v/>
      </c>
      <c r="B29" s="26">
        <f>IF(10&gt;Ncoup,"",EDATE(Ncd,(12/Freq)*(10-1)))</f>
        <v/>
      </c>
      <c r="C29" s="30">
        <f>IF(10&gt;Ncoup,"",IF(IsZero=1,0,Cpn/Freq*Face))</f>
        <v/>
      </c>
      <c r="D29" s="30">
        <f>IF(10&gt;Ncoup,"",IF(10=Ncoup,Face,0))</f>
        <v/>
      </c>
      <c r="E29" s="30">
        <f>IF(10&gt;Ncoup,"",$C$29+$D$29)</f>
        <v/>
      </c>
      <c r="F29" s="31">
        <f>IF(10&gt;Ncoup,"",((10-1)+Wfrac)/Freq)</f>
        <v/>
      </c>
      <c r="G29" s="27">
        <f>IF(10&gt;Ncoup,"",1/(1+YTM/Freq)^((10-1)+Wfrac))</f>
        <v/>
      </c>
      <c r="H29" s="30">
        <f>IF(10&gt;Ncoup,"",$E$29*$G$29)</f>
        <v/>
      </c>
      <c r="I29" s="27">
        <f>IF(10&gt;Ncoup,"",$E$29*((10-1)+Wfrac)*((10-1)+Wfrac+1)/(1+YTM/Freq)^((10-1)+Wfrac+2))</f>
        <v/>
      </c>
      <c r="J29" s="27">
        <f>IF(10&gt;Ncoup,"",$F$29*$H$29)</f>
        <v/>
      </c>
    </row>
    <row r="30">
      <c r="A30" s="20">
        <f>IF(11&gt;Ncoup,"",11)</f>
        <v/>
      </c>
      <c r="B30" s="26">
        <f>IF(11&gt;Ncoup,"",EDATE(Ncd,(12/Freq)*(11-1)))</f>
        <v/>
      </c>
      <c r="C30" s="30">
        <f>IF(11&gt;Ncoup,"",IF(IsZero=1,0,Cpn/Freq*Face))</f>
        <v/>
      </c>
      <c r="D30" s="30">
        <f>IF(11&gt;Ncoup,"",IF(11=Ncoup,Face,0))</f>
        <v/>
      </c>
      <c r="E30" s="30">
        <f>IF(11&gt;Ncoup,"",$C$30+$D$30)</f>
        <v/>
      </c>
      <c r="F30" s="31">
        <f>IF(11&gt;Ncoup,"",((11-1)+Wfrac)/Freq)</f>
        <v/>
      </c>
      <c r="G30" s="27">
        <f>IF(11&gt;Ncoup,"",1/(1+YTM/Freq)^((11-1)+Wfrac))</f>
        <v/>
      </c>
      <c r="H30" s="30">
        <f>IF(11&gt;Ncoup,"",$E$30*$G$30)</f>
        <v/>
      </c>
      <c r="I30" s="27">
        <f>IF(11&gt;Ncoup,"",$E$30*((11-1)+Wfrac)*((11-1)+Wfrac+1)/(1+YTM/Freq)^((11-1)+Wfrac+2))</f>
        <v/>
      </c>
      <c r="J30" s="27">
        <f>IF(11&gt;Ncoup,"",$F$30*$H$30)</f>
        <v/>
      </c>
    </row>
    <row r="31">
      <c r="A31" s="20">
        <f>IF(12&gt;Ncoup,"",12)</f>
        <v/>
      </c>
      <c r="B31" s="26">
        <f>IF(12&gt;Ncoup,"",EDATE(Ncd,(12/Freq)*(12-1)))</f>
        <v/>
      </c>
      <c r="C31" s="30">
        <f>IF(12&gt;Ncoup,"",IF(IsZero=1,0,Cpn/Freq*Face))</f>
        <v/>
      </c>
      <c r="D31" s="30">
        <f>IF(12&gt;Ncoup,"",IF(12=Ncoup,Face,0))</f>
        <v/>
      </c>
      <c r="E31" s="30">
        <f>IF(12&gt;Ncoup,"",$C$31+$D$31)</f>
        <v/>
      </c>
      <c r="F31" s="31">
        <f>IF(12&gt;Ncoup,"",((12-1)+Wfrac)/Freq)</f>
        <v/>
      </c>
      <c r="G31" s="27">
        <f>IF(12&gt;Ncoup,"",1/(1+YTM/Freq)^((12-1)+Wfrac))</f>
        <v/>
      </c>
      <c r="H31" s="30">
        <f>IF(12&gt;Ncoup,"",$E$31*$G$31)</f>
        <v/>
      </c>
      <c r="I31" s="27">
        <f>IF(12&gt;Ncoup,"",$E$31*((12-1)+Wfrac)*((12-1)+Wfrac+1)/(1+YTM/Freq)^((12-1)+Wfrac+2))</f>
        <v/>
      </c>
      <c r="J31" s="27">
        <f>IF(12&gt;Ncoup,"",$F$31*$H$31)</f>
        <v/>
      </c>
    </row>
    <row r="32">
      <c r="A32" s="20">
        <f>IF(13&gt;Ncoup,"",13)</f>
        <v/>
      </c>
      <c r="B32" s="26">
        <f>IF(13&gt;Ncoup,"",EDATE(Ncd,(12/Freq)*(13-1)))</f>
        <v/>
      </c>
      <c r="C32" s="30">
        <f>IF(13&gt;Ncoup,"",IF(IsZero=1,0,Cpn/Freq*Face))</f>
        <v/>
      </c>
      <c r="D32" s="30">
        <f>IF(13&gt;Ncoup,"",IF(13=Ncoup,Face,0))</f>
        <v/>
      </c>
      <c r="E32" s="30">
        <f>IF(13&gt;Ncoup,"",$C$32+$D$32)</f>
        <v/>
      </c>
      <c r="F32" s="31">
        <f>IF(13&gt;Ncoup,"",((13-1)+Wfrac)/Freq)</f>
        <v/>
      </c>
      <c r="G32" s="27">
        <f>IF(13&gt;Ncoup,"",1/(1+YTM/Freq)^((13-1)+Wfrac))</f>
        <v/>
      </c>
      <c r="H32" s="30">
        <f>IF(13&gt;Ncoup,"",$E$32*$G$32)</f>
        <v/>
      </c>
      <c r="I32" s="27">
        <f>IF(13&gt;Ncoup,"",$E$32*((13-1)+Wfrac)*((13-1)+Wfrac+1)/(1+YTM/Freq)^((13-1)+Wfrac+2))</f>
        <v/>
      </c>
      <c r="J32" s="27">
        <f>IF(13&gt;Ncoup,"",$F$32*$H$32)</f>
        <v/>
      </c>
    </row>
    <row r="33">
      <c r="A33" s="20">
        <f>IF(14&gt;Ncoup,"",14)</f>
        <v/>
      </c>
      <c r="B33" s="26">
        <f>IF(14&gt;Ncoup,"",EDATE(Ncd,(12/Freq)*(14-1)))</f>
        <v/>
      </c>
      <c r="C33" s="30">
        <f>IF(14&gt;Ncoup,"",IF(IsZero=1,0,Cpn/Freq*Face))</f>
        <v/>
      </c>
      <c r="D33" s="30">
        <f>IF(14&gt;Ncoup,"",IF(14=Ncoup,Face,0))</f>
        <v/>
      </c>
      <c r="E33" s="30">
        <f>IF(14&gt;Ncoup,"",$C$33+$D$33)</f>
        <v/>
      </c>
      <c r="F33" s="31">
        <f>IF(14&gt;Ncoup,"",((14-1)+Wfrac)/Freq)</f>
        <v/>
      </c>
      <c r="G33" s="27">
        <f>IF(14&gt;Ncoup,"",1/(1+YTM/Freq)^((14-1)+Wfrac))</f>
        <v/>
      </c>
      <c r="H33" s="30">
        <f>IF(14&gt;Ncoup,"",$E$33*$G$33)</f>
        <v/>
      </c>
      <c r="I33" s="27">
        <f>IF(14&gt;Ncoup,"",$E$33*((14-1)+Wfrac)*((14-1)+Wfrac+1)/(1+YTM/Freq)^((14-1)+Wfrac+2))</f>
        <v/>
      </c>
      <c r="J33" s="27">
        <f>IF(14&gt;Ncoup,"",$F$33*$H$33)</f>
        <v/>
      </c>
    </row>
    <row r="34">
      <c r="A34" s="20">
        <f>IF(15&gt;Ncoup,"",15)</f>
        <v/>
      </c>
      <c r="B34" s="26">
        <f>IF(15&gt;Ncoup,"",EDATE(Ncd,(12/Freq)*(15-1)))</f>
        <v/>
      </c>
      <c r="C34" s="30">
        <f>IF(15&gt;Ncoup,"",IF(IsZero=1,0,Cpn/Freq*Face))</f>
        <v/>
      </c>
      <c r="D34" s="30">
        <f>IF(15&gt;Ncoup,"",IF(15=Ncoup,Face,0))</f>
        <v/>
      </c>
      <c r="E34" s="30">
        <f>IF(15&gt;Ncoup,"",$C$34+$D$34)</f>
        <v/>
      </c>
      <c r="F34" s="31">
        <f>IF(15&gt;Ncoup,"",((15-1)+Wfrac)/Freq)</f>
        <v/>
      </c>
      <c r="G34" s="27">
        <f>IF(15&gt;Ncoup,"",1/(1+YTM/Freq)^((15-1)+Wfrac))</f>
        <v/>
      </c>
      <c r="H34" s="30">
        <f>IF(15&gt;Ncoup,"",$E$34*$G$34)</f>
        <v/>
      </c>
      <c r="I34" s="27">
        <f>IF(15&gt;Ncoup,"",$E$34*((15-1)+Wfrac)*((15-1)+Wfrac+1)/(1+YTM/Freq)^((15-1)+Wfrac+2))</f>
        <v/>
      </c>
      <c r="J34" s="27">
        <f>IF(15&gt;Ncoup,"",$F$34*$H$34)</f>
        <v/>
      </c>
    </row>
    <row r="35">
      <c r="A35" s="20">
        <f>IF(16&gt;Ncoup,"",16)</f>
        <v/>
      </c>
      <c r="B35" s="26">
        <f>IF(16&gt;Ncoup,"",EDATE(Ncd,(12/Freq)*(16-1)))</f>
        <v/>
      </c>
      <c r="C35" s="30">
        <f>IF(16&gt;Ncoup,"",IF(IsZero=1,0,Cpn/Freq*Face))</f>
        <v/>
      </c>
      <c r="D35" s="30">
        <f>IF(16&gt;Ncoup,"",IF(16=Ncoup,Face,0))</f>
        <v/>
      </c>
      <c r="E35" s="30">
        <f>IF(16&gt;Ncoup,"",$C$35+$D$35)</f>
        <v/>
      </c>
      <c r="F35" s="31">
        <f>IF(16&gt;Ncoup,"",((16-1)+Wfrac)/Freq)</f>
        <v/>
      </c>
      <c r="G35" s="27">
        <f>IF(16&gt;Ncoup,"",1/(1+YTM/Freq)^((16-1)+Wfrac))</f>
        <v/>
      </c>
      <c r="H35" s="30">
        <f>IF(16&gt;Ncoup,"",$E$35*$G$35)</f>
        <v/>
      </c>
      <c r="I35" s="27">
        <f>IF(16&gt;Ncoup,"",$E$35*((16-1)+Wfrac)*((16-1)+Wfrac+1)/(1+YTM/Freq)^((16-1)+Wfrac+2))</f>
        <v/>
      </c>
      <c r="J35" s="27">
        <f>IF(16&gt;Ncoup,"",$F$35*$H$35)</f>
        <v/>
      </c>
    </row>
    <row r="36">
      <c r="A36" s="20">
        <f>IF(17&gt;Ncoup,"",17)</f>
        <v/>
      </c>
      <c r="B36" s="26">
        <f>IF(17&gt;Ncoup,"",EDATE(Ncd,(12/Freq)*(17-1)))</f>
        <v/>
      </c>
      <c r="C36" s="30">
        <f>IF(17&gt;Ncoup,"",IF(IsZero=1,0,Cpn/Freq*Face))</f>
        <v/>
      </c>
      <c r="D36" s="30">
        <f>IF(17&gt;Ncoup,"",IF(17=Ncoup,Face,0))</f>
        <v/>
      </c>
      <c r="E36" s="30">
        <f>IF(17&gt;Ncoup,"",$C$36+$D$36)</f>
        <v/>
      </c>
      <c r="F36" s="31">
        <f>IF(17&gt;Ncoup,"",((17-1)+Wfrac)/Freq)</f>
        <v/>
      </c>
      <c r="G36" s="27">
        <f>IF(17&gt;Ncoup,"",1/(1+YTM/Freq)^((17-1)+Wfrac))</f>
        <v/>
      </c>
      <c r="H36" s="30">
        <f>IF(17&gt;Ncoup,"",$E$36*$G$36)</f>
        <v/>
      </c>
      <c r="I36" s="27">
        <f>IF(17&gt;Ncoup,"",$E$36*((17-1)+Wfrac)*((17-1)+Wfrac+1)/(1+YTM/Freq)^((17-1)+Wfrac+2))</f>
        <v/>
      </c>
      <c r="J36" s="27">
        <f>IF(17&gt;Ncoup,"",$F$36*$H$36)</f>
        <v/>
      </c>
    </row>
    <row r="37">
      <c r="A37" s="20">
        <f>IF(18&gt;Ncoup,"",18)</f>
        <v/>
      </c>
      <c r="B37" s="26">
        <f>IF(18&gt;Ncoup,"",EDATE(Ncd,(12/Freq)*(18-1)))</f>
        <v/>
      </c>
      <c r="C37" s="30">
        <f>IF(18&gt;Ncoup,"",IF(IsZero=1,0,Cpn/Freq*Face))</f>
        <v/>
      </c>
      <c r="D37" s="30">
        <f>IF(18&gt;Ncoup,"",IF(18=Ncoup,Face,0))</f>
        <v/>
      </c>
      <c r="E37" s="30">
        <f>IF(18&gt;Ncoup,"",$C$37+$D$37)</f>
        <v/>
      </c>
      <c r="F37" s="31">
        <f>IF(18&gt;Ncoup,"",((18-1)+Wfrac)/Freq)</f>
        <v/>
      </c>
      <c r="G37" s="27">
        <f>IF(18&gt;Ncoup,"",1/(1+YTM/Freq)^((18-1)+Wfrac))</f>
        <v/>
      </c>
      <c r="H37" s="30">
        <f>IF(18&gt;Ncoup,"",$E$37*$G$37)</f>
        <v/>
      </c>
      <c r="I37" s="27">
        <f>IF(18&gt;Ncoup,"",$E$37*((18-1)+Wfrac)*((18-1)+Wfrac+1)/(1+YTM/Freq)^((18-1)+Wfrac+2))</f>
        <v/>
      </c>
      <c r="J37" s="27">
        <f>IF(18&gt;Ncoup,"",$F$37*$H$37)</f>
        <v/>
      </c>
    </row>
    <row r="38">
      <c r="A38" s="20">
        <f>IF(19&gt;Ncoup,"",19)</f>
        <v/>
      </c>
      <c r="B38" s="26">
        <f>IF(19&gt;Ncoup,"",EDATE(Ncd,(12/Freq)*(19-1)))</f>
        <v/>
      </c>
      <c r="C38" s="30">
        <f>IF(19&gt;Ncoup,"",IF(IsZero=1,0,Cpn/Freq*Face))</f>
        <v/>
      </c>
      <c r="D38" s="30">
        <f>IF(19&gt;Ncoup,"",IF(19=Ncoup,Face,0))</f>
        <v/>
      </c>
      <c r="E38" s="30">
        <f>IF(19&gt;Ncoup,"",$C$38+$D$38)</f>
        <v/>
      </c>
      <c r="F38" s="31">
        <f>IF(19&gt;Ncoup,"",((19-1)+Wfrac)/Freq)</f>
        <v/>
      </c>
      <c r="G38" s="27">
        <f>IF(19&gt;Ncoup,"",1/(1+YTM/Freq)^((19-1)+Wfrac))</f>
        <v/>
      </c>
      <c r="H38" s="30">
        <f>IF(19&gt;Ncoup,"",$E$38*$G$38)</f>
        <v/>
      </c>
      <c r="I38" s="27">
        <f>IF(19&gt;Ncoup,"",$E$38*((19-1)+Wfrac)*((19-1)+Wfrac+1)/(1+YTM/Freq)^((19-1)+Wfrac+2))</f>
        <v/>
      </c>
      <c r="J38" s="27">
        <f>IF(19&gt;Ncoup,"",$F$38*$H$38)</f>
        <v/>
      </c>
    </row>
    <row r="39">
      <c r="A39" s="20">
        <f>IF(20&gt;Ncoup,"",20)</f>
        <v/>
      </c>
      <c r="B39" s="26">
        <f>IF(20&gt;Ncoup,"",EDATE(Ncd,(12/Freq)*(20-1)))</f>
        <v/>
      </c>
      <c r="C39" s="30">
        <f>IF(20&gt;Ncoup,"",IF(IsZero=1,0,Cpn/Freq*Face))</f>
        <v/>
      </c>
      <c r="D39" s="30">
        <f>IF(20&gt;Ncoup,"",IF(20=Ncoup,Face,0))</f>
        <v/>
      </c>
      <c r="E39" s="30">
        <f>IF(20&gt;Ncoup,"",$C$39+$D$39)</f>
        <v/>
      </c>
      <c r="F39" s="31">
        <f>IF(20&gt;Ncoup,"",((20-1)+Wfrac)/Freq)</f>
        <v/>
      </c>
      <c r="G39" s="27">
        <f>IF(20&gt;Ncoup,"",1/(1+YTM/Freq)^((20-1)+Wfrac))</f>
        <v/>
      </c>
      <c r="H39" s="30">
        <f>IF(20&gt;Ncoup,"",$E$39*$G$39)</f>
        <v/>
      </c>
      <c r="I39" s="27">
        <f>IF(20&gt;Ncoup,"",$E$39*((20-1)+Wfrac)*((20-1)+Wfrac+1)/(1+YTM/Freq)^((20-1)+Wfrac+2))</f>
        <v/>
      </c>
      <c r="J39" s="27">
        <f>IF(20&gt;Ncoup,"",$F$39*$H$39)</f>
        <v/>
      </c>
    </row>
    <row r="40">
      <c r="A40" s="20">
        <f>IF(21&gt;Ncoup,"",21)</f>
        <v/>
      </c>
      <c r="B40" s="26">
        <f>IF(21&gt;Ncoup,"",EDATE(Ncd,(12/Freq)*(21-1)))</f>
        <v/>
      </c>
      <c r="C40" s="30">
        <f>IF(21&gt;Ncoup,"",IF(IsZero=1,0,Cpn/Freq*Face))</f>
        <v/>
      </c>
      <c r="D40" s="30">
        <f>IF(21&gt;Ncoup,"",IF(21=Ncoup,Face,0))</f>
        <v/>
      </c>
      <c r="E40" s="30">
        <f>IF(21&gt;Ncoup,"",$C$40+$D$40)</f>
        <v/>
      </c>
      <c r="F40" s="31">
        <f>IF(21&gt;Ncoup,"",((21-1)+Wfrac)/Freq)</f>
        <v/>
      </c>
      <c r="G40" s="27">
        <f>IF(21&gt;Ncoup,"",1/(1+YTM/Freq)^((21-1)+Wfrac))</f>
        <v/>
      </c>
      <c r="H40" s="30">
        <f>IF(21&gt;Ncoup,"",$E$40*$G$40)</f>
        <v/>
      </c>
      <c r="I40" s="27">
        <f>IF(21&gt;Ncoup,"",$E$40*((21-1)+Wfrac)*((21-1)+Wfrac+1)/(1+YTM/Freq)^((21-1)+Wfrac+2))</f>
        <v/>
      </c>
      <c r="J40" s="27">
        <f>IF(21&gt;Ncoup,"",$F$40*$H$40)</f>
        <v/>
      </c>
    </row>
    <row r="41">
      <c r="A41" s="20">
        <f>IF(22&gt;Ncoup,"",22)</f>
        <v/>
      </c>
      <c r="B41" s="26">
        <f>IF(22&gt;Ncoup,"",EDATE(Ncd,(12/Freq)*(22-1)))</f>
        <v/>
      </c>
      <c r="C41" s="30">
        <f>IF(22&gt;Ncoup,"",IF(IsZero=1,0,Cpn/Freq*Face))</f>
        <v/>
      </c>
      <c r="D41" s="30">
        <f>IF(22&gt;Ncoup,"",IF(22=Ncoup,Face,0))</f>
        <v/>
      </c>
      <c r="E41" s="30">
        <f>IF(22&gt;Ncoup,"",$C$41+$D$41)</f>
        <v/>
      </c>
      <c r="F41" s="31">
        <f>IF(22&gt;Ncoup,"",((22-1)+Wfrac)/Freq)</f>
        <v/>
      </c>
      <c r="G41" s="27">
        <f>IF(22&gt;Ncoup,"",1/(1+YTM/Freq)^((22-1)+Wfrac))</f>
        <v/>
      </c>
      <c r="H41" s="30">
        <f>IF(22&gt;Ncoup,"",$E$41*$G$41)</f>
        <v/>
      </c>
      <c r="I41" s="27">
        <f>IF(22&gt;Ncoup,"",$E$41*((22-1)+Wfrac)*((22-1)+Wfrac+1)/(1+YTM/Freq)^((22-1)+Wfrac+2))</f>
        <v/>
      </c>
      <c r="J41" s="27">
        <f>IF(22&gt;Ncoup,"",$F$41*$H$41)</f>
        <v/>
      </c>
    </row>
    <row r="42">
      <c r="A42" s="20">
        <f>IF(23&gt;Ncoup,"",23)</f>
        <v/>
      </c>
      <c r="B42" s="26">
        <f>IF(23&gt;Ncoup,"",EDATE(Ncd,(12/Freq)*(23-1)))</f>
        <v/>
      </c>
      <c r="C42" s="30">
        <f>IF(23&gt;Ncoup,"",IF(IsZero=1,0,Cpn/Freq*Face))</f>
        <v/>
      </c>
      <c r="D42" s="30">
        <f>IF(23&gt;Ncoup,"",IF(23=Ncoup,Face,0))</f>
        <v/>
      </c>
      <c r="E42" s="30">
        <f>IF(23&gt;Ncoup,"",$C$42+$D$42)</f>
        <v/>
      </c>
      <c r="F42" s="31">
        <f>IF(23&gt;Ncoup,"",((23-1)+Wfrac)/Freq)</f>
        <v/>
      </c>
      <c r="G42" s="27">
        <f>IF(23&gt;Ncoup,"",1/(1+YTM/Freq)^((23-1)+Wfrac))</f>
        <v/>
      </c>
      <c r="H42" s="30">
        <f>IF(23&gt;Ncoup,"",$E$42*$G$42)</f>
        <v/>
      </c>
      <c r="I42" s="27">
        <f>IF(23&gt;Ncoup,"",$E$42*((23-1)+Wfrac)*((23-1)+Wfrac+1)/(1+YTM/Freq)^((23-1)+Wfrac+2))</f>
        <v/>
      </c>
      <c r="J42" s="27">
        <f>IF(23&gt;Ncoup,"",$F$42*$H$42)</f>
        <v/>
      </c>
    </row>
    <row r="43">
      <c r="A43" s="20">
        <f>IF(24&gt;Ncoup,"",24)</f>
        <v/>
      </c>
      <c r="B43" s="26">
        <f>IF(24&gt;Ncoup,"",EDATE(Ncd,(12/Freq)*(24-1)))</f>
        <v/>
      </c>
      <c r="C43" s="30">
        <f>IF(24&gt;Ncoup,"",IF(IsZero=1,0,Cpn/Freq*Face))</f>
        <v/>
      </c>
      <c r="D43" s="30">
        <f>IF(24&gt;Ncoup,"",IF(24=Ncoup,Face,0))</f>
        <v/>
      </c>
      <c r="E43" s="30">
        <f>IF(24&gt;Ncoup,"",$C$43+$D$43)</f>
        <v/>
      </c>
      <c r="F43" s="31">
        <f>IF(24&gt;Ncoup,"",((24-1)+Wfrac)/Freq)</f>
        <v/>
      </c>
      <c r="G43" s="27">
        <f>IF(24&gt;Ncoup,"",1/(1+YTM/Freq)^((24-1)+Wfrac))</f>
        <v/>
      </c>
      <c r="H43" s="30">
        <f>IF(24&gt;Ncoup,"",$E$43*$G$43)</f>
        <v/>
      </c>
      <c r="I43" s="27">
        <f>IF(24&gt;Ncoup,"",$E$43*((24-1)+Wfrac)*((24-1)+Wfrac+1)/(1+YTM/Freq)^((24-1)+Wfrac+2))</f>
        <v/>
      </c>
      <c r="J43" s="27">
        <f>IF(24&gt;Ncoup,"",$F$43*$H$43)</f>
        <v/>
      </c>
    </row>
    <row r="44">
      <c r="A44" s="20">
        <f>IF(25&gt;Ncoup,"",25)</f>
        <v/>
      </c>
      <c r="B44" s="26">
        <f>IF(25&gt;Ncoup,"",EDATE(Ncd,(12/Freq)*(25-1)))</f>
        <v/>
      </c>
      <c r="C44" s="30">
        <f>IF(25&gt;Ncoup,"",IF(IsZero=1,0,Cpn/Freq*Face))</f>
        <v/>
      </c>
      <c r="D44" s="30">
        <f>IF(25&gt;Ncoup,"",IF(25=Ncoup,Face,0))</f>
        <v/>
      </c>
      <c r="E44" s="30">
        <f>IF(25&gt;Ncoup,"",$C$44+$D$44)</f>
        <v/>
      </c>
      <c r="F44" s="31">
        <f>IF(25&gt;Ncoup,"",((25-1)+Wfrac)/Freq)</f>
        <v/>
      </c>
      <c r="G44" s="27">
        <f>IF(25&gt;Ncoup,"",1/(1+YTM/Freq)^((25-1)+Wfrac))</f>
        <v/>
      </c>
      <c r="H44" s="30">
        <f>IF(25&gt;Ncoup,"",$E$44*$G$44)</f>
        <v/>
      </c>
      <c r="I44" s="27">
        <f>IF(25&gt;Ncoup,"",$E$44*((25-1)+Wfrac)*((25-1)+Wfrac+1)/(1+YTM/Freq)^((25-1)+Wfrac+2))</f>
        <v/>
      </c>
      <c r="J44" s="27">
        <f>IF(25&gt;Ncoup,"",$F$44*$H$44)</f>
        <v/>
      </c>
    </row>
    <row r="45">
      <c r="A45" s="20">
        <f>IF(26&gt;Ncoup,"",26)</f>
        <v/>
      </c>
      <c r="B45" s="26">
        <f>IF(26&gt;Ncoup,"",EDATE(Ncd,(12/Freq)*(26-1)))</f>
        <v/>
      </c>
      <c r="C45" s="30">
        <f>IF(26&gt;Ncoup,"",IF(IsZero=1,0,Cpn/Freq*Face))</f>
        <v/>
      </c>
      <c r="D45" s="30">
        <f>IF(26&gt;Ncoup,"",IF(26=Ncoup,Face,0))</f>
        <v/>
      </c>
      <c r="E45" s="30">
        <f>IF(26&gt;Ncoup,"",$C$45+$D$45)</f>
        <v/>
      </c>
      <c r="F45" s="31">
        <f>IF(26&gt;Ncoup,"",((26-1)+Wfrac)/Freq)</f>
        <v/>
      </c>
      <c r="G45" s="27">
        <f>IF(26&gt;Ncoup,"",1/(1+YTM/Freq)^((26-1)+Wfrac))</f>
        <v/>
      </c>
      <c r="H45" s="30">
        <f>IF(26&gt;Ncoup,"",$E$45*$G$45)</f>
        <v/>
      </c>
      <c r="I45" s="27">
        <f>IF(26&gt;Ncoup,"",$E$45*((26-1)+Wfrac)*((26-1)+Wfrac+1)/(1+YTM/Freq)^((26-1)+Wfrac+2))</f>
        <v/>
      </c>
      <c r="J45" s="27">
        <f>IF(26&gt;Ncoup,"",$F$45*$H$45)</f>
        <v/>
      </c>
    </row>
    <row r="46">
      <c r="A46" s="20">
        <f>IF(27&gt;Ncoup,"",27)</f>
        <v/>
      </c>
      <c r="B46" s="26">
        <f>IF(27&gt;Ncoup,"",EDATE(Ncd,(12/Freq)*(27-1)))</f>
        <v/>
      </c>
      <c r="C46" s="30">
        <f>IF(27&gt;Ncoup,"",IF(IsZero=1,0,Cpn/Freq*Face))</f>
        <v/>
      </c>
      <c r="D46" s="30">
        <f>IF(27&gt;Ncoup,"",IF(27=Ncoup,Face,0))</f>
        <v/>
      </c>
      <c r="E46" s="30">
        <f>IF(27&gt;Ncoup,"",$C$46+$D$46)</f>
        <v/>
      </c>
      <c r="F46" s="31">
        <f>IF(27&gt;Ncoup,"",((27-1)+Wfrac)/Freq)</f>
        <v/>
      </c>
      <c r="G46" s="27">
        <f>IF(27&gt;Ncoup,"",1/(1+YTM/Freq)^((27-1)+Wfrac))</f>
        <v/>
      </c>
      <c r="H46" s="30">
        <f>IF(27&gt;Ncoup,"",$E$46*$G$46)</f>
        <v/>
      </c>
      <c r="I46" s="27">
        <f>IF(27&gt;Ncoup,"",$E$46*((27-1)+Wfrac)*((27-1)+Wfrac+1)/(1+YTM/Freq)^((27-1)+Wfrac+2))</f>
        <v/>
      </c>
      <c r="J46" s="27">
        <f>IF(27&gt;Ncoup,"",$F$46*$H$46)</f>
        <v/>
      </c>
    </row>
    <row r="47">
      <c r="A47" s="20">
        <f>IF(28&gt;Ncoup,"",28)</f>
        <v/>
      </c>
      <c r="B47" s="26">
        <f>IF(28&gt;Ncoup,"",EDATE(Ncd,(12/Freq)*(28-1)))</f>
        <v/>
      </c>
      <c r="C47" s="30">
        <f>IF(28&gt;Ncoup,"",IF(IsZero=1,0,Cpn/Freq*Face))</f>
        <v/>
      </c>
      <c r="D47" s="30">
        <f>IF(28&gt;Ncoup,"",IF(28=Ncoup,Face,0))</f>
        <v/>
      </c>
      <c r="E47" s="30">
        <f>IF(28&gt;Ncoup,"",$C$47+$D$47)</f>
        <v/>
      </c>
      <c r="F47" s="31">
        <f>IF(28&gt;Ncoup,"",((28-1)+Wfrac)/Freq)</f>
        <v/>
      </c>
      <c r="G47" s="27">
        <f>IF(28&gt;Ncoup,"",1/(1+YTM/Freq)^((28-1)+Wfrac))</f>
        <v/>
      </c>
      <c r="H47" s="30">
        <f>IF(28&gt;Ncoup,"",$E$47*$G$47)</f>
        <v/>
      </c>
      <c r="I47" s="27">
        <f>IF(28&gt;Ncoup,"",$E$47*((28-1)+Wfrac)*((28-1)+Wfrac+1)/(1+YTM/Freq)^((28-1)+Wfrac+2))</f>
        <v/>
      </c>
      <c r="J47" s="27">
        <f>IF(28&gt;Ncoup,"",$F$47*$H$47)</f>
        <v/>
      </c>
    </row>
    <row r="48">
      <c r="A48" s="20">
        <f>IF(29&gt;Ncoup,"",29)</f>
        <v/>
      </c>
      <c r="B48" s="26">
        <f>IF(29&gt;Ncoup,"",EDATE(Ncd,(12/Freq)*(29-1)))</f>
        <v/>
      </c>
      <c r="C48" s="30">
        <f>IF(29&gt;Ncoup,"",IF(IsZero=1,0,Cpn/Freq*Face))</f>
        <v/>
      </c>
      <c r="D48" s="30">
        <f>IF(29&gt;Ncoup,"",IF(29=Ncoup,Face,0))</f>
        <v/>
      </c>
      <c r="E48" s="30">
        <f>IF(29&gt;Ncoup,"",$C$48+$D$48)</f>
        <v/>
      </c>
      <c r="F48" s="31">
        <f>IF(29&gt;Ncoup,"",((29-1)+Wfrac)/Freq)</f>
        <v/>
      </c>
      <c r="G48" s="27">
        <f>IF(29&gt;Ncoup,"",1/(1+YTM/Freq)^((29-1)+Wfrac))</f>
        <v/>
      </c>
      <c r="H48" s="30">
        <f>IF(29&gt;Ncoup,"",$E$48*$G$48)</f>
        <v/>
      </c>
      <c r="I48" s="27">
        <f>IF(29&gt;Ncoup,"",$E$48*((29-1)+Wfrac)*((29-1)+Wfrac+1)/(1+YTM/Freq)^((29-1)+Wfrac+2))</f>
        <v/>
      </c>
      <c r="J48" s="27">
        <f>IF(29&gt;Ncoup,"",$F$48*$H$48)</f>
        <v/>
      </c>
    </row>
    <row r="49">
      <c r="A49" s="20">
        <f>IF(30&gt;Ncoup,"",30)</f>
        <v/>
      </c>
      <c r="B49" s="26">
        <f>IF(30&gt;Ncoup,"",EDATE(Ncd,(12/Freq)*(30-1)))</f>
        <v/>
      </c>
      <c r="C49" s="30">
        <f>IF(30&gt;Ncoup,"",IF(IsZero=1,0,Cpn/Freq*Face))</f>
        <v/>
      </c>
      <c r="D49" s="30">
        <f>IF(30&gt;Ncoup,"",IF(30=Ncoup,Face,0))</f>
        <v/>
      </c>
      <c r="E49" s="30">
        <f>IF(30&gt;Ncoup,"",$C$49+$D$49)</f>
        <v/>
      </c>
      <c r="F49" s="31">
        <f>IF(30&gt;Ncoup,"",((30-1)+Wfrac)/Freq)</f>
        <v/>
      </c>
      <c r="G49" s="27">
        <f>IF(30&gt;Ncoup,"",1/(1+YTM/Freq)^((30-1)+Wfrac))</f>
        <v/>
      </c>
      <c r="H49" s="30">
        <f>IF(30&gt;Ncoup,"",$E$49*$G$49)</f>
        <v/>
      </c>
      <c r="I49" s="27">
        <f>IF(30&gt;Ncoup,"",$E$49*((30-1)+Wfrac)*((30-1)+Wfrac+1)/(1+YTM/Freq)^((30-1)+Wfrac+2))</f>
        <v/>
      </c>
      <c r="J49" s="27">
        <f>IF(30&gt;Ncoup,"",$F$49*$H$49)</f>
        <v/>
      </c>
    </row>
    <row r="50">
      <c r="A50" s="20">
        <f>IF(31&gt;Ncoup,"",31)</f>
        <v/>
      </c>
      <c r="B50" s="26">
        <f>IF(31&gt;Ncoup,"",EDATE(Ncd,(12/Freq)*(31-1)))</f>
        <v/>
      </c>
      <c r="C50" s="30">
        <f>IF(31&gt;Ncoup,"",IF(IsZero=1,0,Cpn/Freq*Face))</f>
        <v/>
      </c>
      <c r="D50" s="30">
        <f>IF(31&gt;Ncoup,"",IF(31=Ncoup,Face,0))</f>
        <v/>
      </c>
      <c r="E50" s="30">
        <f>IF(31&gt;Ncoup,"",$C$50+$D$50)</f>
        <v/>
      </c>
      <c r="F50" s="31">
        <f>IF(31&gt;Ncoup,"",((31-1)+Wfrac)/Freq)</f>
        <v/>
      </c>
      <c r="G50" s="27">
        <f>IF(31&gt;Ncoup,"",1/(1+YTM/Freq)^((31-1)+Wfrac))</f>
        <v/>
      </c>
      <c r="H50" s="30">
        <f>IF(31&gt;Ncoup,"",$E$50*$G$50)</f>
        <v/>
      </c>
      <c r="I50" s="27">
        <f>IF(31&gt;Ncoup,"",$E$50*((31-1)+Wfrac)*((31-1)+Wfrac+1)/(1+YTM/Freq)^((31-1)+Wfrac+2))</f>
        <v/>
      </c>
      <c r="J50" s="27">
        <f>IF(31&gt;Ncoup,"",$F$50*$H$50)</f>
        <v/>
      </c>
    </row>
    <row r="51">
      <c r="A51" s="20">
        <f>IF(32&gt;Ncoup,"",32)</f>
        <v/>
      </c>
      <c r="B51" s="26">
        <f>IF(32&gt;Ncoup,"",EDATE(Ncd,(12/Freq)*(32-1)))</f>
        <v/>
      </c>
      <c r="C51" s="30">
        <f>IF(32&gt;Ncoup,"",IF(IsZero=1,0,Cpn/Freq*Face))</f>
        <v/>
      </c>
      <c r="D51" s="30">
        <f>IF(32&gt;Ncoup,"",IF(32=Ncoup,Face,0))</f>
        <v/>
      </c>
      <c r="E51" s="30">
        <f>IF(32&gt;Ncoup,"",$C$51+$D$51)</f>
        <v/>
      </c>
      <c r="F51" s="31">
        <f>IF(32&gt;Ncoup,"",((32-1)+Wfrac)/Freq)</f>
        <v/>
      </c>
      <c r="G51" s="27">
        <f>IF(32&gt;Ncoup,"",1/(1+YTM/Freq)^((32-1)+Wfrac))</f>
        <v/>
      </c>
      <c r="H51" s="30">
        <f>IF(32&gt;Ncoup,"",$E$51*$G$51)</f>
        <v/>
      </c>
      <c r="I51" s="27">
        <f>IF(32&gt;Ncoup,"",$E$51*((32-1)+Wfrac)*((32-1)+Wfrac+1)/(1+YTM/Freq)^((32-1)+Wfrac+2))</f>
        <v/>
      </c>
      <c r="J51" s="27">
        <f>IF(32&gt;Ncoup,"",$F$51*$H$51)</f>
        <v/>
      </c>
    </row>
    <row r="52">
      <c r="A52" s="20">
        <f>IF(33&gt;Ncoup,"",33)</f>
        <v/>
      </c>
      <c r="B52" s="26">
        <f>IF(33&gt;Ncoup,"",EDATE(Ncd,(12/Freq)*(33-1)))</f>
        <v/>
      </c>
      <c r="C52" s="30">
        <f>IF(33&gt;Ncoup,"",IF(IsZero=1,0,Cpn/Freq*Face))</f>
        <v/>
      </c>
      <c r="D52" s="30">
        <f>IF(33&gt;Ncoup,"",IF(33=Ncoup,Face,0))</f>
        <v/>
      </c>
      <c r="E52" s="30">
        <f>IF(33&gt;Ncoup,"",$C$52+$D$52)</f>
        <v/>
      </c>
      <c r="F52" s="31">
        <f>IF(33&gt;Ncoup,"",((33-1)+Wfrac)/Freq)</f>
        <v/>
      </c>
      <c r="G52" s="27">
        <f>IF(33&gt;Ncoup,"",1/(1+YTM/Freq)^((33-1)+Wfrac))</f>
        <v/>
      </c>
      <c r="H52" s="30">
        <f>IF(33&gt;Ncoup,"",$E$52*$G$52)</f>
        <v/>
      </c>
      <c r="I52" s="27">
        <f>IF(33&gt;Ncoup,"",$E$52*((33-1)+Wfrac)*((33-1)+Wfrac+1)/(1+YTM/Freq)^((33-1)+Wfrac+2))</f>
        <v/>
      </c>
      <c r="J52" s="27">
        <f>IF(33&gt;Ncoup,"",$F$52*$H$52)</f>
        <v/>
      </c>
    </row>
    <row r="53">
      <c r="A53" s="20">
        <f>IF(34&gt;Ncoup,"",34)</f>
        <v/>
      </c>
      <c r="B53" s="26">
        <f>IF(34&gt;Ncoup,"",EDATE(Ncd,(12/Freq)*(34-1)))</f>
        <v/>
      </c>
      <c r="C53" s="30">
        <f>IF(34&gt;Ncoup,"",IF(IsZero=1,0,Cpn/Freq*Face))</f>
        <v/>
      </c>
      <c r="D53" s="30">
        <f>IF(34&gt;Ncoup,"",IF(34=Ncoup,Face,0))</f>
        <v/>
      </c>
      <c r="E53" s="30">
        <f>IF(34&gt;Ncoup,"",$C$53+$D$53)</f>
        <v/>
      </c>
      <c r="F53" s="31">
        <f>IF(34&gt;Ncoup,"",((34-1)+Wfrac)/Freq)</f>
        <v/>
      </c>
      <c r="G53" s="27">
        <f>IF(34&gt;Ncoup,"",1/(1+YTM/Freq)^((34-1)+Wfrac))</f>
        <v/>
      </c>
      <c r="H53" s="30">
        <f>IF(34&gt;Ncoup,"",$E$53*$G$53)</f>
        <v/>
      </c>
      <c r="I53" s="27">
        <f>IF(34&gt;Ncoup,"",$E$53*((34-1)+Wfrac)*((34-1)+Wfrac+1)/(1+YTM/Freq)^((34-1)+Wfrac+2))</f>
        <v/>
      </c>
      <c r="J53" s="27">
        <f>IF(34&gt;Ncoup,"",$F$53*$H$53)</f>
        <v/>
      </c>
    </row>
    <row r="54">
      <c r="A54" s="20">
        <f>IF(35&gt;Ncoup,"",35)</f>
        <v/>
      </c>
      <c r="B54" s="26">
        <f>IF(35&gt;Ncoup,"",EDATE(Ncd,(12/Freq)*(35-1)))</f>
        <v/>
      </c>
      <c r="C54" s="30">
        <f>IF(35&gt;Ncoup,"",IF(IsZero=1,0,Cpn/Freq*Face))</f>
        <v/>
      </c>
      <c r="D54" s="30">
        <f>IF(35&gt;Ncoup,"",IF(35=Ncoup,Face,0))</f>
        <v/>
      </c>
      <c r="E54" s="30">
        <f>IF(35&gt;Ncoup,"",$C$54+$D$54)</f>
        <v/>
      </c>
      <c r="F54" s="31">
        <f>IF(35&gt;Ncoup,"",((35-1)+Wfrac)/Freq)</f>
        <v/>
      </c>
      <c r="G54" s="27">
        <f>IF(35&gt;Ncoup,"",1/(1+YTM/Freq)^((35-1)+Wfrac))</f>
        <v/>
      </c>
      <c r="H54" s="30">
        <f>IF(35&gt;Ncoup,"",$E$54*$G$54)</f>
        <v/>
      </c>
      <c r="I54" s="27">
        <f>IF(35&gt;Ncoup,"",$E$54*((35-1)+Wfrac)*((35-1)+Wfrac+1)/(1+YTM/Freq)^((35-1)+Wfrac+2))</f>
        <v/>
      </c>
      <c r="J54" s="27">
        <f>IF(35&gt;Ncoup,"",$F$54*$H$54)</f>
        <v/>
      </c>
    </row>
    <row r="55">
      <c r="A55" s="20">
        <f>IF(36&gt;Ncoup,"",36)</f>
        <v/>
      </c>
      <c r="B55" s="26">
        <f>IF(36&gt;Ncoup,"",EDATE(Ncd,(12/Freq)*(36-1)))</f>
        <v/>
      </c>
      <c r="C55" s="30">
        <f>IF(36&gt;Ncoup,"",IF(IsZero=1,0,Cpn/Freq*Face))</f>
        <v/>
      </c>
      <c r="D55" s="30">
        <f>IF(36&gt;Ncoup,"",IF(36=Ncoup,Face,0))</f>
        <v/>
      </c>
      <c r="E55" s="30">
        <f>IF(36&gt;Ncoup,"",$C$55+$D$55)</f>
        <v/>
      </c>
      <c r="F55" s="31">
        <f>IF(36&gt;Ncoup,"",((36-1)+Wfrac)/Freq)</f>
        <v/>
      </c>
      <c r="G55" s="27">
        <f>IF(36&gt;Ncoup,"",1/(1+YTM/Freq)^((36-1)+Wfrac))</f>
        <v/>
      </c>
      <c r="H55" s="30">
        <f>IF(36&gt;Ncoup,"",$E$55*$G$55)</f>
        <v/>
      </c>
      <c r="I55" s="27">
        <f>IF(36&gt;Ncoup,"",$E$55*((36-1)+Wfrac)*((36-1)+Wfrac+1)/(1+YTM/Freq)^((36-1)+Wfrac+2))</f>
        <v/>
      </c>
      <c r="J55" s="27">
        <f>IF(36&gt;Ncoup,"",$F$55*$H$55)</f>
        <v/>
      </c>
    </row>
    <row r="56">
      <c r="A56" s="20">
        <f>IF(37&gt;Ncoup,"",37)</f>
        <v/>
      </c>
      <c r="B56" s="26">
        <f>IF(37&gt;Ncoup,"",EDATE(Ncd,(12/Freq)*(37-1)))</f>
        <v/>
      </c>
      <c r="C56" s="30">
        <f>IF(37&gt;Ncoup,"",IF(IsZero=1,0,Cpn/Freq*Face))</f>
        <v/>
      </c>
      <c r="D56" s="30">
        <f>IF(37&gt;Ncoup,"",IF(37=Ncoup,Face,0))</f>
        <v/>
      </c>
      <c r="E56" s="30">
        <f>IF(37&gt;Ncoup,"",$C$56+$D$56)</f>
        <v/>
      </c>
      <c r="F56" s="31">
        <f>IF(37&gt;Ncoup,"",((37-1)+Wfrac)/Freq)</f>
        <v/>
      </c>
      <c r="G56" s="27">
        <f>IF(37&gt;Ncoup,"",1/(1+YTM/Freq)^((37-1)+Wfrac))</f>
        <v/>
      </c>
      <c r="H56" s="30">
        <f>IF(37&gt;Ncoup,"",$E$56*$G$56)</f>
        <v/>
      </c>
      <c r="I56" s="27">
        <f>IF(37&gt;Ncoup,"",$E$56*((37-1)+Wfrac)*((37-1)+Wfrac+1)/(1+YTM/Freq)^((37-1)+Wfrac+2))</f>
        <v/>
      </c>
      <c r="J56" s="27">
        <f>IF(37&gt;Ncoup,"",$F$56*$H$56)</f>
        <v/>
      </c>
    </row>
    <row r="57">
      <c r="A57" s="20">
        <f>IF(38&gt;Ncoup,"",38)</f>
        <v/>
      </c>
      <c r="B57" s="26">
        <f>IF(38&gt;Ncoup,"",EDATE(Ncd,(12/Freq)*(38-1)))</f>
        <v/>
      </c>
      <c r="C57" s="30">
        <f>IF(38&gt;Ncoup,"",IF(IsZero=1,0,Cpn/Freq*Face))</f>
        <v/>
      </c>
      <c r="D57" s="30">
        <f>IF(38&gt;Ncoup,"",IF(38=Ncoup,Face,0))</f>
        <v/>
      </c>
      <c r="E57" s="30">
        <f>IF(38&gt;Ncoup,"",$C$57+$D$57)</f>
        <v/>
      </c>
      <c r="F57" s="31">
        <f>IF(38&gt;Ncoup,"",((38-1)+Wfrac)/Freq)</f>
        <v/>
      </c>
      <c r="G57" s="27">
        <f>IF(38&gt;Ncoup,"",1/(1+YTM/Freq)^((38-1)+Wfrac))</f>
        <v/>
      </c>
      <c r="H57" s="30">
        <f>IF(38&gt;Ncoup,"",$E$57*$G$57)</f>
        <v/>
      </c>
      <c r="I57" s="27">
        <f>IF(38&gt;Ncoup,"",$E$57*((38-1)+Wfrac)*((38-1)+Wfrac+1)/(1+YTM/Freq)^((38-1)+Wfrac+2))</f>
        <v/>
      </c>
      <c r="J57" s="27">
        <f>IF(38&gt;Ncoup,"",$F$57*$H$57)</f>
        <v/>
      </c>
    </row>
    <row r="58">
      <c r="A58" s="20">
        <f>IF(39&gt;Ncoup,"",39)</f>
        <v/>
      </c>
      <c r="B58" s="26">
        <f>IF(39&gt;Ncoup,"",EDATE(Ncd,(12/Freq)*(39-1)))</f>
        <v/>
      </c>
      <c r="C58" s="30">
        <f>IF(39&gt;Ncoup,"",IF(IsZero=1,0,Cpn/Freq*Face))</f>
        <v/>
      </c>
      <c r="D58" s="30">
        <f>IF(39&gt;Ncoup,"",IF(39=Ncoup,Face,0))</f>
        <v/>
      </c>
      <c r="E58" s="30">
        <f>IF(39&gt;Ncoup,"",$C$58+$D$58)</f>
        <v/>
      </c>
      <c r="F58" s="31">
        <f>IF(39&gt;Ncoup,"",((39-1)+Wfrac)/Freq)</f>
        <v/>
      </c>
      <c r="G58" s="27">
        <f>IF(39&gt;Ncoup,"",1/(1+YTM/Freq)^((39-1)+Wfrac))</f>
        <v/>
      </c>
      <c r="H58" s="30">
        <f>IF(39&gt;Ncoup,"",$E$58*$G$58)</f>
        <v/>
      </c>
      <c r="I58" s="27">
        <f>IF(39&gt;Ncoup,"",$E$58*((39-1)+Wfrac)*((39-1)+Wfrac+1)/(1+YTM/Freq)^((39-1)+Wfrac+2))</f>
        <v/>
      </c>
      <c r="J58" s="27">
        <f>IF(39&gt;Ncoup,"",$F$58*$H$58)</f>
        <v/>
      </c>
    </row>
    <row r="59">
      <c r="A59" s="20">
        <f>IF(40&gt;Ncoup,"",40)</f>
        <v/>
      </c>
      <c r="B59" s="26">
        <f>IF(40&gt;Ncoup,"",EDATE(Ncd,(12/Freq)*(40-1)))</f>
        <v/>
      </c>
      <c r="C59" s="30">
        <f>IF(40&gt;Ncoup,"",IF(IsZero=1,0,Cpn/Freq*Face))</f>
        <v/>
      </c>
      <c r="D59" s="30">
        <f>IF(40&gt;Ncoup,"",IF(40=Ncoup,Face,0))</f>
        <v/>
      </c>
      <c r="E59" s="30">
        <f>IF(40&gt;Ncoup,"",$C$59+$D$59)</f>
        <v/>
      </c>
      <c r="F59" s="31">
        <f>IF(40&gt;Ncoup,"",((40-1)+Wfrac)/Freq)</f>
        <v/>
      </c>
      <c r="G59" s="27">
        <f>IF(40&gt;Ncoup,"",1/(1+YTM/Freq)^((40-1)+Wfrac))</f>
        <v/>
      </c>
      <c r="H59" s="30">
        <f>IF(40&gt;Ncoup,"",$E$59*$G$59)</f>
        <v/>
      </c>
      <c r="I59" s="27">
        <f>IF(40&gt;Ncoup,"",$E$59*((40-1)+Wfrac)*((40-1)+Wfrac+1)/(1+YTM/Freq)^((40-1)+Wfrac+2))</f>
        <v/>
      </c>
      <c r="J59" s="27">
        <f>IF(40&gt;Ncoup,"",$F$59*$H$59)</f>
        <v/>
      </c>
    </row>
    <row r="60">
      <c r="A60" s="20">
        <f>IF(41&gt;Ncoup,"",41)</f>
        <v/>
      </c>
      <c r="B60" s="26">
        <f>IF(41&gt;Ncoup,"",EDATE(Ncd,(12/Freq)*(41-1)))</f>
        <v/>
      </c>
      <c r="C60" s="30">
        <f>IF(41&gt;Ncoup,"",IF(IsZero=1,0,Cpn/Freq*Face))</f>
        <v/>
      </c>
      <c r="D60" s="30">
        <f>IF(41&gt;Ncoup,"",IF(41=Ncoup,Face,0))</f>
        <v/>
      </c>
      <c r="E60" s="30">
        <f>IF(41&gt;Ncoup,"",$C$60+$D$60)</f>
        <v/>
      </c>
      <c r="F60" s="31">
        <f>IF(41&gt;Ncoup,"",((41-1)+Wfrac)/Freq)</f>
        <v/>
      </c>
      <c r="G60" s="27">
        <f>IF(41&gt;Ncoup,"",1/(1+YTM/Freq)^((41-1)+Wfrac))</f>
        <v/>
      </c>
      <c r="H60" s="30">
        <f>IF(41&gt;Ncoup,"",$E$60*$G$60)</f>
        <v/>
      </c>
      <c r="I60" s="27">
        <f>IF(41&gt;Ncoup,"",$E$60*((41-1)+Wfrac)*((41-1)+Wfrac+1)/(1+YTM/Freq)^((41-1)+Wfrac+2))</f>
        <v/>
      </c>
      <c r="J60" s="27">
        <f>IF(41&gt;Ncoup,"",$F$60*$H$60)</f>
        <v/>
      </c>
    </row>
    <row r="61">
      <c r="A61" s="20">
        <f>IF(42&gt;Ncoup,"",42)</f>
        <v/>
      </c>
      <c r="B61" s="26">
        <f>IF(42&gt;Ncoup,"",EDATE(Ncd,(12/Freq)*(42-1)))</f>
        <v/>
      </c>
      <c r="C61" s="30">
        <f>IF(42&gt;Ncoup,"",IF(IsZero=1,0,Cpn/Freq*Face))</f>
        <v/>
      </c>
      <c r="D61" s="30">
        <f>IF(42&gt;Ncoup,"",IF(42=Ncoup,Face,0))</f>
        <v/>
      </c>
      <c r="E61" s="30">
        <f>IF(42&gt;Ncoup,"",$C$61+$D$61)</f>
        <v/>
      </c>
      <c r="F61" s="31">
        <f>IF(42&gt;Ncoup,"",((42-1)+Wfrac)/Freq)</f>
        <v/>
      </c>
      <c r="G61" s="27">
        <f>IF(42&gt;Ncoup,"",1/(1+YTM/Freq)^((42-1)+Wfrac))</f>
        <v/>
      </c>
      <c r="H61" s="30">
        <f>IF(42&gt;Ncoup,"",$E$61*$G$61)</f>
        <v/>
      </c>
      <c r="I61" s="27">
        <f>IF(42&gt;Ncoup,"",$E$61*((42-1)+Wfrac)*((42-1)+Wfrac+1)/(1+YTM/Freq)^((42-1)+Wfrac+2))</f>
        <v/>
      </c>
      <c r="J61" s="27">
        <f>IF(42&gt;Ncoup,"",$F$61*$H$61)</f>
        <v/>
      </c>
    </row>
    <row r="62">
      <c r="A62" s="20">
        <f>IF(43&gt;Ncoup,"",43)</f>
        <v/>
      </c>
      <c r="B62" s="26">
        <f>IF(43&gt;Ncoup,"",EDATE(Ncd,(12/Freq)*(43-1)))</f>
        <v/>
      </c>
      <c r="C62" s="30">
        <f>IF(43&gt;Ncoup,"",IF(IsZero=1,0,Cpn/Freq*Face))</f>
        <v/>
      </c>
      <c r="D62" s="30">
        <f>IF(43&gt;Ncoup,"",IF(43=Ncoup,Face,0))</f>
        <v/>
      </c>
      <c r="E62" s="30">
        <f>IF(43&gt;Ncoup,"",$C$62+$D$62)</f>
        <v/>
      </c>
      <c r="F62" s="31">
        <f>IF(43&gt;Ncoup,"",((43-1)+Wfrac)/Freq)</f>
        <v/>
      </c>
      <c r="G62" s="27">
        <f>IF(43&gt;Ncoup,"",1/(1+YTM/Freq)^((43-1)+Wfrac))</f>
        <v/>
      </c>
      <c r="H62" s="30">
        <f>IF(43&gt;Ncoup,"",$E$62*$G$62)</f>
        <v/>
      </c>
      <c r="I62" s="27">
        <f>IF(43&gt;Ncoup,"",$E$62*((43-1)+Wfrac)*((43-1)+Wfrac+1)/(1+YTM/Freq)^((43-1)+Wfrac+2))</f>
        <v/>
      </c>
      <c r="J62" s="27">
        <f>IF(43&gt;Ncoup,"",$F$62*$H$62)</f>
        <v/>
      </c>
    </row>
    <row r="63">
      <c r="A63" s="20">
        <f>IF(44&gt;Ncoup,"",44)</f>
        <v/>
      </c>
      <c r="B63" s="26">
        <f>IF(44&gt;Ncoup,"",EDATE(Ncd,(12/Freq)*(44-1)))</f>
        <v/>
      </c>
      <c r="C63" s="30">
        <f>IF(44&gt;Ncoup,"",IF(IsZero=1,0,Cpn/Freq*Face))</f>
        <v/>
      </c>
      <c r="D63" s="30">
        <f>IF(44&gt;Ncoup,"",IF(44=Ncoup,Face,0))</f>
        <v/>
      </c>
      <c r="E63" s="30">
        <f>IF(44&gt;Ncoup,"",$C$63+$D$63)</f>
        <v/>
      </c>
      <c r="F63" s="31">
        <f>IF(44&gt;Ncoup,"",((44-1)+Wfrac)/Freq)</f>
        <v/>
      </c>
      <c r="G63" s="27">
        <f>IF(44&gt;Ncoup,"",1/(1+YTM/Freq)^((44-1)+Wfrac))</f>
        <v/>
      </c>
      <c r="H63" s="30">
        <f>IF(44&gt;Ncoup,"",$E$63*$G$63)</f>
        <v/>
      </c>
      <c r="I63" s="27">
        <f>IF(44&gt;Ncoup,"",$E$63*((44-1)+Wfrac)*((44-1)+Wfrac+1)/(1+YTM/Freq)^((44-1)+Wfrac+2))</f>
        <v/>
      </c>
      <c r="J63" s="27">
        <f>IF(44&gt;Ncoup,"",$F$63*$H$63)</f>
        <v/>
      </c>
    </row>
    <row r="64">
      <c r="A64" s="20">
        <f>IF(45&gt;Ncoup,"",45)</f>
        <v/>
      </c>
      <c r="B64" s="26">
        <f>IF(45&gt;Ncoup,"",EDATE(Ncd,(12/Freq)*(45-1)))</f>
        <v/>
      </c>
      <c r="C64" s="30">
        <f>IF(45&gt;Ncoup,"",IF(IsZero=1,0,Cpn/Freq*Face))</f>
        <v/>
      </c>
      <c r="D64" s="30">
        <f>IF(45&gt;Ncoup,"",IF(45=Ncoup,Face,0))</f>
        <v/>
      </c>
      <c r="E64" s="30">
        <f>IF(45&gt;Ncoup,"",$C$64+$D$64)</f>
        <v/>
      </c>
      <c r="F64" s="31">
        <f>IF(45&gt;Ncoup,"",((45-1)+Wfrac)/Freq)</f>
        <v/>
      </c>
      <c r="G64" s="27">
        <f>IF(45&gt;Ncoup,"",1/(1+YTM/Freq)^((45-1)+Wfrac))</f>
        <v/>
      </c>
      <c r="H64" s="30">
        <f>IF(45&gt;Ncoup,"",$E$64*$G$64)</f>
        <v/>
      </c>
      <c r="I64" s="27">
        <f>IF(45&gt;Ncoup,"",$E$64*((45-1)+Wfrac)*((45-1)+Wfrac+1)/(1+YTM/Freq)^((45-1)+Wfrac+2))</f>
        <v/>
      </c>
      <c r="J64" s="27">
        <f>IF(45&gt;Ncoup,"",$F$64*$H$64)</f>
        <v/>
      </c>
    </row>
    <row r="65">
      <c r="A65" s="20">
        <f>IF(46&gt;Ncoup,"",46)</f>
        <v/>
      </c>
      <c r="B65" s="26">
        <f>IF(46&gt;Ncoup,"",EDATE(Ncd,(12/Freq)*(46-1)))</f>
        <v/>
      </c>
      <c r="C65" s="30">
        <f>IF(46&gt;Ncoup,"",IF(IsZero=1,0,Cpn/Freq*Face))</f>
        <v/>
      </c>
      <c r="D65" s="30">
        <f>IF(46&gt;Ncoup,"",IF(46=Ncoup,Face,0))</f>
        <v/>
      </c>
      <c r="E65" s="30">
        <f>IF(46&gt;Ncoup,"",$C$65+$D$65)</f>
        <v/>
      </c>
      <c r="F65" s="31">
        <f>IF(46&gt;Ncoup,"",((46-1)+Wfrac)/Freq)</f>
        <v/>
      </c>
      <c r="G65" s="27">
        <f>IF(46&gt;Ncoup,"",1/(1+YTM/Freq)^((46-1)+Wfrac))</f>
        <v/>
      </c>
      <c r="H65" s="30">
        <f>IF(46&gt;Ncoup,"",$E$65*$G$65)</f>
        <v/>
      </c>
      <c r="I65" s="27">
        <f>IF(46&gt;Ncoup,"",$E$65*((46-1)+Wfrac)*((46-1)+Wfrac+1)/(1+YTM/Freq)^((46-1)+Wfrac+2))</f>
        <v/>
      </c>
      <c r="J65" s="27">
        <f>IF(46&gt;Ncoup,"",$F$65*$H$65)</f>
        <v/>
      </c>
    </row>
    <row r="66">
      <c r="A66" s="20">
        <f>IF(47&gt;Ncoup,"",47)</f>
        <v/>
      </c>
      <c r="B66" s="26">
        <f>IF(47&gt;Ncoup,"",EDATE(Ncd,(12/Freq)*(47-1)))</f>
        <v/>
      </c>
      <c r="C66" s="30">
        <f>IF(47&gt;Ncoup,"",IF(IsZero=1,0,Cpn/Freq*Face))</f>
        <v/>
      </c>
      <c r="D66" s="30">
        <f>IF(47&gt;Ncoup,"",IF(47=Ncoup,Face,0))</f>
        <v/>
      </c>
      <c r="E66" s="30">
        <f>IF(47&gt;Ncoup,"",$C$66+$D$66)</f>
        <v/>
      </c>
      <c r="F66" s="31">
        <f>IF(47&gt;Ncoup,"",((47-1)+Wfrac)/Freq)</f>
        <v/>
      </c>
      <c r="G66" s="27">
        <f>IF(47&gt;Ncoup,"",1/(1+YTM/Freq)^((47-1)+Wfrac))</f>
        <v/>
      </c>
      <c r="H66" s="30">
        <f>IF(47&gt;Ncoup,"",$E$66*$G$66)</f>
        <v/>
      </c>
      <c r="I66" s="27">
        <f>IF(47&gt;Ncoup,"",$E$66*((47-1)+Wfrac)*((47-1)+Wfrac+1)/(1+YTM/Freq)^((47-1)+Wfrac+2))</f>
        <v/>
      </c>
      <c r="J66" s="27">
        <f>IF(47&gt;Ncoup,"",$F$66*$H$66)</f>
        <v/>
      </c>
    </row>
    <row r="67">
      <c r="A67" s="20">
        <f>IF(48&gt;Ncoup,"",48)</f>
        <v/>
      </c>
      <c r="B67" s="26">
        <f>IF(48&gt;Ncoup,"",EDATE(Ncd,(12/Freq)*(48-1)))</f>
        <v/>
      </c>
      <c r="C67" s="30">
        <f>IF(48&gt;Ncoup,"",IF(IsZero=1,0,Cpn/Freq*Face))</f>
        <v/>
      </c>
      <c r="D67" s="30">
        <f>IF(48&gt;Ncoup,"",IF(48=Ncoup,Face,0))</f>
        <v/>
      </c>
      <c r="E67" s="30">
        <f>IF(48&gt;Ncoup,"",$C$67+$D$67)</f>
        <v/>
      </c>
      <c r="F67" s="31">
        <f>IF(48&gt;Ncoup,"",((48-1)+Wfrac)/Freq)</f>
        <v/>
      </c>
      <c r="G67" s="27">
        <f>IF(48&gt;Ncoup,"",1/(1+YTM/Freq)^((48-1)+Wfrac))</f>
        <v/>
      </c>
      <c r="H67" s="30">
        <f>IF(48&gt;Ncoup,"",$E$67*$G$67)</f>
        <v/>
      </c>
      <c r="I67" s="27">
        <f>IF(48&gt;Ncoup,"",$E$67*((48-1)+Wfrac)*((48-1)+Wfrac+1)/(1+YTM/Freq)^((48-1)+Wfrac+2))</f>
        <v/>
      </c>
      <c r="J67" s="27">
        <f>IF(48&gt;Ncoup,"",$F$67*$H$67)</f>
        <v/>
      </c>
    </row>
    <row r="68">
      <c r="A68" s="20">
        <f>IF(49&gt;Ncoup,"",49)</f>
        <v/>
      </c>
      <c r="B68" s="26">
        <f>IF(49&gt;Ncoup,"",EDATE(Ncd,(12/Freq)*(49-1)))</f>
        <v/>
      </c>
      <c r="C68" s="30">
        <f>IF(49&gt;Ncoup,"",IF(IsZero=1,0,Cpn/Freq*Face))</f>
        <v/>
      </c>
      <c r="D68" s="30">
        <f>IF(49&gt;Ncoup,"",IF(49=Ncoup,Face,0))</f>
        <v/>
      </c>
      <c r="E68" s="30">
        <f>IF(49&gt;Ncoup,"",$C$68+$D$68)</f>
        <v/>
      </c>
      <c r="F68" s="31">
        <f>IF(49&gt;Ncoup,"",((49-1)+Wfrac)/Freq)</f>
        <v/>
      </c>
      <c r="G68" s="27">
        <f>IF(49&gt;Ncoup,"",1/(1+YTM/Freq)^((49-1)+Wfrac))</f>
        <v/>
      </c>
      <c r="H68" s="30">
        <f>IF(49&gt;Ncoup,"",$E$68*$G$68)</f>
        <v/>
      </c>
      <c r="I68" s="27">
        <f>IF(49&gt;Ncoup,"",$E$68*((49-1)+Wfrac)*((49-1)+Wfrac+1)/(1+YTM/Freq)^((49-1)+Wfrac+2))</f>
        <v/>
      </c>
      <c r="J68" s="27">
        <f>IF(49&gt;Ncoup,"",$F$68*$H$68)</f>
        <v/>
      </c>
    </row>
    <row r="69">
      <c r="A69" s="20">
        <f>IF(50&gt;Ncoup,"",50)</f>
        <v/>
      </c>
      <c r="B69" s="26">
        <f>IF(50&gt;Ncoup,"",EDATE(Ncd,(12/Freq)*(50-1)))</f>
        <v/>
      </c>
      <c r="C69" s="30">
        <f>IF(50&gt;Ncoup,"",IF(IsZero=1,0,Cpn/Freq*Face))</f>
        <v/>
      </c>
      <c r="D69" s="30">
        <f>IF(50&gt;Ncoup,"",IF(50=Ncoup,Face,0))</f>
        <v/>
      </c>
      <c r="E69" s="30">
        <f>IF(50&gt;Ncoup,"",$C$69+$D$69)</f>
        <v/>
      </c>
      <c r="F69" s="31">
        <f>IF(50&gt;Ncoup,"",((50-1)+Wfrac)/Freq)</f>
        <v/>
      </c>
      <c r="G69" s="27">
        <f>IF(50&gt;Ncoup,"",1/(1+YTM/Freq)^((50-1)+Wfrac))</f>
        <v/>
      </c>
      <c r="H69" s="30">
        <f>IF(50&gt;Ncoup,"",$E$69*$G$69)</f>
        <v/>
      </c>
      <c r="I69" s="27">
        <f>IF(50&gt;Ncoup,"",$E$69*((50-1)+Wfrac)*((50-1)+Wfrac+1)/(1+YTM/Freq)^((50-1)+Wfrac+2))</f>
        <v/>
      </c>
      <c r="J69" s="27">
        <f>IF(50&gt;Ncoup,"",$F$69*$H$69)</f>
        <v/>
      </c>
    </row>
    <row r="70">
      <c r="A70" s="20">
        <f>IF(51&gt;Ncoup,"",51)</f>
        <v/>
      </c>
      <c r="B70" s="26">
        <f>IF(51&gt;Ncoup,"",EDATE(Ncd,(12/Freq)*(51-1)))</f>
        <v/>
      </c>
      <c r="C70" s="30">
        <f>IF(51&gt;Ncoup,"",IF(IsZero=1,0,Cpn/Freq*Face))</f>
        <v/>
      </c>
      <c r="D70" s="30">
        <f>IF(51&gt;Ncoup,"",IF(51=Ncoup,Face,0))</f>
        <v/>
      </c>
      <c r="E70" s="30">
        <f>IF(51&gt;Ncoup,"",$C$70+$D$70)</f>
        <v/>
      </c>
      <c r="F70" s="31">
        <f>IF(51&gt;Ncoup,"",((51-1)+Wfrac)/Freq)</f>
        <v/>
      </c>
      <c r="G70" s="27">
        <f>IF(51&gt;Ncoup,"",1/(1+YTM/Freq)^((51-1)+Wfrac))</f>
        <v/>
      </c>
      <c r="H70" s="30">
        <f>IF(51&gt;Ncoup,"",$E$70*$G$70)</f>
        <v/>
      </c>
      <c r="I70" s="27">
        <f>IF(51&gt;Ncoup,"",$E$70*((51-1)+Wfrac)*((51-1)+Wfrac+1)/(1+YTM/Freq)^((51-1)+Wfrac+2))</f>
        <v/>
      </c>
      <c r="J70" s="27">
        <f>IF(51&gt;Ncoup,"",$F$70*$H$70)</f>
        <v/>
      </c>
    </row>
    <row r="71">
      <c r="A71" s="20">
        <f>IF(52&gt;Ncoup,"",52)</f>
        <v/>
      </c>
      <c r="B71" s="26">
        <f>IF(52&gt;Ncoup,"",EDATE(Ncd,(12/Freq)*(52-1)))</f>
        <v/>
      </c>
      <c r="C71" s="30">
        <f>IF(52&gt;Ncoup,"",IF(IsZero=1,0,Cpn/Freq*Face))</f>
        <v/>
      </c>
      <c r="D71" s="30">
        <f>IF(52&gt;Ncoup,"",IF(52=Ncoup,Face,0))</f>
        <v/>
      </c>
      <c r="E71" s="30">
        <f>IF(52&gt;Ncoup,"",$C$71+$D$71)</f>
        <v/>
      </c>
      <c r="F71" s="31">
        <f>IF(52&gt;Ncoup,"",((52-1)+Wfrac)/Freq)</f>
        <v/>
      </c>
      <c r="G71" s="27">
        <f>IF(52&gt;Ncoup,"",1/(1+YTM/Freq)^((52-1)+Wfrac))</f>
        <v/>
      </c>
      <c r="H71" s="30">
        <f>IF(52&gt;Ncoup,"",$E$71*$G$71)</f>
        <v/>
      </c>
      <c r="I71" s="27">
        <f>IF(52&gt;Ncoup,"",$E$71*((52-1)+Wfrac)*((52-1)+Wfrac+1)/(1+YTM/Freq)^((52-1)+Wfrac+2))</f>
        <v/>
      </c>
      <c r="J71" s="27">
        <f>IF(52&gt;Ncoup,"",$F$71*$H$71)</f>
        <v/>
      </c>
    </row>
    <row r="72">
      <c r="A72" s="20">
        <f>IF(53&gt;Ncoup,"",53)</f>
        <v/>
      </c>
      <c r="B72" s="26">
        <f>IF(53&gt;Ncoup,"",EDATE(Ncd,(12/Freq)*(53-1)))</f>
        <v/>
      </c>
      <c r="C72" s="30">
        <f>IF(53&gt;Ncoup,"",IF(IsZero=1,0,Cpn/Freq*Face))</f>
        <v/>
      </c>
      <c r="D72" s="30">
        <f>IF(53&gt;Ncoup,"",IF(53=Ncoup,Face,0))</f>
        <v/>
      </c>
      <c r="E72" s="30">
        <f>IF(53&gt;Ncoup,"",$C$72+$D$72)</f>
        <v/>
      </c>
      <c r="F72" s="31">
        <f>IF(53&gt;Ncoup,"",((53-1)+Wfrac)/Freq)</f>
        <v/>
      </c>
      <c r="G72" s="27">
        <f>IF(53&gt;Ncoup,"",1/(1+YTM/Freq)^((53-1)+Wfrac))</f>
        <v/>
      </c>
      <c r="H72" s="30">
        <f>IF(53&gt;Ncoup,"",$E$72*$G$72)</f>
        <v/>
      </c>
      <c r="I72" s="27">
        <f>IF(53&gt;Ncoup,"",$E$72*((53-1)+Wfrac)*((53-1)+Wfrac+1)/(1+YTM/Freq)^((53-1)+Wfrac+2))</f>
        <v/>
      </c>
      <c r="J72" s="27">
        <f>IF(53&gt;Ncoup,"",$F$72*$H$72)</f>
        <v/>
      </c>
    </row>
    <row r="73">
      <c r="A73" s="20">
        <f>IF(54&gt;Ncoup,"",54)</f>
        <v/>
      </c>
      <c r="B73" s="26">
        <f>IF(54&gt;Ncoup,"",EDATE(Ncd,(12/Freq)*(54-1)))</f>
        <v/>
      </c>
      <c r="C73" s="30">
        <f>IF(54&gt;Ncoup,"",IF(IsZero=1,0,Cpn/Freq*Face))</f>
        <v/>
      </c>
      <c r="D73" s="30">
        <f>IF(54&gt;Ncoup,"",IF(54=Ncoup,Face,0))</f>
        <v/>
      </c>
      <c r="E73" s="30">
        <f>IF(54&gt;Ncoup,"",$C$73+$D$73)</f>
        <v/>
      </c>
      <c r="F73" s="31">
        <f>IF(54&gt;Ncoup,"",((54-1)+Wfrac)/Freq)</f>
        <v/>
      </c>
      <c r="G73" s="27">
        <f>IF(54&gt;Ncoup,"",1/(1+YTM/Freq)^((54-1)+Wfrac))</f>
        <v/>
      </c>
      <c r="H73" s="30">
        <f>IF(54&gt;Ncoup,"",$E$73*$G$73)</f>
        <v/>
      </c>
      <c r="I73" s="27">
        <f>IF(54&gt;Ncoup,"",$E$73*((54-1)+Wfrac)*((54-1)+Wfrac+1)/(1+YTM/Freq)^((54-1)+Wfrac+2))</f>
        <v/>
      </c>
      <c r="J73" s="27">
        <f>IF(54&gt;Ncoup,"",$F$73*$H$73)</f>
        <v/>
      </c>
    </row>
    <row r="74">
      <c r="A74" s="20">
        <f>IF(55&gt;Ncoup,"",55)</f>
        <v/>
      </c>
      <c r="B74" s="26">
        <f>IF(55&gt;Ncoup,"",EDATE(Ncd,(12/Freq)*(55-1)))</f>
        <v/>
      </c>
      <c r="C74" s="30">
        <f>IF(55&gt;Ncoup,"",IF(IsZero=1,0,Cpn/Freq*Face))</f>
        <v/>
      </c>
      <c r="D74" s="30">
        <f>IF(55&gt;Ncoup,"",IF(55=Ncoup,Face,0))</f>
        <v/>
      </c>
      <c r="E74" s="30">
        <f>IF(55&gt;Ncoup,"",$C$74+$D$74)</f>
        <v/>
      </c>
      <c r="F74" s="31">
        <f>IF(55&gt;Ncoup,"",((55-1)+Wfrac)/Freq)</f>
        <v/>
      </c>
      <c r="G74" s="27">
        <f>IF(55&gt;Ncoup,"",1/(1+YTM/Freq)^((55-1)+Wfrac))</f>
        <v/>
      </c>
      <c r="H74" s="30">
        <f>IF(55&gt;Ncoup,"",$E$74*$G$74)</f>
        <v/>
      </c>
      <c r="I74" s="27">
        <f>IF(55&gt;Ncoup,"",$E$74*((55-1)+Wfrac)*((55-1)+Wfrac+1)/(1+YTM/Freq)^((55-1)+Wfrac+2))</f>
        <v/>
      </c>
      <c r="J74" s="27">
        <f>IF(55&gt;Ncoup,"",$F$74*$H$74)</f>
        <v/>
      </c>
    </row>
    <row r="75">
      <c r="A75" s="20">
        <f>IF(56&gt;Ncoup,"",56)</f>
        <v/>
      </c>
      <c r="B75" s="26">
        <f>IF(56&gt;Ncoup,"",EDATE(Ncd,(12/Freq)*(56-1)))</f>
        <v/>
      </c>
      <c r="C75" s="30">
        <f>IF(56&gt;Ncoup,"",IF(IsZero=1,0,Cpn/Freq*Face))</f>
        <v/>
      </c>
      <c r="D75" s="30">
        <f>IF(56&gt;Ncoup,"",IF(56=Ncoup,Face,0))</f>
        <v/>
      </c>
      <c r="E75" s="30">
        <f>IF(56&gt;Ncoup,"",$C$75+$D$75)</f>
        <v/>
      </c>
      <c r="F75" s="31">
        <f>IF(56&gt;Ncoup,"",((56-1)+Wfrac)/Freq)</f>
        <v/>
      </c>
      <c r="G75" s="27">
        <f>IF(56&gt;Ncoup,"",1/(1+YTM/Freq)^((56-1)+Wfrac))</f>
        <v/>
      </c>
      <c r="H75" s="30">
        <f>IF(56&gt;Ncoup,"",$E$75*$G$75)</f>
        <v/>
      </c>
      <c r="I75" s="27">
        <f>IF(56&gt;Ncoup,"",$E$75*((56-1)+Wfrac)*((56-1)+Wfrac+1)/(1+YTM/Freq)^((56-1)+Wfrac+2))</f>
        <v/>
      </c>
      <c r="J75" s="27">
        <f>IF(56&gt;Ncoup,"",$F$75*$H$75)</f>
        <v/>
      </c>
    </row>
    <row r="76">
      <c r="A76" s="20">
        <f>IF(57&gt;Ncoup,"",57)</f>
        <v/>
      </c>
      <c r="B76" s="26">
        <f>IF(57&gt;Ncoup,"",EDATE(Ncd,(12/Freq)*(57-1)))</f>
        <v/>
      </c>
      <c r="C76" s="30">
        <f>IF(57&gt;Ncoup,"",IF(IsZero=1,0,Cpn/Freq*Face))</f>
        <v/>
      </c>
      <c r="D76" s="30">
        <f>IF(57&gt;Ncoup,"",IF(57=Ncoup,Face,0))</f>
        <v/>
      </c>
      <c r="E76" s="30">
        <f>IF(57&gt;Ncoup,"",$C$76+$D$76)</f>
        <v/>
      </c>
      <c r="F76" s="31">
        <f>IF(57&gt;Ncoup,"",((57-1)+Wfrac)/Freq)</f>
        <v/>
      </c>
      <c r="G76" s="27">
        <f>IF(57&gt;Ncoup,"",1/(1+YTM/Freq)^((57-1)+Wfrac))</f>
        <v/>
      </c>
      <c r="H76" s="30">
        <f>IF(57&gt;Ncoup,"",$E$76*$G$76)</f>
        <v/>
      </c>
      <c r="I76" s="27">
        <f>IF(57&gt;Ncoup,"",$E$76*((57-1)+Wfrac)*((57-1)+Wfrac+1)/(1+YTM/Freq)^((57-1)+Wfrac+2))</f>
        <v/>
      </c>
      <c r="J76" s="27">
        <f>IF(57&gt;Ncoup,"",$F$76*$H$76)</f>
        <v/>
      </c>
    </row>
    <row r="77">
      <c r="A77" s="20">
        <f>IF(58&gt;Ncoup,"",58)</f>
        <v/>
      </c>
      <c r="B77" s="26">
        <f>IF(58&gt;Ncoup,"",EDATE(Ncd,(12/Freq)*(58-1)))</f>
        <v/>
      </c>
      <c r="C77" s="30">
        <f>IF(58&gt;Ncoup,"",IF(IsZero=1,0,Cpn/Freq*Face))</f>
        <v/>
      </c>
      <c r="D77" s="30">
        <f>IF(58&gt;Ncoup,"",IF(58=Ncoup,Face,0))</f>
        <v/>
      </c>
      <c r="E77" s="30">
        <f>IF(58&gt;Ncoup,"",$C$77+$D$77)</f>
        <v/>
      </c>
      <c r="F77" s="31">
        <f>IF(58&gt;Ncoup,"",((58-1)+Wfrac)/Freq)</f>
        <v/>
      </c>
      <c r="G77" s="27">
        <f>IF(58&gt;Ncoup,"",1/(1+YTM/Freq)^((58-1)+Wfrac))</f>
        <v/>
      </c>
      <c r="H77" s="30">
        <f>IF(58&gt;Ncoup,"",$E$77*$G$77)</f>
        <v/>
      </c>
      <c r="I77" s="27">
        <f>IF(58&gt;Ncoup,"",$E$77*((58-1)+Wfrac)*((58-1)+Wfrac+1)/(1+YTM/Freq)^((58-1)+Wfrac+2))</f>
        <v/>
      </c>
      <c r="J77" s="27">
        <f>IF(58&gt;Ncoup,"",$F$77*$H$77)</f>
        <v/>
      </c>
    </row>
    <row r="78">
      <c r="A78" s="20">
        <f>IF(59&gt;Ncoup,"",59)</f>
        <v/>
      </c>
      <c r="B78" s="26">
        <f>IF(59&gt;Ncoup,"",EDATE(Ncd,(12/Freq)*(59-1)))</f>
        <v/>
      </c>
      <c r="C78" s="30">
        <f>IF(59&gt;Ncoup,"",IF(IsZero=1,0,Cpn/Freq*Face))</f>
        <v/>
      </c>
      <c r="D78" s="30">
        <f>IF(59&gt;Ncoup,"",IF(59=Ncoup,Face,0))</f>
        <v/>
      </c>
      <c r="E78" s="30">
        <f>IF(59&gt;Ncoup,"",$C$78+$D$78)</f>
        <v/>
      </c>
      <c r="F78" s="31">
        <f>IF(59&gt;Ncoup,"",((59-1)+Wfrac)/Freq)</f>
        <v/>
      </c>
      <c r="G78" s="27">
        <f>IF(59&gt;Ncoup,"",1/(1+YTM/Freq)^((59-1)+Wfrac))</f>
        <v/>
      </c>
      <c r="H78" s="30">
        <f>IF(59&gt;Ncoup,"",$E$78*$G$78)</f>
        <v/>
      </c>
      <c r="I78" s="27">
        <f>IF(59&gt;Ncoup,"",$E$78*((59-1)+Wfrac)*((59-1)+Wfrac+1)/(1+YTM/Freq)^((59-1)+Wfrac+2))</f>
        <v/>
      </c>
      <c r="J78" s="27">
        <f>IF(59&gt;Ncoup,"",$F$78*$H$78)</f>
        <v/>
      </c>
    </row>
    <row r="79">
      <c r="A79" s="20">
        <f>IF(60&gt;Ncoup,"",60)</f>
        <v/>
      </c>
      <c r="B79" s="26">
        <f>IF(60&gt;Ncoup,"",EDATE(Ncd,(12/Freq)*(60-1)))</f>
        <v/>
      </c>
      <c r="C79" s="30">
        <f>IF(60&gt;Ncoup,"",IF(IsZero=1,0,Cpn/Freq*Face))</f>
        <v/>
      </c>
      <c r="D79" s="30">
        <f>IF(60&gt;Ncoup,"",IF(60=Ncoup,Face,0))</f>
        <v/>
      </c>
      <c r="E79" s="30">
        <f>IF(60&gt;Ncoup,"",$C$79+$D$79)</f>
        <v/>
      </c>
      <c r="F79" s="31">
        <f>IF(60&gt;Ncoup,"",((60-1)+Wfrac)/Freq)</f>
        <v/>
      </c>
      <c r="G79" s="27">
        <f>IF(60&gt;Ncoup,"",1/(1+YTM/Freq)^((60-1)+Wfrac))</f>
        <v/>
      </c>
      <c r="H79" s="30">
        <f>IF(60&gt;Ncoup,"",$E$79*$G$79)</f>
        <v/>
      </c>
      <c r="I79" s="27">
        <f>IF(60&gt;Ncoup,"",$E$79*((60-1)+Wfrac)*((60-1)+Wfrac+1)/(1+YTM/Freq)^((60-1)+Wfrac+2))</f>
        <v/>
      </c>
      <c r="J79" s="27">
        <f>IF(60&gt;Ncoup,"",$F$79*$H$79)</f>
        <v/>
      </c>
    </row>
    <row r="80">
      <c r="A80" s="20">
        <f>IF(61&gt;Ncoup,"",61)</f>
        <v/>
      </c>
      <c r="B80" s="26">
        <f>IF(61&gt;Ncoup,"",EDATE(Ncd,(12/Freq)*(61-1)))</f>
        <v/>
      </c>
      <c r="C80" s="30">
        <f>IF(61&gt;Ncoup,"",IF(IsZero=1,0,Cpn/Freq*Face))</f>
        <v/>
      </c>
      <c r="D80" s="30">
        <f>IF(61&gt;Ncoup,"",IF(61=Ncoup,Face,0))</f>
        <v/>
      </c>
      <c r="E80" s="30">
        <f>IF(61&gt;Ncoup,"",$C$80+$D$80)</f>
        <v/>
      </c>
      <c r="F80" s="31">
        <f>IF(61&gt;Ncoup,"",((61-1)+Wfrac)/Freq)</f>
        <v/>
      </c>
      <c r="G80" s="27">
        <f>IF(61&gt;Ncoup,"",1/(1+YTM/Freq)^((61-1)+Wfrac))</f>
        <v/>
      </c>
      <c r="H80" s="30">
        <f>IF(61&gt;Ncoup,"",$E$80*$G$80)</f>
        <v/>
      </c>
      <c r="I80" s="27">
        <f>IF(61&gt;Ncoup,"",$E$80*((61-1)+Wfrac)*((61-1)+Wfrac+1)/(1+YTM/Freq)^((61-1)+Wfrac+2))</f>
        <v/>
      </c>
      <c r="J80" s="27">
        <f>IF(61&gt;Ncoup,"",$F$80*$H$80)</f>
        <v/>
      </c>
    </row>
    <row r="81">
      <c r="A81" s="20">
        <f>IF(62&gt;Ncoup,"",62)</f>
        <v/>
      </c>
      <c r="B81" s="26">
        <f>IF(62&gt;Ncoup,"",EDATE(Ncd,(12/Freq)*(62-1)))</f>
        <v/>
      </c>
      <c r="C81" s="30">
        <f>IF(62&gt;Ncoup,"",IF(IsZero=1,0,Cpn/Freq*Face))</f>
        <v/>
      </c>
      <c r="D81" s="30">
        <f>IF(62&gt;Ncoup,"",IF(62=Ncoup,Face,0))</f>
        <v/>
      </c>
      <c r="E81" s="30">
        <f>IF(62&gt;Ncoup,"",$C$81+$D$81)</f>
        <v/>
      </c>
      <c r="F81" s="31">
        <f>IF(62&gt;Ncoup,"",((62-1)+Wfrac)/Freq)</f>
        <v/>
      </c>
      <c r="G81" s="27">
        <f>IF(62&gt;Ncoup,"",1/(1+YTM/Freq)^((62-1)+Wfrac))</f>
        <v/>
      </c>
      <c r="H81" s="30">
        <f>IF(62&gt;Ncoup,"",$E$81*$G$81)</f>
        <v/>
      </c>
      <c r="I81" s="27">
        <f>IF(62&gt;Ncoup,"",$E$81*((62-1)+Wfrac)*((62-1)+Wfrac+1)/(1+YTM/Freq)^((62-1)+Wfrac+2))</f>
        <v/>
      </c>
      <c r="J81" s="27">
        <f>IF(62&gt;Ncoup,"",$F$81*$H$81)</f>
        <v/>
      </c>
    </row>
    <row r="82">
      <c r="A82" s="32" t="inlineStr">
        <is>
          <t>Totals</t>
        </is>
      </c>
      <c r="C82" s="33">
        <f>SUM(C20:C81)</f>
        <v/>
      </c>
      <c r="D82" s="33">
        <f>SUM(D20:D81)</f>
        <v/>
      </c>
      <c r="E82" s="33">
        <f>SUM(E20:E81)</f>
        <v/>
      </c>
      <c r="H82" s="33">
        <f>SUM(H20:H81)</f>
        <v/>
      </c>
    </row>
    <row r="84" ht="18" customHeight="1">
      <c r="A84" s="7" t="inlineStr">
        <is>
          <t>From the schedule (auto)</t>
        </is>
      </c>
    </row>
    <row r="85">
      <c r="A85" s="9" t="inlineStr">
        <is>
          <t>Sum of PV  =  Dirty price</t>
        </is>
      </c>
      <c r="B85" s="34">
        <f>SUM(H20:H81)</f>
        <v/>
      </c>
      <c r="D85" s="8" t="inlineStr">
        <is>
          <t>Add up all the present values and you get the bond's dirty price.</t>
        </is>
      </c>
    </row>
    <row r="86">
      <c r="A86" s="9" t="inlineStr">
        <is>
          <t>Macaulay duration (schedule)</t>
        </is>
      </c>
      <c r="B86" s="35">
        <f>SUM(J20:J81)/SUM(H20:H81)</f>
        <v/>
      </c>
    </row>
    <row r="87">
      <c r="A87" s="9" t="inlineStr">
        <is>
          <t>Convexity (schedule)</t>
        </is>
      </c>
      <c r="B87" s="36">
        <f>SUM(I20:I81)/(SUM(H20:H81)*Freq^2)</f>
        <v/>
      </c>
    </row>
  </sheetData>
  <mergeCells count="12">
    <mergeCell ref="A1:J1"/>
    <mergeCell ref="D85:J85"/>
    <mergeCell ref="A84:J84"/>
    <mergeCell ref="A8:J8"/>
    <mergeCell ref="A14:J14"/>
    <mergeCell ref="D17:J17"/>
    <mergeCell ref="A9:J9"/>
    <mergeCell ref="A3:J3"/>
    <mergeCell ref="A2:J2"/>
    <mergeCell ref="D15:J15"/>
    <mergeCell ref="A10:J10"/>
    <mergeCell ref="A11:J11"/>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1F7A3D"/>
    <outlinePr summaryBelow="1" summaryRight="1"/>
    <pageSetUpPr fitToPage="1"/>
  </sheetPr>
  <dimension ref="A1:F32"/>
  <sheetViews>
    <sheetView showGridLines="0" workbookViewId="0">
      <pane ySplit="5" topLeftCell="A6" activePane="bottomLeft" state="frozen"/>
      <selection pane="bottomLeft" activeCell="A1" sqref="A1"/>
    </sheetView>
  </sheetViews>
  <sheetFormatPr baseColWidth="8" defaultRowHeight="15"/>
  <cols>
    <col width="26" customWidth="1" min="1" max="1"/>
    <col width="13" customWidth="1" min="2" max="2"/>
    <col width="8" customWidth="1" min="3" max="3"/>
    <col width="14" customWidth="1" min="4" max="4"/>
    <col width="14" customWidth="1" min="5" max="5"/>
    <col width="14" customWidth="1" min="6" max="6"/>
  </cols>
  <sheetData>
    <row r="1" ht="28" customHeight="1">
      <c r="A1" s="1" t="inlineStr">
        <is>
          <t>PRICE BASICS</t>
        </is>
      </c>
    </row>
    <row r="2">
      <c r="A2" s="2" t="inlineStr">
        <is>
          <t>Clean price, dirty price and accrued interest - the price you actually pay</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There are TWO prices for a bond. The CLEAN price is the quoted market price you see on a screen. The DIRTY price is what you actually PAY, because it also includes accrued interest.</t>
        </is>
      </c>
    </row>
    <row r="10" ht="25" customHeight="1">
      <c r="A10" s="6" t="inlineStr">
        <is>
          <t>ACCRUED INTEREST is the coupon the seller has earned since the last coupon date. When you buy, you pay it back to the seller (you will collect the full coupon next time).</t>
        </is>
      </c>
    </row>
    <row r="11" ht="14" customHeight="1">
      <c r="A11" s="6" t="inlineStr">
        <is>
          <t>Dirty price = clean price + accrued interest.</t>
        </is>
      </c>
    </row>
    <row r="14" ht="18" customHeight="1">
      <c r="A14" s="7" t="inlineStr">
        <is>
          <t>The three numbers</t>
        </is>
      </c>
    </row>
    <row r="15">
      <c r="A15" s="9" t="inlineStr">
        <is>
          <t>Clean price (quoted)</t>
        </is>
      </c>
      <c r="B15" s="37">
        <f>MktClean</f>
        <v/>
      </c>
    </row>
    <row r="16" ht="16" customHeight="1">
      <c r="A16" s="5" t="inlineStr">
        <is>
          <t>Explanation / Interpretation</t>
        </is>
      </c>
    </row>
    <row r="17" ht="14" customHeight="1">
      <c r="A17" s="6" t="inlineStr">
        <is>
          <t>This is just your input from the Inputs sheet - the quoted price, excluding accrued interest.</t>
        </is>
      </c>
    </row>
    <row r="19">
      <c r="A19" s="9" t="inlineStr">
        <is>
          <t>Accrued interest</t>
        </is>
      </c>
      <c r="B19" s="34">
        <f>IF(IsZero=1,0,COUPDAYBS(Settle,Mat,Freq,Basis)/COUPDAYS(Settle,Mat,Freq,Basis)*Cpn/Freq*Face)</f>
        <v/>
      </c>
      <c r="C19" s="25" t="n"/>
    </row>
    <row r="20" ht="16" customHeight="1">
      <c r="A20" s="5" t="inlineStr">
        <is>
          <t>Explanation / Interpretation</t>
        </is>
      </c>
    </row>
    <row r="21" ht="25" customHeight="1">
      <c r="A21" s="6" t="inlineStr">
        <is>
          <t>What it means: the slice of the next coupon the seller has already earned. Why it matters: it is added to the quoted price, so it is part of what you pay. It is ZERO for a bill / zero-coupon bond (no coupons).</t>
        </is>
      </c>
    </row>
    <row r="22" ht="25" customHeight="1">
      <c r="A22" s="6" t="inlineStr">
        <is>
          <t>Example: on a 4% bond, halfway through a 6-month period, roughly half of the 2.0 semiannual coupon (~1.0) has accrued.</t>
        </is>
      </c>
    </row>
    <row r="24">
      <c r="A24" s="9" t="inlineStr">
        <is>
          <t>Dirty price (what you pay)</t>
        </is>
      </c>
      <c r="B24" s="38">
        <f>MktClean+Accrued</f>
        <v/>
      </c>
      <c r="C24" s="39" t="n"/>
    </row>
    <row r="25" ht="16" customHeight="1">
      <c r="A25" s="5" t="inlineStr">
        <is>
          <t>Explanation / Interpretation</t>
        </is>
      </c>
    </row>
    <row r="26" ht="25" customHeight="1">
      <c r="A26" s="6" t="inlineStr">
        <is>
          <t>What it means: the real cash cost = clean + accrued. Example: if the clean price is 98 and accrued is 1, the dirty price is 99 - the buyer actually pays 99.</t>
        </is>
      </c>
    </row>
    <row r="29" ht="18" customHeight="1">
      <c r="A29" s="7" t="inlineStr">
        <is>
          <t>Is it a premium or a discount?</t>
        </is>
      </c>
    </row>
    <row r="30">
      <c r="A30" s="9" t="inlineStr">
        <is>
          <t>Premium / discount</t>
        </is>
      </c>
      <c r="B30" s="23">
        <f>IF(MktClean&gt;100.25,"PREMIUM (price above 100)",IF(MktClean&lt;99.75,"DISCOUNT (price below 100)","NEAR PAR (around 100)"))</f>
        <v/>
      </c>
      <c r="C30" s="24" t="n"/>
      <c r="D30" s="25" t="n"/>
    </row>
    <row r="31" ht="16" customHeight="1">
      <c r="A31" s="5" t="inlineStr">
        <is>
          <t>Explanation / Interpretation</t>
        </is>
      </c>
    </row>
    <row r="32" ht="25" customHeight="1">
      <c r="A32" s="6" t="inlineStr">
        <is>
          <t>Clean price above 100 = a PREMIUM (you pay more than face). Below 100 = a DISCOUNT (you pay less than face). Around 100 = NEAR PAR. A discount usually means the coupon is below current market yields.</t>
        </is>
      </c>
    </row>
  </sheetData>
  <mergeCells count="22">
    <mergeCell ref="A16:F16"/>
    <mergeCell ref="A26:F26"/>
    <mergeCell ref="A3:F3"/>
    <mergeCell ref="A21:F21"/>
    <mergeCell ref="A2:F2"/>
    <mergeCell ref="A14:F14"/>
    <mergeCell ref="A32:F32"/>
    <mergeCell ref="A8:F8"/>
    <mergeCell ref="A22:F22"/>
    <mergeCell ref="A17:F17"/>
    <mergeCell ref="B30:D30"/>
    <mergeCell ref="A20:F20"/>
    <mergeCell ref="A29:F29"/>
    <mergeCell ref="A10:F10"/>
    <mergeCell ref="B19:C19"/>
    <mergeCell ref="A9:F9"/>
    <mergeCell ref="A31:F31"/>
    <mergeCell ref="A11:F11"/>
    <mergeCell ref="B24:C24"/>
    <mergeCell ref="B15:C15"/>
    <mergeCell ref="A1:F1"/>
    <mergeCell ref="A25:F25"/>
  </mergeCells>
  <conditionalFormatting sqref="B30">
    <cfRule type="expression" priority="1" dxfId="0" stopIfTrue="1">
      <formula>OR(ISNUMBER(SEARCH("PASS",B30)),ISNUMBER(SEARCH("OK",B30)),ISNUMBER(SEARCH("Low",B30)),ISNUMBER(SEARCH("Normal",B30)),ISNUMBER(SEARCH("Buy",B30)),ISNUMBER(SEARCH("Short",B30)),ISNUMBER(SEARCH("Yes",B30)),ISNUMBER(SEARCH("Within",B30)),ISNUMBER(SEARCH("Attractive",B30)),ISNUMBER(SEARCH("Cheap",B30)),ISNUMBER(SEARCH("Upside",B30)))</formula>
    </cfRule>
    <cfRule type="expression" priority="2" dxfId="1" stopIfTrue="1">
      <formula>OR(ISNUMBER(SEARCH("WARNING",B30)),ISNUMBER(SEARCH("WARN",B30)),ISNUMBER(SEARCH("Medium",B30)),ISNUMBER(SEARCH("Flat",B30)),ISNUMBER(SEARCH("Hold",B30)),ISNUMBER(SEARCH("Intermediate",B30)),ISNUMBER(SEARCH("Review",B30)),ISNUMBER(SEARCH("Fair",B30)),ISNUMBER(SEARCH("Neutral",B30)))</formula>
    </cfRule>
    <cfRule type="expression" priority="3" dxfId="2" stopIfTrue="1">
      <formula>OR(ISNUMBER(SEARCH("FAIL",B30)),ISNUMBER(SEARCH("High",B30)),ISNUMBER(SEARCH("Inverted",B30)),ISNUMBER(SEARCH("Avoid",B30)),ISNUMBER(SEARCH("Long",B30)),ISNUMBER(SEARCH("Negative",B30)),ISNUMBER(SEARCH("Expensive",B30)),ISNUMBER(SEARCH("Not Attractive",B30)),ISNUMBER(SEARCH("Downside",B30)))</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001F7A3D"/>
    <outlinePr summaryBelow="1" summaryRight="1"/>
    <pageSetUpPr fitToPage="1"/>
  </sheetPr>
  <dimension ref="A1:F33"/>
  <sheetViews>
    <sheetView showGridLines="0" workbookViewId="0">
      <pane ySplit="5" topLeftCell="A6" activePane="bottomLeft" state="frozen"/>
      <selection pane="bottomLeft" activeCell="A1" sqref="A1"/>
    </sheetView>
  </sheetViews>
  <sheetFormatPr baseColWidth="8" defaultRowHeight="15"/>
  <cols>
    <col width="26" customWidth="1" min="1" max="1"/>
    <col width="13" customWidth="1" min="2" max="2"/>
    <col width="8" customWidth="1" min="3" max="3"/>
    <col width="14" customWidth="1" min="4" max="4"/>
    <col width="14" customWidth="1" min="5" max="5"/>
    <col width="14" customWidth="1" min="6" max="6"/>
  </cols>
  <sheetData>
    <row r="1" ht="28" customHeight="1">
      <c r="A1" s="1" t="inlineStr">
        <is>
          <t>YIELD BASICS</t>
        </is>
      </c>
    </row>
    <row r="2">
      <c r="A2" s="2" t="inlineStr">
        <is>
          <t>What return am I getting? Yield, current yield and spread</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YIELD TO MATURITY (YTM) is the annual return implied by the price if you hold the bond to maturity and get all the payments. It is THE main yield number.</t>
        </is>
      </c>
    </row>
    <row r="10" ht="25" customHeight="1">
      <c r="A10" s="6" t="inlineStr">
        <is>
          <t>The most important rule in bonds: YIELD and PRICE move in OPPOSITE directions. If the price falls, the yield rises - a new buyer pays less for the same future cash flows, so they earn more.</t>
        </is>
      </c>
    </row>
    <row r="11" ht="25" customHeight="1">
      <c r="A11" s="6" t="inlineStr">
        <is>
          <t>CURRENT YIELD is simpler - just the coupon divided by the price. SPREAD = your bond's yield minus a benchmark government yield of similar maturity.</t>
        </is>
      </c>
    </row>
    <row r="14" ht="18" customHeight="1">
      <c r="A14" s="7" t="inlineStr">
        <is>
          <t>Yields</t>
        </is>
      </c>
    </row>
    <row r="15">
      <c r="A15" s="9" t="inlineStr">
        <is>
          <t>Yield to maturity (YTM)</t>
        </is>
      </c>
      <c r="B15" s="40">
        <f>IF(IsZero=1,(Face/MktClean)^(1/YrsToMat)-1,YIELD(Settle,Mat,Cpn,MktClean,Face,Freq,Basis))</f>
        <v/>
      </c>
      <c r="C15" s="39" t="n"/>
    </row>
    <row r="16" ht="16" customHeight="1">
      <c r="A16" s="5" t="inlineStr">
        <is>
          <t>Explanation / Interpretation</t>
        </is>
      </c>
    </row>
    <row r="17" ht="37" customHeight="1">
      <c r="A17" s="6" t="inlineStr">
        <is>
          <t>What it means: the return you lock in if you hold to maturity. Why it matters: it is the fairest way to compare bonds. Example: if the price falls, the YTM rises because a new buyer pays less for the same cash flows. Interpretation: higher price -&gt; lower YTM; lower price -&gt; higher YTM.</t>
        </is>
      </c>
    </row>
    <row r="19">
      <c r="A19" s="9" t="inlineStr">
        <is>
          <t>Current yield</t>
        </is>
      </c>
      <c r="B19" s="41">
        <f>IF(IsZero=1,"N/A",Cpn*Face/MktClean)</f>
        <v/>
      </c>
      <c r="C19" s="25" t="n"/>
    </row>
    <row r="20" ht="16" customHeight="1">
      <c r="A20" s="5" t="inlineStr">
        <is>
          <t>Explanation / Interpretation</t>
        </is>
      </c>
    </row>
    <row r="21" ht="25" customHeight="1">
      <c r="A21" s="6" t="inlineStr">
        <is>
          <t>What it means: annual coupon / clean price - the income you get relative to today's price. Why it is limited: it ignores the gain or loss you make by holding to maturity. It is N/A for a zero-coupon bond (no coupon).</t>
        </is>
      </c>
    </row>
    <row r="23">
      <c r="A23" s="9" t="inlineStr">
        <is>
          <t>Premium / discount to par</t>
        </is>
      </c>
      <c r="B23" s="34">
        <f>MktClean-Face</f>
        <v/>
      </c>
      <c r="C23" s="25" t="n"/>
    </row>
    <row r="24" ht="16" customHeight="1">
      <c r="A24" s="5" t="inlineStr">
        <is>
          <t>Explanation / Interpretation</t>
        </is>
      </c>
    </row>
    <row r="25" ht="25" customHeight="1">
      <c r="A25" s="6" t="inlineStr">
        <is>
          <t>If the coupon rate is ABOVE the YTM, the bond usually trades ABOVE par (a premium). If the coupon is BELOW the YTM, it trades BELOW par (a discount). If they are close, it trades near par.</t>
        </is>
      </c>
    </row>
    <row r="28" ht="18" customHeight="1">
      <c r="A28" s="7" t="inlineStr">
        <is>
          <t>Spread over benchmark</t>
        </is>
      </c>
    </row>
    <row r="29">
      <c r="A29" s="9" t="inlineStr">
        <is>
          <t>Benchmark yield</t>
        </is>
      </c>
      <c r="B29" s="42">
        <f>BenchYield</f>
        <v/>
      </c>
    </row>
    <row r="30">
      <c r="A30" s="9" t="inlineStr">
        <is>
          <t>Spread over benchmark</t>
        </is>
      </c>
      <c r="B30" s="43">
        <f>YTM-BenchYield</f>
        <v/>
      </c>
      <c r="C30" s="25" t="n"/>
    </row>
    <row r="31">
      <c r="A31" s="9" t="inlineStr">
        <is>
          <t>Spread (basis points)</t>
        </is>
      </c>
      <c r="B31" s="44">
        <f>Spread*10000</f>
        <v/>
      </c>
    </row>
    <row r="32" ht="16" customHeight="1">
      <c r="A32" s="5" t="inlineStr">
        <is>
          <t>Explanation / Interpretation</t>
        </is>
      </c>
    </row>
    <row r="33" ht="25" customHeight="1">
      <c r="A33" s="6" t="inlineStr">
        <is>
          <t>Spread = your bond's yield minus the benchmark government yield of similar maturity. A positive spread means you earn a little more than the benchmark. For governments it is usually small.</t>
        </is>
      </c>
    </row>
  </sheetData>
  <mergeCells count="23">
    <mergeCell ref="A16:F16"/>
    <mergeCell ref="B31:C31"/>
    <mergeCell ref="A3:F3"/>
    <mergeCell ref="A21:F21"/>
    <mergeCell ref="A2:F2"/>
    <mergeCell ref="A33:F33"/>
    <mergeCell ref="A14:F14"/>
    <mergeCell ref="A32:F32"/>
    <mergeCell ref="A8:F8"/>
    <mergeCell ref="B23:C23"/>
    <mergeCell ref="A17:F17"/>
    <mergeCell ref="A20:F20"/>
    <mergeCell ref="A10:F10"/>
    <mergeCell ref="A28:F28"/>
    <mergeCell ref="B29:C29"/>
    <mergeCell ref="B19:C19"/>
    <mergeCell ref="A9:F9"/>
    <mergeCell ref="A24:F24"/>
    <mergeCell ref="A11:F11"/>
    <mergeCell ref="B30:C30"/>
    <mergeCell ref="B15:C15"/>
    <mergeCell ref="A1:F1"/>
    <mergeCell ref="A25:F25"/>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1F7A3D"/>
    <outlinePr summaryBelow="1" summaryRight="1"/>
    <pageSetUpPr fitToPage="1"/>
  </sheetPr>
  <dimension ref="A1:F39"/>
  <sheetViews>
    <sheetView showGridLines="0" workbookViewId="0">
      <pane ySplit="5" topLeftCell="A6" activePane="bottomLeft" state="frozen"/>
      <selection pane="bottomLeft" activeCell="A1" sqref="A1"/>
    </sheetView>
  </sheetViews>
  <sheetFormatPr baseColWidth="8" defaultRowHeight="15"/>
  <cols>
    <col width="26" customWidth="1" min="1" max="1"/>
    <col width="13" customWidth="1" min="2" max="2"/>
    <col width="12" customWidth="1" min="3" max="3"/>
    <col width="12" customWidth="1" min="4" max="4"/>
    <col width="12" customWidth="1" min="5" max="5"/>
    <col width="12" customWidth="1" min="6" max="6"/>
  </cols>
  <sheetData>
    <row r="1" ht="28" customHeight="1">
      <c r="A1" s="1" t="inlineStr">
        <is>
          <t>PRICE &amp; YIELD CALCULATOR</t>
        </is>
      </c>
    </row>
    <row r="2">
      <c r="A2" s="2" t="inlineStr">
        <is>
          <t>Price from a yield, yield from a price, both ways</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8" customHeight="1">
      <c r="A8" s="7" t="inlineStr">
        <is>
          <t>Section A - Yield from Price  (you entered the price on Inputs)</t>
        </is>
      </c>
    </row>
    <row r="9">
      <c r="A9" s="9" t="inlineStr">
        <is>
          <t>Accrued interest</t>
        </is>
      </c>
      <c r="B9" s="37">
        <f>Accrued</f>
        <v/>
      </c>
    </row>
    <row r="10">
      <c r="A10" s="9" t="inlineStr">
        <is>
          <t>Dirty price</t>
        </is>
      </c>
      <c r="B10" s="37">
        <f>Dirty</f>
        <v/>
      </c>
    </row>
    <row r="11">
      <c r="A11" s="9" t="inlineStr">
        <is>
          <t>Implied yield to maturity</t>
        </is>
      </c>
      <c r="B11" s="45">
        <f>YTM</f>
        <v/>
      </c>
    </row>
    <row r="12">
      <c r="A12" s="9" t="inlineStr">
        <is>
          <t>Current yield</t>
        </is>
      </c>
      <c r="B12" s="42">
        <f>CurrentYield</f>
        <v/>
      </c>
    </row>
    <row r="13">
      <c r="A13" s="9" t="inlineStr">
        <is>
          <t>Premium / discount to par</t>
        </is>
      </c>
      <c r="B13" s="37">
        <f>PremDisc</f>
        <v/>
      </c>
    </row>
    <row r="14" ht="16" customHeight="1">
      <c r="A14" s="5" t="inlineStr">
        <is>
          <t>Explanation / Interpretation</t>
        </is>
      </c>
    </row>
    <row r="15" ht="14" customHeight="1">
      <c r="A15" s="6" t="inlineStr">
        <is>
          <t>These come from your market price (see the Price Basics and Yield Basics sheets). The price you type gives a yield.</t>
        </is>
      </c>
    </row>
    <row r="18" ht="18" customHeight="1">
      <c r="A18" s="7" t="inlineStr">
        <is>
          <t>Section B - Price from Yield  (type a yield, get the price it implies)</t>
        </is>
      </c>
    </row>
    <row r="19">
      <c r="A19" s="9" t="inlineStr">
        <is>
          <t>Yield to test</t>
        </is>
      </c>
      <c r="B19" s="46">
        <f>BenchYield</f>
        <v/>
      </c>
      <c r="C19" s="14" t="n"/>
      <c r="D19" s="8" t="inlineStr">
        <is>
          <t>Editable. Default = benchmark yield. Try your own 'fair value' yield.</t>
        </is>
      </c>
    </row>
    <row r="20">
      <c r="A20" s="9" t="inlineStr">
        <is>
          <t>Theoretical clean price</t>
        </is>
      </c>
      <c r="B20" s="38">
        <f>IF(IsZero=1,Face/(1+(TestYield))^YrsToMat,PRICE(Settle,Mat,Cpn,TestYield,Face,Freq,Basis))</f>
        <v/>
      </c>
      <c r="C20" s="39" t="n"/>
    </row>
    <row r="21">
      <c r="A21" s="9" t="inlineStr">
        <is>
          <t>Accrued interest</t>
        </is>
      </c>
      <c r="B21" s="37">
        <f>Accrued</f>
        <v/>
      </c>
    </row>
    <row r="22">
      <c r="A22" s="9" t="inlineStr">
        <is>
          <t>Theoretical dirty price</t>
        </is>
      </c>
      <c r="B22" s="30">
        <f>TheoClean+Accrued</f>
        <v/>
      </c>
    </row>
    <row r="23">
      <c r="A23" s="9" t="inlineStr">
        <is>
          <t>Market clean - theoretical</t>
        </is>
      </c>
      <c r="B23" s="30">
        <f>MktClean-TheoClean</f>
        <v/>
      </c>
    </row>
    <row r="24">
      <c r="A24" s="9" t="inlineStr">
        <is>
          <t>Cheap / fair / expensive</t>
        </is>
      </c>
      <c r="B24" s="23">
        <f>IF(TheoClean-MktClean&gt;0.25,"Cheap (worth more than its price)",IF(TheoClean-MktClean&lt;-0.25,"Expensive (worth less than its price)","Fair (close to its price)"))</f>
        <v/>
      </c>
      <c r="C24" s="25" t="n"/>
    </row>
    <row r="25" ht="16" customHeight="1">
      <c r="A25" s="5" t="inlineStr">
        <is>
          <t>Explanation / Interpretation</t>
        </is>
      </c>
    </row>
    <row r="26" ht="25" customHeight="1">
      <c r="A26" s="6" t="inlineStr">
        <is>
          <t>This shows what the price SHOULD be at the yield you type. If the theoretical price is ABOVE the market price, the bond looks a little CHEAP; if BELOW, it looks EXPENSIVE. A simple check - not a guarantee.</t>
        </is>
      </c>
    </row>
    <row r="29" ht="18" customHeight="1">
      <c r="A29" s="7" t="inlineStr">
        <is>
          <t>Section C - Price-Yield Table  (theoretical clean price at different yields)</t>
        </is>
      </c>
    </row>
    <row r="30">
      <c r="A30" s="28" t="inlineStr">
        <is>
          <t>Yield scenario</t>
        </is>
      </c>
      <c r="B30" s="29" t="inlineStr">
        <is>
          <t>Yield</t>
        </is>
      </c>
      <c r="C30" s="29" t="inlineStr">
        <is>
          <t>Theoretical clean price</t>
        </is>
      </c>
    </row>
    <row r="31">
      <c r="A31" s="47" t="inlineStr">
        <is>
          <t>YTM -100 bps</t>
        </is>
      </c>
      <c r="B31" s="48">
        <f>(YTM+-0.01)</f>
        <v/>
      </c>
      <c r="C31" s="30">
        <f>IF(IsZero=1,Face/(1+((YTM+-0.01)))^YrsToMat,PRICE(Settle,Mat,Cpn,(YTM+-0.01),Face,Freq,Basis))</f>
        <v/>
      </c>
    </row>
    <row r="32">
      <c r="A32" s="47" t="inlineStr">
        <is>
          <t>YTM -50 bps</t>
        </is>
      </c>
      <c r="B32" s="48">
        <f>(YTM+-0.005)</f>
        <v/>
      </c>
      <c r="C32" s="30">
        <f>IF(IsZero=1,Face/(1+((YTM+-0.005)))^YrsToMat,PRICE(Settle,Mat,Cpn,(YTM+-0.005),Face,Freq,Basis))</f>
        <v/>
      </c>
    </row>
    <row r="33">
      <c r="A33" s="47" t="inlineStr">
        <is>
          <t>YTM -25 bps</t>
        </is>
      </c>
      <c r="B33" s="48">
        <f>(YTM+-0.0025)</f>
        <v/>
      </c>
      <c r="C33" s="30">
        <f>IF(IsZero=1,Face/(1+((YTM+-0.0025)))^YrsToMat,PRICE(Settle,Mat,Cpn,(YTM+-0.0025),Face,Freq,Basis))</f>
        <v/>
      </c>
    </row>
    <row r="34">
      <c r="A34" s="9" t="inlineStr">
        <is>
          <t>Current YTM</t>
        </is>
      </c>
      <c r="B34" s="48">
        <f>(YTM+0.0)</f>
        <v/>
      </c>
      <c r="C34" s="34">
        <f>IF(IsZero=1,Face/(1+((YTM+0.0)))^YrsToMat,PRICE(Settle,Mat,Cpn,(YTM+0.0),Face,Freq,Basis))</f>
        <v/>
      </c>
      <c r="D34" s="24" t="n"/>
      <c r="E34" s="24" t="n"/>
      <c r="F34" s="25" t="n"/>
    </row>
    <row r="35">
      <c r="A35" s="47" t="inlineStr">
        <is>
          <t>YTM +25 bps</t>
        </is>
      </c>
      <c r="B35" s="48">
        <f>(YTM+0.0025)</f>
        <v/>
      </c>
      <c r="C35" s="30">
        <f>IF(IsZero=1,Face/(1+((YTM+0.0025)))^YrsToMat,PRICE(Settle,Mat,Cpn,(YTM+0.0025),Face,Freq,Basis))</f>
        <v/>
      </c>
    </row>
    <row r="36">
      <c r="A36" s="47" t="inlineStr">
        <is>
          <t>YTM +50 bps</t>
        </is>
      </c>
      <c r="B36" s="48">
        <f>(YTM+0.005)</f>
        <v/>
      </c>
      <c r="C36" s="30">
        <f>IF(IsZero=1,Face/(1+((YTM+0.005)))^YrsToMat,PRICE(Settle,Mat,Cpn,(YTM+0.005),Face,Freq,Basis))</f>
        <v/>
      </c>
    </row>
    <row r="37">
      <c r="A37" s="47" t="inlineStr">
        <is>
          <t>YTM +100 bps</t>
        </is>
      </c>
      <c r="B37" s="48">
        <f>(YTM+0.01)</f>
        <v/>
      </c>
      <c r="C37" s="30">
        <f>IF(IsZero=1,Face/(1+((YTM+0.01)))^YrsToMat,PRICE(Settle,Mat,Cpn,(YTM+0.01),Face,Freq,Basis))</f>
        <v/>
      </c>
    </row>
    <row r="38" ht="16" customHeight="1">
      <c r="A38" s="5" t="inlineStr">
        <is>
          <t>Explanation / Interpretation</t>
        </is>
      </c>
    </row>
    <row r="39" ht="25" customHeight="1">
      <c r="A39" s="6" t="inlineStr">
        <is>
          <t>This table teaches the most important bond rule: when yields RISE, prices FALL; when yields FALL, prices RISE. Look down the table - as the yield goes up, the price goes down.</t>
        </is>
      </c>
    </row>
  </sheetData>
  <mergeCells count="32">
    <mergeCell ref="B22:C22"/>
    <mergeCell ref="A18:F18"/>
    <mergeCell ref="C32:F32"/>
    <mergeCell ref="A3:F3"/>
    <mergeCell ref="A26:F26"/>
    <mergeCell ref="C37:F37"/>
    <mergeCell ref="B12:C12"/>
    <mergeCell ref="A2:F2"/>
    <mergeCell ref="B21:C21"/>
    <mergeCell ref="B11:C11"/>
    <mergeCell ref="A14:F14"/>
    <mergeCell ref="C34:F34"/>
    <mergeCell ref="A8:F8"/>
    <mergeCell ref="B23:C23"/>
    <mergeCell ref="C30:F30"/>
    <mergeCell ref="C33:F33"/>
    <mergeCell ref="A29:F29"/>
    <mergeCell ref="B13:C13"/>
    <mergeCell ref="A38:F38"/>
    <mergeCell ref="C35:F35"/>
    <mergeCell ref="B19:C19"/>
    <mergeCell ref="B10:C10"/>
    <mergeCell ref="B9:C9"/>
    <mergeCell ref="A39:F39"/>
    <mergeCell ref="A15:F15"/>
    <mergeCell ref="D19:F19"/>
    <mergeCell ref="B24:C24"/>
    <mergeCell ref="C31:F31"/>
    <mergeCell ref="A1:F1"/>
    <mergeCell ref="B20:C20"/>
    <mergeCell ref="C36:F36"/>
    <mergeCell ref="A25:F25"/>
  </mergeCells>
  <conditionalFormatting sqref="B24">
    <cfRule type="expression" priority="1" dxfId="0" stopIfTrue="1">
      <formula>OR(ISNUMBER(SEARCH("PASS",B24)),ISNUMBER(SEARCH("OK",B24)),ISNUMBER(SEARCH("Low",B24)),ISNUMBER(SEARCH("Normal",B24)),ISNUMBER(SEARCH("Buy",B24)),ISNUMBER(SEARCH("Short",B24)),ISNUMBER(SEARCH("Yes",B24)),ISNUMBER(SEARCH("Within",B24)),ISNUMBER(SEARCH("Attractive",B24)),ISNUMBER(SEARCH("Cheap",B24)),ISNUMBER(SEARCH("Upside",B24)))</formula>
    </cfRule>
    <cfRule type="expression" priority="2" dxfId="1" stopIfTrue="1">
      <formula>OR(ISNUMBER(SEARCH("WARNING",B24)),ISNUMBER(SEARCH("WARN",B24)),ISNUMBER(SEARCH("Medium",B24)),ISNUMBER(SEARCH("Flat",B24)),ISNUMBER(SEARCH("Hold",B24)),ISNUMBER(SEARCH("Intermediate",B24)),ISNUMBER(SEARCH("Review",B24)),ISNUMBER(SEARCH("Fair",B24)),ISNUMBER(SEARCH("Neutral",B24)))</formula>
    </cfRule>
    <cfRule type="expression" priority="3" dxfId="2" stopIfTrue="1">
      <formula>OR(ISNUMBER(SEARCH("FAIL",B24)),ISNUMBER(SEARCH("High",B24)),ISNUMBER(SEARCH("Inverted",B24)),ISNUMBER(SEARCH("Avoid",B24)),ISNUMBER(SEARCH("Long",B24)),ISNUMBER(SEARCH("Negative",B24)),ISNUMBER(SEARCH("Expensive",B24)),ISNUMBER(SEARCH("Not Attractive",B24)),ISNUMBER(SEARCH("Downside",B24)))</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7.xml><?xml version="1.0" encoding="utf-8"?>
<worksheet xmlns="http://schemas.openxmlformats.org/spreadsheetml/2006/main">
  <sheetPr>
    <tabColor rgb="002E5984"/>
    <outlinePr summaryBelow="1" summaryRight="1"/>
    <pageSetUpPr fitToPage="1"/>
  </sheetPr>
  <dimension ref="A1:F26"/>
  <sheetViews>
    <sheetView showGridLines="0" workbookViewId="0">
      <pane ySplit="5" topLeftCell="A6" activePane="bottomLeft" state="frozen"/>
      <selection pane="bottomLeft" activeCell="A1" sqref="A1"/>
    </sheetView>
  </sheetViews>
  <sheetFormatPr baseColWidth="8" defaultRowHeight="15"/>
  <cols>
    <col width="26" customWidth="1" min="1" max="1"/>
    <col width="13" customWidth="1" min="2" max="2"/>
    <col width="8" customWidth="1" min="3" max="3"/>
    <col width="14" customWidth="1" min="4" max="4"/>
    <col width="14" customWidth="1" min="5" max="5"/>
    <col width="14" customWidth="1" min="6" max="6"/>
  </cols>
  <sheetData>
    <row r="1" ht="28" customHeight="1">
      <c r="A1" s="1" t="inlineStr">
        <is>
          <t>DURATION</t>
        </is>
      </c>
    </row>
    <row r="2">
      <c r="A2" s="2" t="inlineStr">
        <is>
          <t>How sensitive is my bond to interest-rate moves?</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Duration is the single most important risk measure for a government bond. There are two versions, and this sheet teaches both.</t>
        </is>
      </c>
    </row>
    <row r="12" ht="18" customHeight="1">
      <c r="A12" s="7" t="inlineStr">
        <is>
          <t>Macaulay duration</t>
        </is>
      </c>
    </row>
    <row r="13">
      <c r="A13" s="9" t="inlineStr">
        <is>
          <t>Macaulay duration</t>
        </is>
      </c>
      <c r="B13" s="49">
        <f>IF(IsZero=1,YrsToMat,DURATION(Settle,Mat,Cpn,YTM,Freq,Basis))</f>
        <v/>
      </c>
      <c r="C13" s="39" t="n"/>
    </row>
    <row r="14" ht="16" customHeight="1">
      <c r="A14" s="5" t="inlineStr">
        <is>
          <t>Explanation / Interpretation</t>
        </is>
      </c>
    </row>
    <row r="15" ht="37" customHeight="1">
      <c r="A15" s="6" t="inlineStr">
        <is>
          <t>Macaulay duration is the weighted average time to receive the bond's cash flows. It is NOT exactly the maturity. For coupon bonds it is usually shorter than maturity, because some cash is received earlier through coupons. For a zero-coupon bond it is close to the time to maturity (all cash comes at the end).</t>
        </is>
      </c>
    </row>
    <row r="16" ht="14" customHeight="1">
      <c r="A16" s="6" t="inlineStr">
        <is>
          <t>Interpretation: a HIGHER Macaulay duration means you wait longer, on average, to get your money back.</t>
        </is>
      </c>
    </row>
    <row r="18" ht="18" customHeight="1">
      <c r="A18" s="7" t="inlineStr">
        <is>
          <t>Modified duration</t>
        </is>
      </c>
    </row>
    <row r="19">
      <c r="A19" s="9" t="inlineStr">
        <is>
          <t>Modified duration</t>
        </is>
      </c>
      <c r="B19" s="50">
        <f>IF(IsZero=1,YrsToMat/(1+YTM),MDURATION(Settle,Mat,Cpn,YTM,Freq,Basis))</f>
        <v/>
      </c>
      <c r="C19" s="39" t="n"/>
    </row>
    <row r="20" ht="16" customHeight="1">
      <c r="A20" s="5" t="inlineStr">
        <is>
          <t>Explanation / Interpretation</t>
        </is>
      </c>
    </row>
    <row r="21" ht="25" customHeight="1">
      <c r="A21" s="6" t="inlineStr">
        <is>
          <t>Modified duration estimates how much the price changes when the yield changes. If modified duration is 7, then a 1% RISE in yield would reduce the price by around 7% (before convexity).</t>
        </is>
      </c>
    </row>
    <row r="22" ht="25" customHeight="1">
      <c r="A22" s="6" t="inlineStr">
        <is>
          <t>Interpretation: HIGHER duration = MORE interest-rate risk; LOWER duration = less risk. Long bonds usually have higher duration; zero-coupon bonds have duration close to their maturity.</t>
        </is>
      </c>
    </row>
    <row r="23" ht="25" customHeight="1">
      <c r="A23" s="6" t="inlineStr">
        <is>
          <t>Example: a modified duration of 7 means the bond may lose about 7% if yields rise by 1% - and gain about 7% if yields fall by 1%.</t>
        </is>
      </c>
    </row>
    <row r="25" ht="18" customHeight="1">
      <c r="A25" s="7" t="inlineStr">
        <is>
          <t>What it says about this bond</t>
        </is>
      </c>
    </row>
    <row r="26">
      <c r="A26" s="9" t="inlineStr">
        <is>
          <t>Rate-risk read</t>
        </is>
      </c>
      <c r="B26" s="23">
        <f>IF(ModDur&lt;3,"LOW rate risk (short duration)",IF(ModDur&lt;8,"MEDIUM rate risk (intermediate duration)","HIGH rate risk (long duration)"))</f>
        <v/>
      </c>
      <c r="C26" s="24" t="n"/>
      <c r="D26" s="25" t="n"/>
    </row>
  </sheetData>
  <mergeCells count="18">
    <mergeCell ref="B13:C13"/>
    <mergeCell ref="A2:F2"/>
    <mergeCell ref="A16:F16"/>
    <mergeCell ref="A14:F14"/>
    <mergeCell ref="B19:C19"/>
    <mergeCell ref="A1:F1"/>
    <mergeCell ref="A23:F23"/>
    <mergeCell ref="A9:F9"/>
    <mergeCell ref="A8:F8"/>
    <mergeCell ref="B26:D26"/>
    <mergeCell ref="A22:F22"/>
    <mergeCell ref="A12:F12"/>
    <mergeCell ref="A18:F18"/>
    <mergeCell ref="A3:F3"/>
    <mergeCell ref="A21:F21"/>
    <mergeCell ref="A20:F20"/>
    <mergeCell ref="A15:F15"/>
    <mergeCell ref="A25:F25"/>
  </mergeCells>
  <conditionalFormatting sqref="B26">
    <cfRule type="expression" priority="1" dxfId="0" stopIfTrue="1">
      <formula>OR(ISNUMBER(SEARCH("PASS",B26)),ISNUMBER(SEARCH("OK",B26)),ISNUMBER(SEARCH("Low",B26)),ISNUMBER(SEARCH("Normal",B26)),ISNUMBER(SEARCH("Buy",B26)),ISNUMBER(SEARCH("Short",B26)),ISNUMBER(SEARCH("Yes",B26)),ISNUMBER(SEARCH("Within",B26)),ISNUMBER(SEARCH("Attractive",B26)),ISNUMBER(SEARCH("Cheap",B26)),ISNUMBER(SEARCH("Upside",B26)))</formula>
    </cfRule>
    <cfRule type="expression" priority="2" dxfId="1" stopIfTrue="1">
      <formula>OR(ISNUMBER(SEARCH("WARNING",B26)),ISNUMBER(SEARCH("WARN",B26)),ISNUMBER(SEARCH("Medium",B26)),ISNUMBER(SEARCH("Flat",B26)),ISNUMBER(SEARCH("Hold",B26)),ISNUMBER(SEARCH("Intermediate",B26)),ISNUMBER(SEARCH("Review",B26)),ISNUMBER(SEARCH("Fair",B26)),ISNUMBER(SEARCH("Neutral",B26)))</formula>
    </cfRule>
    <cfRule type="expression" priority="3" dxfId="2" stopIfTrue="1">
      <formula>OR(ISNUMBER(SEARCH("FAIL",B26)),ISNUMBER(SEARCH("High",B26)),ISNUMBER(SEARCH("Inverted",B26)),ISNUMBER(SEARCH("Avoid",B26)),ISNUMBER(SEARCH("Long",B26)),ISNUMBER(SEARCH("Negative",B26)),ISNUMBER(SEARCH("Expensive",B26)),ISNUMBER(SEARCH("Not Attractive",B26)),ISNUMBER(SEARCH("Downside",B26)))</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2E5984"/>
    <outlinePr summaryBelow="1" summaryRight="1"/>
    <pageSetUpPr fitToPage="1"/>
  </sheetPr>
  <dimension ref="A1:F21"/>
  <sheetViews>
    <sheetView showGridLines="0" workbookViewId="0">
      <pane ySplit="5" topLeftCell="A6" activePane="bottomLeft" state="frozen"/>
      <selection pane="bottomLeft" activeCell="A1" sqref="A1"/>
    </sheetView>
  </sheetViews>
  <sheetFormatPr baseColWidth="8" defaultRowHeight="15"/>
  <cols>
    <col width="26" customWidth="1" min="1" max="1"/>
    <col width="15" customWidth="1" min="2" max="2"/>
    <col width="8" customWidth="1" min="3" max="3"/>
    <col width="14" customWidth="1" min="4" max="4"/>
    <col width="14" customWidth="1" min="5" max="5"/>
    <col width="14" customWidth="1" min="6" max="6"/>
  </cols>
  <sheetData>
    <row r="1" ht="28" customHeight="1">
      <c r="A1" s="1" t="inlineStr">
        <is>
          <t>DV01</t>
        </is>
      </c>
    </row>
    <row r="2">
      <c r="A2" s="2" t="inlineStr">
        <is>
          <t>How much money do I gain or lose if the yield moves 1 basis point?</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DV01 means 'Dollar Value of 1 basis point'. It tells you how much the bond's value changes if the yield moves by 0.01%. It turns interest-rate risk into MONEY terms.</t>
        </is>
      </c>
    </row>
    <row r="10" ht="14" customHeight="1">
      <c r="A10" s="6" t="inlineStr">
        <is>
          <t>Basis points:  1 bp = 0.01%.   10 bps = 0.10%.   100 bps = 1.00%.</t>
        </is>
      </c>
    </row>
    <row r="13" ht="18" customHeight="1">
      <c r="A13" s="7" t="inlineStr">
        <is>
          <t>DV01</t>
        </is>
      </c>
    </row>
    <row r="14">
      <c r="A14" s="9" t="inlineStr">
        <is>
          <t>DV01 (per 100 face)</t>
        </is>
      </c>
      <c r="B14" s="51">
        <f>ModDur*Dirty*0.0001</f>
        <v/>
      </c>
      <c r="C14" s="39" t="n"/>
    </row>
    <row r="15" ht="16" customHeight="1">
      <c r="A15" s="5" t="inlineStr">
        <is>
          <t>Explanation / Interpretation</t>
        </is>
      </c>
    </row>
    <row r="16" ht="25" customHeight="1">
      <c r="A16" s="6" t="inlineStr">
        <is>
          <t>What it means: the price change for a 1 bp yield move, per 100 of face value. Example: if DV01 is 0.07, a 1 bp RISE in yield lowers the price by about 0.07 per 100 face, and a 1 bp FALL raises it by about 0.07.</t>
        </is>
      </c>
    </row>
    <row r="17" ht="25" customHeight="1">
      <c r="A17" s="6" t="inlineStr">
        <is>
          <t>Interpretation: HIGHER DV01 = bigger money risk for a small yield move. It is always quoted as a positive number (the size of the risk).</t>
        </is>
      </c>
    </row>
    <row r="19">
      <c r="A19" s="9" t="inlineStr">
        <is>
          <t>DV01 for your position</t>
        </is>
      </c>
      <c r="B19" s="38">
        <f>IF(N(PosSize)=0,"Enter position size on Inputs",DV01*PosSize/100)</f>
        <v/>
      </c>
      <c r="C19" s="39" t="n"/>
    </row>
    <row r="20" ht="16" customHeight="1">
      <c r="A20" s="5" t="inlineStr">
        <is>
          <t>Explanation / Interpretation</t>
        </is>
      </c>
    </row>
    <row r="21" ht="25" customHeight="1">
      <c r="A21" s="6" t="inlineStr">
        <is>
          <t>This scales DV01 up to the size you actually hold. Because DV01 is per 100 face, we multiply by (position size / 100). Example: DV01 0.07 per 100 and a 100,000 face position -&gt; about 0.07 x 1,000 = ~70 of value change per 1 bp.</t>
        </is>
      </c>
    </row>
  </sheetData>
  <mergeCells count="14">
    <mergeCell ref="A2:F2"/>
    <mergeCell ref="A16:F16"/>
    <mergeCell ref="A10:F10"/>
    <mergeCell ref="A13:F13"/>
    <mergeCell ref="B19:C19"/>
    <mergeCell ref="A1:F1"/>
    <mergeCell ref="A9:F9"/>
    <mergeCell ref="A8:F8"/>
    <mergeCell ref="B14:C14"/>
    <mergeCell ref="A17:F17"/>
    <mergeCell ref="A3:F3"/>
    <mergeCell ref="A21:F21"/>
    <mergeCell ref="A20:F20"/>
    <mergeCell ref="A15:F15"/>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2E5984"/>
    <outlinePr summaryBelow="1" summaryRight="1"/>
    <pageSetUpPr fitToPage="1"/>
  </sheetPr>
  <dimension ref="A1:F22"/>
  <sheetViews>
    <sheetView showGridLines="0" workbookViewId="0">
      <pane ySplit="5" topLeftCell="A6" activePane="bottomLeft" state="frozen"/>
      <selection pane="bottomLeft" activeCell="A1" sqref="A1"/>
    </sheetView>
  </sheetViews>
  <sheetFormatPr baseColWidth="8" defaultRowHeight="15"/>
  <cols>
    <col width="30" customWidth="1" min="1" max="1"/>
    <col width="14" customWidth="1" min="2" max="2"/>
    <col width="8" customWidth="1" min="3" max="3"/>
    <col width="14" customWidth="1" min="4" max="4"/>
    <col width="14" customWidth="1" min="5" max="5"/>
    <col width="14" customWidth="1" min="6" max="6"/>
  </cols>
  <sheetData>
    <row r="1" ht="28" customHeight="1">
      <c r="A1" s="1" t="inlineStr">
        <is>
          <t>CONVEXITY</t>
        </is>
      </c>
    </row>
    <row r="2">
      <c r="A2" s="2" t="inlineStr">
        <is>
          <t>Why duration is not perfect - and why that is good for you</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37" customHeight="1">
      <c r="A9" s="6" t="inlineStr">
        <is>
          <t>Duration gives a STRAIGHT-LINE estimate of how the price changes when yields move. But bond prices actually move in a CURVE, not a straight line. CONVEXITY measures that curve and improves the estimate, especially when yields move a lot.</t>
        </is>
      </c>
    </row>
    <row r="10" ht="14" customHeight="1">
      <c r="A10" s="6" t="inlineStr">
        <is>
          <t>Keep it simple: convexity is a small 'bonus' correction on top of duration.</t>
        </is>
      </c>
    </row>
    <row r="13" ht="18" customHeight="1">
      <c r="A13" s="7" t="inlineStr">
        <is>
          <t>Convexity</t>
        </is>
      </c>
    </row>
    <row r="14">
      <c r="A14" s="9" t="inlineStr">
        <is>
          <t>Convexity</t>
        </is>
      </c>
      <c r="B14" s="50">
        <f>Convexity</f>
        <v/>
      </c>
      <c r="C14" s="39" t="n"/>
    </row>
    <row r="15" ht="16" customHeight="1">
      <c r="A15" s="5" t="inlineStr">
        <is>
          <t>Explanation / Interpretation</t>
        </is>
      </c>
    </row>
    <row r="16" ht="37" customHeight="1">
      <c r="A16" s="6" t="inlineStr">
        <is>
          <t>For normal fixed-rate government bonds, convexity is POSITIVE, and positive convexity is generally GOOD for you. It means the bond gains slightly MORE when yields fall and loses slightly LESS when yields rise than duration alone would predict.</t>
        </is>
      </c>
    </row>
    <row r="18" ht="18" customHeight="1">
      <c r="A18" s="7" t="inlineStr">
        <is>
          <t>See it: estimate a 1% (100 bps) yield RISE</t>
        </is>
      </c>
    </row>
    <row r="19">
      <c r="A19" s="9" t="inlineStr">
        <is>
          <t>Price change - duration only</t>
        </is>
      </c>
      <c r="B19" s="30">
        <f>-ModDur*0.01*CleanPrice</f>
        <v/>
      </c>
    </row>
    <row r="20">
      <c r="A20" s="9" t="inlineStr">
        <is>
          <t>Price change - duration + convexity</t>
        </is>
      </c>
      <c r="B20" s="34">
        <f>(-ModDur*0.01+0.5*Convexity*0.01^2)*CleanPrice</f>
        <v/>
      </c>
      <c r="C20" s="25" t="n"/>
    </row>
    <row r="21" ht="16" customHeight="1">
      <c r="A21" s="5" t="inlineStr">
        <is>
          <t>Explanation / Interpretation</t>
        </is>
      </c>
    </row>
    <row r="22" ht="37" customHeight="1">
      <c r="A22" s="6" t="inlineStr">
        <is>
          <t>Both estimate the price drop if yields rise 1%. The 'duration only' number is the straight-line guess; the 'duration + convexity' number is a bit less negative - that smaller loss is the benefit of positive convexity. On a yield FALL, convexity makes the gain a bit bigger.</t>
        </is>
      </c>
    </row>
  </sheetData>
  <mergeCells count="15">
    <mergeCell ref="A2:F2"/>
    <mergeCell ref="A16:F16"/>
    <mergeCell ref="A10:F10"/>
    <mergeCell ref="A13:F13"/>
    <mergeCell ref="B19:C19"/>
    <mergeCell ref="A1:F1"/>
    <mergeCell ref="B20:C20"/>
    <mergeCell ref="A9:F9"/>
    <mergeCell ref="A8:F8"/>
    <mergeCell ref="B14:C14"/>
    <mergeCell ref="A22:F22"/>
    <mergeCell ref="A18:F18"/>
    <mergeCell ref="A3:F3"/>
    <mergeCell ref="A21:F21"/>
    <mergeCell ref="A15:F15"/>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0.xml><?xml version="1.0" encoding="utf-8"?>
<worksheet xmlns="http://schemas.openxmlformats.org/spreadsheetml/2006/main">
  <sheetPr>
    <tabColor rgb="00C0641F"/>
    <outlinePr summaryBelow="1" summaryRight="1"/>
    <pageSetUpPr fitToPage="1"/>
  </sheetPr>
  <dimension ref="A1:I25"/>
  <sheetViews>
    <sheetView showGridLines="0" workbookViewId="0">
      <pane ySplit="5" topLeftCell="A6" activePane="bottomLeft" state="frozen"/>
      <selection pane="bottomLeft" activeCell="A1" sqref="A1"/>
    </sheetView>
  </sheetViews>
  <sheetFormatPr baseColWidth="8" defaultRowHeight="15"/>
  <cols>
    <col width="18" customWidth="1" min="1" max="1"/>
    <col width="11" customWidth="1" min="2" max="2"/>
    <col width="10" customWidth="1" min="3" max="3"/>
    <col width="11" customWidth="1" min="4" max="4"/>
    <col width="14" customWidth="1" min="5" max="5"/>
    <col width="13" customWidth="1" min="6" max="6"/>
    <col width="10" customWidth="1" min="7" max="7"/>
    <col width="13" customWidth="1" min="8" max="8"/>
    <col width="28" customWidth="1" min="9" max="9"/>
  </cols>
  <sheetData>
    <row r="1" ht="28" customHeight="1">
      <c r="A1" s="1" t="inlineStr">
        <is>
          <t>RATE SHOCK ANALYSIS</t>
        </is>
      </c>
    </row>
    <row r="2">
      <c r="A2" s="2" t="inlineStr">
        <is>
          <t>What happens to the price if yields move up or down</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This table shows the bond's interest-rate risk. If yields RISE, the bond price usually FALLS; if yields FALL, the price RISES. Longer-duration bonds move more.</t>
        </is>
      </c>
    </row>
    <row r="10" ht="25" customHeight="1">
      <c r="A10" s="6" t="inlineStr">
        <is>
          <t>'Duration only' is the straight-line estimate; 'duration + convexity' adds the curve correction and is more accurate for bigger moves. The last column scales the gain/loss to your position size (if entered).</t>
        </is>
      </c>
    </row>
    <row r="13" ht="26" customHeight="1">
      <c r="A13" s="29" t="inlineStr">
        <is>
          <t>Scenario</t>
        </is>
      </c>
      <c r="B13" s="29" t="inlineStr">
        <is>
          <t>Yield shock</t>
        </is>
      </c>
      <c r="C13" s="29" t="inlineStr">
        <is>
          <t>New yield</t>
        </is>
      </c>
      <c r="D13" s="29" t="inlineStr">
        <is>
          <t>Chg
(duration)</t>
        </is>
      </c>
      <c r="E13" s="29" t="inlineStr">
        <is>
          <t>Chg
(dur + convexity)</t>
        </is>
      </c>
      <c r="F13" s="29" t="inlineStr">
        <is>
          <t>Est. new price</t>
        </is>
      </c>
      <c r="G13" s="29" t="inlineStr">
        <is>
          <t>Gain/loss
(%)</t>
        </is>
      </c>
      <c r="H13" s="29" t="inlineStr">
        <is>
          <t>Gain/loss
(position)</t>
        </is>
      </c>
      <c r="I13" s="28" t="inlineStr">
        <is>
          <t>Interpretation</t>
        </is>
      </c>
    </row>
    <row r="14">
      <c r="A14" s="47" t="inlineStr">
        <is>
          <t>Yield falls 100 bps</t>
        </is>
      </c>
      <c r="B14" s="52" t="inlineStr">
        <is>
          <t>-100 bps</t>
        </is>
      </c>
      <c r="C14" s="48">
        <f>YTM+-0.01</f>
        <v/>
      </c>
      <c r="D14" s="30">
        <f>-ModDur*(-0.01)*CleanPrice</f>
        <v/>
      </c>
      <c r="E14" s="30">
        <f>(-ModDur*(-0.01)+0.5*Convexity*(-0.01)^2)*CleanPrice</f>
        <v/>
      </c>
      <c r="F14" s="34">
        <f>CleanPrice+$E$14</f>
        <v/>
      </c>
      <c r="G14" s="21">
        <f>IFERROR($E$14/CleanPrice,0)</f>
        <v/>
      </c>
      <c r="H14" s="30">
        <f>IF(N(PosSize)=0,"-",$E$14*PosSize/100)</f>
        <v/>
      </c>
      <c r="I14" s="10">
        <f>IF(-100&lt;0,"Yields fall -&gt; price rises (gain)",IF(-100&gt;0,"Yields rise -&gt; price falls (loss)","No change"))</f>
        <v/>
      </c>
    </row>
    <row r="15">
      <c r="A15" s="47" t="inlineStr">
        <is>
          <t>Yield falls 50 bps</t>
        </is>
      </c>
      <c r="B15" s="52" t="inlineStr">
        <is>
          <t>-50 bps</t>
        </is>
      </c>
      <c r="C15" s="48">
        <f>YTM+-0.005</f>
        <v/>
      </c>
      <c r="D15" s="30">
        <f>-ModDur*(-0.005)*CleanPrice</f>
        <v/>
      </c>
      <c r="E15" s="30">
        <f>(-ModDur*(-0.005)+0.5*Convexity*(-0.005)^2)*CleanPrice</f>
        <v/>
      </c>
      <c r="F15" s="34">
        <f>CleanPrice+$E$15</f>
        <v/>
      </c>
      <c r="G15" s="21">
        <f>IFERROR($E$15/CleanPrice,0)</f>
        <v/>
      </c>
      <c r="H15" s="30">
        <f>IF(N(PosSize)=0,"-",$E$15*PosSize/100)</f>
        <v/>
      </c>
      <c r="I15" s="10">
        <f>IF(-50&lt;0,"Yields fall -&gt; price rises (gain)",IF(-50&gt;0,"Yields rise -&gt; price falls (loss)","No change"))</f>
        <v/>
      </c>
    </row>
    <row r="16">
      <c r="A16" s="47" t="inlineStr">
        <is>
          <t>Yield falls 25 bps</t>
        </is>
      </c>
      <c r="B16" s="52" t="inlineStr">
        <is>
          <t>-25 bps</t>
        </is>
      </c>
      <c r="C16" s="48">
        <f>YTM+-0.0025</f>
        <v/>
      </c>
      <c r="D16" s="30">
        <f>-ModDur*(-0.0025)*CleanPrice</f>
        <v/>
      </c>
      <c r="E16" s="30">
        <f>(-ModDur*(-0.0025)+0.5*Convexity*(-0.0025)^2)*CleanPrice</f>
        <v/>
      </c>
      <c r="F16" s="34">
        <f>CleanPrice+$E$16</f>
        <v/>
      </c>
      <c r="G16" s="21">
        <f>IFERROR($E$16/CleanPrice,0)</f>
        <v/>
      </c>
      <c r="H16" s="30">
        <f>IF(N(PosSize)=0,"-",$E$16*PosSize/100)</f>
        <v/>
      </c>
      <c r="I16" s="10">
        <f>IF(-25&lt;0,"Yields fall -&gt; price rises (gain)",IF(-25&gt;0,"Yields rise -&gt; price falls (loss)","No change"))</f>
        <v/>
      </c>
    </row>
    <row r="17">
      <c r="A17" s="9" t="inlineStr">
        <is>
          <t>No change</t>
        </is>
      </c>
      <c r="B17" s="52" t="inlineStr">
        <is>
          <t>0 bps</t>
        </is>
      </c>
      <c r="C17" s="48">
        <f>YTM+0.0</f>
        <v/>
      </c>
      <c r="D17" s="30">
        <f>-ModDur*(0.0)*CleanPrice</f>
        <v/>
      </c>
      <c r="E17" s="30">
        <f>(-ModDur*(0.0)+0.5*Convexity*(0.0)^2)*CleanPrice</f>
        <v/>
      </c>
      <c r="F17" s="34">
        <f>CleanPrice+$E$17</f>
        <v/>
      </c>
      <c r="G17" s="21">
        <f>IFERROR($E$17/CleanPrice,0)</f>
        <v/>
      </c>
      <c r="H17" s="30">
        <f>IF(N(PosSize)=0,"-",$E$17*PosSize/100)</f>
        <v/>
      </c>
      <c r="I17" s="10">
        <f>IF(0&lt;0,"Yields fall -&gt; price rises (gain)",IF(0&gt;0,"Yields rise -&gt; price falls (loss)","No change"))</f>
        <v/>
      </c>
    </row>
    <row r="18">
      <c r="A18" s="47" t="inlineStr">
        <is>
          <t>Yield rises 25 bps</t>
        </is>
      </c>
      <c r="B18" s="52" t="inlineStr">
        <is>
          <t>+25 bps</t>
        </is>
      </c>
      <c r="C18" s="48">
        <f>YTM+0.0025</f>
        <v/>
      </c>
      <c r="D18" s="30">
        <f>-ModDur*(0.0025)*CleanPrice</f>
        <v/>
      </c>
      <c r="E18" s="30">
        <f>(-ModDur*(0.0025)+0.5*Convexity*(0.0025)^2)*CleanPrice</f>
        <v/>
      </c>
      <c r="F18" s="34">
        <f>CleanPrice+$E$18</f>
        <v/>
      </c>
      <c r="G18" s="21">
        <f>IFERROR($E$18/CleanPrice,0)</f>
        <v/>
      </c>
      <c r="H18" s="30">
        <f>IF(N(PosSize)=0,"-",$E$18*PosSize/100)</f>
        <v/>
      </c>
      <c r="I18" s="10">
        <f>IF(25&lt;0,"Yields fall -&gt; price rises (gain)",IF(25&gt;0,"Yields rise -&gt; price falls (loss)","No change"))</f>
        <v/>
      </c>
    </row>
    <row r="19">
      <c r="A19" s="47" t="inlineStr">
        <is>
          <t>Yield rises 50 bps</t>
        </is>
      </c>
      <c r="B19" s="52" t="inlineStr">
        <is>
          <t>+50 bps</t>
        </is>
      </c>
      <c r="C19" s="48">
        <f>YTM+0.005</f>
        <v/>
      </c>
      <c r="D19" s="30">
        <f>-ModDur*(0.005)*CleanPrice</f>
        <v/>
      </c>
      <c r="E19" s="30">
        <f>(-ModDur*(0.005)+0.5*Convexity*(0.005)^2)*CleanPrice</f>
        <v/>
      </c>
      <c r="F19" s="34">
        <f>CleanPrice+$E$19</f>
        <v/>
      </c>
      <c r="G19" s="21">
        <f>IFERROR($E$19/CleanPrice,0)</f>
        <v/>
      </c>
      <c r="H19" s="30">
        <f>IF(N(PosSize)=0,"-",$E$19*PosSize/100)</f>
        <v/>
      </c>
      <c r="I19" s="10">
        <f>IF(50&lt;0,"Yields fall -&gt; price rises (gain)",IF(50&gt;0,"Yields rise -&gt; price falls (loss)","No change"))</f>
        <v/>
      </c>
    </row>
    <row r="20">
      <c r="A20" s="47" t="inlineStr">
        <is>
          <t>Yield rises 100 bps</t>
        </is>
      </c>
      <c r="B20" s="52" t="inlineStr">
        <is>
          <t>+100 bps</t>
        </is>
      </c>
      <c r="C20" s="48">
        <f>YTM+0.01</f>
        <v/>
      </c>
      <c r="D20" s="30">
        <f>-ModDur*(0.01)*CleanPrice</f>
        <v/>
      </c>
      <c r="E20" s="30">
        <f>(-ModDur*(0.01)+0.5*Convexity*(0.01)^2)*CleanPrice</f>
        <v/>
      </c>
      <c r="F20" s="34">
        <f>CleanPrice+$E$20</f>
        <v/>
      </c>
      <c r="G20" s="21">
        <f>IFERROR($E$20/CleanPrice,0)</f>
        <v/>
      </c>
      <c r="H20" s="30">
        <f>IF(N(PosSize)=0,"-",$E$20*PosSize/100)</f>
        <v/>
      </c>
      <c r="I20" s="10">
        <f>IF(100&lt;0,"Yields fall -&gt; price rises (gain)",IF(100&gt;0,"Yields rise -&gt; price falls (loss)","No change"))</f>
        <v/>
      </c>
    </row>
    <row r="22" ht="18" customHeight="1">
      <c r="A22" s="7" t="inlineStr">
        <is>
          <t>Conclusion</t>
        </is>
      </c>
    </row>
    <row r="23">
      <c r="A23" s="9" t="inlineStr">
        <is>
          <t>Biggest upside</t>
        </is>
      </c>
      <c r="B23" s="10">
        <f>"Yields fall 100 bps -&gt; price ~ "&amp;TEXT($F$14,"0.00")&amp;" (+"&amp;TEXT($G$14,"0.0%")&amp;")"</f>
        <v/>
      </c>
    </row>
    <row r="24">
      <c r="A24" s="9" t="inlineStr">
        <is>
          <t>Biggest downside</t>
        </is>
      </c>
      <c r="B24" s="10">
        <f>"Yields rise 100 bps -&gt; price ~ "&amp;TEXT($F$20,"0.00")&amp;" ("&amp;TEXT($G$20,"0.0%")&amp;")"</f>
        <v/>
      </c>
    </row>
    <row r="25">
      <c r="A25" s="9" t="inlineStr">
        <is>
          <t>What this tells you</t>
        </is>
      </c>
      <c r="B25" s="10">
        <f>IF(ModDur&gt;7,"This is a longer-duration bond - rising yields hurt the price a lot. Rate risk is the main risk.","Duration is moderate - the price moves with yields, but not violently.")</f>
        <v/>
      </c>
    </row>
  </sheetData>
  <mergeCells count="10">
    <mergeCell ref="A2:I2"/>
    <mergeCell ref="A10:I10"/>
    <mergeCell ref="B25:I25"/>
    <mergeCell ref="B24:I24"/>
    <mergeCell ref="A1:I1"/>
    <mergeCell ref="A9:I9"/>
    <mergeCell ref="A8:I8"/>
    <mergeCell ref="A3:I3"/>
    <mergeCell ref="A22:I22"/>
    <mergeCell ref="B23:I23"/>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1.xml><?xml version="1.0" encoding="utf-8"?>
<worksheet xmlns="http://schemas.openxmlformats.org/spreadsheetml/2006/main">
  <sheetPr>
    <tabColor rgb="002E5984"/>
    <outlinePr summaryBelow="1" summaryRight="1"/>
    <pageSetUpPr fitToPage="1"/>
  </sheetPr>
  <dimension ref="A1:F31"/>
  <sheetViews>
    <sheetView showGridLines="0" workbookViewId="0">
      <pane ySplit="5" topLeftCell="A6"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s>
  <sheetData>
    <row r="1" ht="28" customHeight="1">
      <c r="A1" s="1" t="inlineStr">
        <is>
          <t>YIELD CURVE</t>
        </is>
      </c>
    </row>
    <row r="2">
      <c r="A2" s="2" t="inlineStr">
        <is>
          <t>Where is this bond on the government yield curve?</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The yield curve shows government bond yields across different maturities. It tells you whether longer bonds pay more, and where your bond sits.</t>
        </is>
      </c>
    </row>
    <row r="10" ht="14" customHeight="1">
      <c r="A10" s="6" t="inlineStr">
        <is>
          <t>Enter today's government yields in the yellow cells; the chart and the read update automatically.</t>
        </is>
      </c>
    </row>
    <row r="13" ht="18" customHeight="1">
      <c r="A13" s="7" t="inlineStr">
        <is>
          <t>Government yields</t>
        </is>
      </c>
    </row>
    <row r="14">
      <c r="A14" s="28" t="inlineStr">
        <is>
          <t>Tenor</t>
        </is>
      </c>
      <c r="B14" s="29" t="inlineStr">
        <is>
          <t>Yield</t>
        </is>
      </c>
    </row>
    <row r="15">
      <c r="A15" s="9" t="inlineStr">
        <is>
          <t>3-month</t>
        </is>
      </c>
      <c r="B15" s="17" t="n"/>
    </row>
    <row r="16">
      <c r="A16" s="9" t="inlineStr">
        <is>
          <t>2-year</t>
        </is>
      </c>
      <c r="B16" s="17" t="n"/>
    </row>
    <row r="17">
      <c r="A17" s="9" t="inlineStr">
        <is>
          <t>5-year</t>
        </is>
      </c>
      <c r="B17" s="17" t="n"/>
    </row>
    <row r="18">
      <c r="A18" s="9" t="inlineStr">
        <is>
          <t>10-year</t>
        </is>
      </c>
      <c r="B18" s="17" t="n"/>
    </row>
    <row r="19">
      <c r="A19" s="9" t="inlineStr">
        <is>
          <t>30-year</t>
        </is>
      </c>
      <c r="B19" s="17" t="n"/>
    </row>
    <row r="21" ht="18" customHeight="1">
      <c r="A21" s="7" t="inlineStr">
        <is>
          <t>Where this bond sits</t>
        </is>
      </c>
    </row>
    <row r="22">
      <c r="A22" s="9" t="inlineStr">
        <is>
          <t>Years to maturity</t>
        </is>
      </c>
      <c r="B22" s="53">
        <f>YrsToMat</f>
        <v/>
      </c>
    </row>
    <row r="23">
      <c r="A23" s="9" t="inlineStr">
        <is>
          <t>Maturity bucket</t>
        </is>
      </c>
      <c r="B23" s="12">
        <f>IF(YrsToMat&lt;=3,"Short-term",IF(YrsToMat&lt;=10,"Intermediate-term","Long-term"))</f>
        <v/>
      </c>
      <c r="C23" s="25" t="n"/>
    </row>
    <row r="24">
      <c r="A24" s="9" t="inlineStr">
        <is>
          <t>Curve slope (10y - 2y)</t>
        </is>
      </c>
      <c r="B24" s="44">
        <f>(Y10Y-Y2Y)*10000</f>
        <v/>
      </c>
    </row>
    <row r="25">
      <c r="A25" s="9" t="inlineStr">
        <is>
          <t>Curve shape</t>
        </is>
      </c>
      <c r="B25" s="12">
        <f>IF(N(Y10Y)=0,"Enter curve yields above",IF(Y10Y-Y2Y&gt;0.001,"Normal",IF(Y10Y-Y2Y&lt;-0.001,"Inverted","Flat")))</f>
        <v/>
      </c>
      <c r="C25" s="24" t="n"/>
      <c r="D25" s="25" t="n"/>
    </row>
    <row r="27" ht="16" customHeight="1">
      <c r="A27" s="5" t="inlineStr">
        <is>
          <t>Explanation / Interpretation</t>
        </is>
      </c>
    </row>
    <row r="28" ht="25" customHeight="1">
      <c r="A28" s="6" t="inlineStr">
        <is>
          <t>NORMAL curve: long-term yields are HIGHER than short-term yields - investors are paid more for lending longer. This is the usual shape.</t>
        </is>
      </c>
    </row>
    <row r="29" ht="25" customHeight="1">
      <c r="A29" s="6" t="inlineStr">
        <is>
          <t>INVERTED curve: short-term yields are HIGHER than long-term yields. The market may expect future rate cuts or slower growth (watched as a recession signal).</t>
        </is>
      </c>
    </row>
    <row r="30" ht="14" customHeight="1">
      <c r="A30" s="6" t="inlineStr">
        <is>
          <t>FLAT curve: short and long yields are close - often a sign of uncertainty about future rates.</t>
        </is>
      </c>
    </row>
    <row r="31" ht="25" customHeight="1">
      <c r="A31" s="6" t="inlineStr">
        <is>
          <t>For your bond: a longer maturity sits further right on the curve and carries more interest-rate risk; a short bill sits at the left with little rate risk.</t>
        </is>
      </c>
    </row>
  </sheetData>
  <mergeCells count="15">
    <mergeCell ref="A2:F2"/>
    <mergeCell ref="A10:F10"/>
    <mergeCell ref="A28:F28"/>
    <mergeCell ref="A30:F30"/>
    <mergeCell ref="A13:F13"/>
    <mergeCell ref="A1:F1"/>
    <mergeCell ref="A9:F9"/>
    <mergeCell ref="A27:F27"/>
    <mergeCell ref="A8:F8"/>
    <mergeCell ref="B23:C23"/>
    <mergeCell ref="A31:F31"/>
    <mergeCell ref="A3:F3"/>
    <mergeCell ref="A21:F21"/>
    <mergeCell ref="B25:D25"/>
    <mergeCell ref="A29:F29"/>
  </mergeCells>
  <conditionalFormatting sqref="B25">
    <cfRule type="expression" priority="1" dxfId="0" stopIfTrue="1">
      <formula>OR(ISNUMBER(SEARCH("PASS",B25)),ISNUMBER(SEARCH("OK",B25)),ISNUMBER(SEARCH("Low",B25)),ISNUMBER(SEARCH("Normal",B25)),ISNUMBER(SEARCH("Buy",B25)),ISNUMBER(SEARCH("Short",B25)),ISNUMBER(SEARCH("Yes",B25)),ISNUMBER(SEARCH("Within",B25)),ISNUMBER(SEARCH("Attractive",B25)),ISNUMBER(SEARCH("Cheap",B25)),ISNUMBER(SEARCH("Upside",B25)))</formula>
    </cfRule>
    <cfRule type="expression" priority="2" dxfId="1" stopIfTrue="1">
      <formula>OR(ISNUMBER(SEARCH("WARNING",B25)),ISNUMBER(SEARCH("WARN",B25)),ISNUMBER(SEARCH("Medium",B25)),ISNUMBER(SEARCH("Flat",B25)),ISNUMBER(SEARCH("Hold",B25)),ISNUMBER(SEARCH("Intermediate",B25)),ISNUMBER(SEARCH("Review",B25)),ISNUMBER(SEARCH("Fair",B25)),ISNUMBER(SEARCH("Neutral",B25)))</formula>
    </cfRule>
    <cfRule type="expression" priority="3" dxfId="2" stopIfTrue="1">
      <formula>OR(ISNUMBER(SEARCH("FAIL",B25)),ISNUMBER(SEARCH("High",B25)),ISNUMBER(SEARCH("Inverted",B25)),ISNUMBER(SEARCH("Avoid",B25)),ISNUMBER(SEARCH("Long",B25)),ISNUMBER(SEARCH("Negative",B25)),ISNUMBER(SEARCH("Expensive",B25)),ISNUMBER(SEARCH("Not Attractive",B25)),ISNUMBER(SEARCH("Downside",B25)))</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drawing xmlns:r="http://schemas.openxmlformats.org/officeDocument/2006/relationships" r:id="rId19"/>
</worksheet>
</file>

<file path=xl/worksheets/sheet12.xml><?xml version="1.0" encoding="utf-8"?>
<worksheet xmlns="http://schemas.openxmlformats.org/spreadsheetml/2006/main">
  <sheetPr>
    <tabColor rgb="001F7A3D"/>
    <outlinePr summaryBelow="1" summaryRight="1"/>
    <pageSetUpPr fitToPage="1"/>
  </sheetPr>
  <dimension ref="A1:F40"/>
  <sheetViews>
    <sheetView showGridLines="0" workbookViewId="0">
      <pane ySplit="5" topLeftCell="A6" activePane="bottomLeft" state="frozen"/>
      <selection pane="bottomLeft" activeCell="A1" sqref="A1"/>
    </sheetView>
  </sheetViews>
  <sheetFormatPr baseColWidth="8" defaultRowHeight="15"/>
  <cols>
    <col width="28" customWidth="1" min="1" max="1"/>
    <col width="16" customWidth="1" min="2" max="2"/>
    <col width="6" customWidth="1" min="3" max="3"/>
    <col width="12" customWidth="1" min="4" max="4"/>
    <col width="12" customWidth="1" min="5" max="5"/>
    <col width="12" customWidth="1" min="6" max="6"/>
  </cols>
  <sheetData>
    <row r="1" ht="28" customHeight="1">
      <c r="A1" s="1" t="inlineStr">
        <is>
          <t>VALUATION SUMMARY</t>
        </is>
      </c>
    </row>
    <row r="2">
      <c r="A2" s="2" t="inlineStr">
        <is>
          <t>The whole bond at a glance, with plain-English reads</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This page collects the key numbers from all the other sheets so you can understand the bond at a glance. Change your inputs and this updates automatically.</t>
        </is>
      </c>
    </row>
    <row r="12" ht="18" customHeight="1">
      <c r="A12" s="7" t="inlineStr">
        <is>
          <t>Identity</t>
        </is>
      </c>
    </row>
    <row r="13">
      <c r="A13" s="9" t="inlineStr">
        <is>
          <t>Bond name</t>
        </is>
      </c>
      <c r="B13" s="54">
        <f>BondName</f>
        <v/>
      </c>
    </row>
    <row r="14">
      <c r="A14" s="9" t="inlineStr">
        <is>
          <t>Issuer</t>
        </is>
      </c>
      <c r="B14" s="54">
        <f>Issuer</f>
        <v/>
      </c>
    </row>
    <row r="15">
      <c r="A15" s="9" t="inlineStr">
        <is>
          <t>Currency</t>
        </is>
      </c>
      <c r="B15" s="54">
        <f>Ccy</f>
        <v/>
      </c>
    </row>
    <row r="16">
      <c r="A16" s="9" t="inlineStr">
        <is>
          <t>Security type</t>
        </is>
      </c>
      <c r="B16" s="54">
        <f>SecType</f>
        <v/>
      </c>
    </row>
    <row r="17">
      <c r="A17" s="9" t="inlineStr">
        <is>
          <t>Maturity date</t>
        </is>
      </c>
      <c r="B17" s="55">
        <f>Mat</f>
        <v/>
      </c>
    </row>
    <row r="18">
      <c r="A18" s="9" t="inlineStr">
        <is>
          <t>Years to maturity</t>
        </is>
      </c>
      <c r="B18" s="53">
        <f>YrsToMat</f>
        <v/>
      </c>
    </row>
    <row r="19">
      <c r="A19" s="9" t="inlineStr">
        <is>
          <t>Coupon rate</t>
        </is>
      </c>
      <c r="B19" s="42">
        <f>Cpn</f>
        <v/>
      </c>
    </row>
    <row r="21" ht="18" customHeight="1">
      <c r="A21" s="7" t="inlineStr">
        <is>
          <t>Price &amp; yield</t>
        </is>
      </c>
    </row>
    <row r="22">
      <c r="A22" s="9" t="inlineStr">
        <is>
          <t>Clean price</t>
        </is>
      </c>
      <c r="B22" s="37">
        <f>MktClean</f>
        <v/>
      </c>
    </row>
    <row r="23">
      <c r="A23" s="9" t="inlineStr">
        <is>
          <t>Dirty price</t>
        </is>
      </c>
      <c r="B23" s="37">
        <f>Dirty</f>
        <v/>
      </c>
    </row>
    <row r="24">
      <c r="A24" s="9" t="inlineStr">
        <is>
          <t>Accrued interest</t>
        </is>
      </c>
      <c r="B24" s="37">
        <f>Accrued</f>
        <v/>
      </c>
    </row>
    <row r="25">
      <c r="A25" s="9" t="inlineStr">
        <is>
          <t>Yield to maturity</t>
        </is>
      </c>
      <c r="B25" s="45">
        <f>YTM</f>
        <v/>
      </c>
    </row>
    <row r="26">
      <c r="A26" s="9" t="inlineStr">
        <is>
          <t>Current yield</t>
        </is>
      </c>
      <c r="B26" s="42">
        <f>CurrentYield</f>
        <v/>
      </c>
    </row>
    <row r="27">
      <c r="A27" s="9" t="inlineStr">
        <is>
          <t>Benchmark yield</t>
        </is>
      </c>
      <c r="B27" s="42">
        <f>BenchYield</f>
        <v/>
      </c>
    </row>
    <row r="28">
      <c r="A28" s="9" t="inlineStr">
        <is>
          <t>Spread over benchmark (bps)</t>
        </is>
      </c>
      <c r="B28" s="56">
        <f>SpreadBps</f>
        <v/>
      </c>
    </row>
    <row r="29">
      <c r="A29" s="9" t="inlineStr">
        <is>
          <t>Premium / discount to par</t>
        </is>
      </c>
      <c r="B29" s="37">
        <f>PremDisc</f>
        <v/>
      </c>
    </row>
    <row r="30" ht="16" customHeight="1">
      <c r="A30" s="5" t="inlineStr">
        <is>
          <t>Explanation / Interpretation</t>
        </is>
      </c>
    </row>
    <row r="31" ht="25" customHeight="1">
      <c r="A31" s="6" t="inlineStr">
        <is>
          <t>Price above 100 = premium; below 100 = discount. YTM is your return to maturity; the spread is the little extra over the benchmark government yield.</t>
        </is>
      </c>
    </row>
    <row r="34" ht="18" customHeight="1">
      <c r="A34" s="7" t="inlineStr">
        <is>
          <t>Risk</t>
        </is>
      </c>
    </row>
    <row r="35">
      <c r="A35" s="9" t="inlineStr">
        <is>
          <t>Macaulay duration</t>
        </is>
      </c>
      <c r="B35" s="53">
        <f>MacDur</f>
        <v/>
      </c>
    </row>
    <row r="36">
      <c r="A36" s="9" t="inlineStr">
        <is>
          <t>Modified duration</t>
        </is>
      </c>
      <c r="B36" s="57">
        <f>ModDur</f>
        <v/>
      </c>
    </row>
    <row r="37">
      <c r="A37" s="9" t="inlineStr">
        <is>
          <t>DV01 (per 100)</t>
        </is>
      </c>
      <c r="B37" s="58">
        <f>DV01</f>
        <v/>
      </c>
    </row>
    <row r="38">
      <c r="A38" s="9" t="inlineStr">
        <is>
          <t>Convexity</t>
        </is>
      </c>
      <c r="B38" s="57">
        <f>Convexity</f>
        <v/>
      </c>
    </row>
    <row r="39" ht="16" customHeight="1">
      <c r="A39" s="5" t="inlineStr">
        <is>
          <t>Explanation / Interpretation</t>
        </is>
      </c>
    </row>
    <row r="40" ht="25" customHeight="1">
      <c r="A40" s="6" t="inlineStr">
        <is>
          <t>Modified duration is roughly the % price change for a 1% yield move (bigger = riskier). DV01 is that risk in money terms per 1 bp. Convexity is a small positive cushion.</t>
        </is>
      </c>
    </row>
  </sheetData>
  <mergeCells count="31">
    <mergeCell ref="B16:C16"/>
    <mergeCell ref="B25:C25"/>
    <mergeCell ref="B22:C22"/>
    <mergeCell ref="A12:F12"/>
    <mergeCell ref="A3:F3"/>
    <mergeCell ref="A21:F21"/>
    <mergeCell ref="B18:C18"/>
    <mergeCell ref="B27:C27"/>
    <mergeCell ref="A2:F2"/>
    <mergeCell ref="A8:F8"/>
    <mergeCell ref="B23:C23"/>
    <mergeCell ref="B14:C14"/>
    <mergeCell ref="B17:C17"/>
    <mergeCell ref="B13:C13"/>
    <mergeCell ref="B38:C38"/>
    <mergeCell ref="B29:C29"/>
    <mergeCell ref="B19:C19"/>
    <mergeCell ref="B37:C37"/>
    <mergeCell ref="A9:F9"/>
    <mergeCell ref="B28:C28"/>
    <mergeCell ref="A31:F31"/>
    <mergeCell ref="A34:F34"/>
    <mergeCell ref="A40:F40"/>
    <mergeCell ref="A30:F30"/>
    <mergeCell ref="A39:F39"/>
    <mergeCell ref="B24:C24"/>
    <mergeCell ref="B15:C15"/>
    <mergeCell ref="A1:F1"/>
    <mergeCell ref="B36:C36"/>
    <mergeCell ref="B26:C26"/>
    <mergeCell ref="B35:C35"/>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3.xml><?xml version="1.0" encoding="utf-8"?>
<worksheet xmlns="http://schemas.openxmlformats.org/spreadsheetml/2006/main">
  <sheetPr>
    <tabColor rgb="001F3A5F"/>
    <outlinePr summaryBelow="1" summaryRight="1"/>
    <pageSetUpPr fitToPage="1"/>
  </sheetPr>
  <dimension ref="A1:F38"/>
  <sheetViews>
    <sheetView showGridLines="0" workbookViewId="0">
      <pane ySplit="5" topLeftCell="A6" activePane="bottomLeft" state="frozen"/>
      <selection pane="bottomLeft" activeCell="A1" sqref="A1"/>
    </sheetView>
  </sheetViews>
  <sheetFormatPr baseColWidth="8" defaultRowHeight="15"/>
  <cols>
    <col width="24" customWidth="1" min="1" max="1"/>
    <col width="14" customWidth="1" min="2" max="2"/>
    <col width="8" customWidth="1" min="3" max="3"/>
    <col width="13" customWidth="1" min="4" max="4"/>
    <col width="13" customWidth="1" min="5" max="5"/>
    <col width="13" customWidth="1" min="6" max="6"/>
  </cols>
  <sheetData>
    <row r="1" ht="28" customHeight="1">
      <c r="A1" s="1" t="inlineStr">
        <is>
          <t>IS THIS BOND ATTRACTIVE?</t>
        </is>
      </c>
    </row>
    <row r="2">
      <c r="A2" s="2" t="inlineStr">
        <is>
          <t>A simple, transparent score out of 10 - and your own final view</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37" customHeight="1">
      <c r="A9" s="6" t="inlineStr">
        <is>
          <t>This sheet gives the bond a score out of 10. It is a SIMPLE teaching framework, not a guarantee. It looks only at the yield, the duration (rate risk), the DV01 (money risk), where the bond sits on the curve, and whether it fits your rate outlook. It cannot know your personal situation - so the final view is editable.</t>
        </is>
      </c>
    </row>
    <row r="10" ht="25" customHeight="1">
      <c r="A10" s="6" t="inlineStr">
        <is>
          <t>Higher score = the yield looks more worth the interest-rate risk. Read every row to see exactly how the points are earned - nothing is hidden.</t>
        </is>
      </c>
    </row>
    <row r="13">
      <c r="A13" s="28" t="inlineStr">
        <is>
          <t>Category</t>
        </is>
      </c>
      <c r="B13" s="29" t="inlineStr">
        <is>
          <t>Score</t>
        </is>
      </c>
      <c r="C13" s="29" t="inlineStr">
        <is>
          <t>Max</t>
        </is>
      </c>
      <c r="D13" s="28" t="inlineStr">
        <is>
          <t>How it is scored</t>
        </is>
      </c>
    </row>
    <row r="14">
      <c r="A14" s="9" t="inlineStr">
        <is>
          <t>Yield attractiveness</t>
        </is>
      </c>
      <c r="B14" s="20">
        <f>IF(YTM&gt;=0.045,3,IF(YTM&gt;=0.035,2,IF(YTM&gt;=0.025,1,0)))</f>
        <v/>
      </c>
      <c r="C14" s="8" t="inlineStr">
        <is>
          <t>/ 3</t>
        </is>
      </c>
      <c r="D14" s="8" t="inlineStr">
        <is>
          <t>3 if YTM &gt;= 4.5%, 2 if &gt;= 3.5%, 1 if &gt;= 2.5%, else 0 (more yield = more income).</t>
        </is>
      </c>
    </row>
    <row r="15">
      <c r="A15" s="9" t="inlineStr">
        <is>
          <t>Duration risk</t>
        </is>
      </c>
      <c r="B15" s="20">
        <f>IF(ModDur&lt;=3,3,IF(ModDur&lt;=7,2,IF(ModDur&lt;=12,1,0)))</f>
        <v/>
      </c>
      <c r="C15" s="8" t="inlineStr">
        <is>
          <t>/ 3</t>
        </is>
      </c>
      <c r="D15" s="8" t="inlineStr">
        <is>
          <t>Lower duration scores higher (less rate risk): 3 if &lt;= 3, 2 if &lt;= 7, 1 if &lt;= 12, else 0.</t>
        </is>
      </c>
    </row>
    <row r="16">
      <c r="A16" s="9" t="inlineStr">
        <is>
          <t>Price sensitivity (DV01)</t>
        </is>
      </c>
      <c r="B16" s="20">
        <f>IF(DV01&lt;=0.03,2,IF(DV01&lt;=0.08,1,0))</f>
        <v/>
      </c>
      <c r="C16" s="8" t="inlineStr">
        <is>
          <t>/ 2</t>
        </is>
      </c>
      <c r="D16" s="8" t="inlineStr">
        <is>
          <t>Lower DV01 = smaller price move per 1 bp: 2 if &lt;= 0.03, 1 if &lt;= 0.08, else 0.</t>
        </is>
      </c>
    </row>
    <row r="17">
      <c r="A17" s="9" t="inlineStr">
        <is>
          <t>Yield curve context</t>
        </is>
      </c>
      <c r="B17" s="20">
        <f>IF(N(Y10Y)=0,0,IF(Y10Y&gt;Y2Y,1,0))</f>
        <v/>
      </c>
      <c r="C17" s="8" t="inlineStr">
        <is>
          <t>/ 1</t>
        </is>
      </c>
      <c r="D17" s="8" t="inlineStr">
        <is>
          <t>1 if the curve is normal / upward-sloping; 0 if flat, inverted, or no curve entered.</t>
        </is>
      </c>
    </row>
    <row r="18">
      <c r="A18" s="9" t="inlineStr">
        <is>
          <t>Rate outlook fit</t>
        </is>
      </c>
      <c r="B18" s="20">
        <f>IF(RateOutlook="Yields Rise",IF(ModDur&lt;=4,1,0),IF(RateOutlook="Yields Fall",IF(ModDur&gt;=7,1,0),IF(YTM&gt;=BenchYield,1,0)))</f>
        <v/>
      </c>
      <c r="C18" s="8" t="inlineStr">
        <is>
          <t>/ 1</t>
        </is>
      </c>
      <c r="D18" s="8" t="inlineStr">
        <is>
          <t>Rise -&gt; short duration scores; Fall -&gt; long duration scores; Stable -&gt; yield &gt;= benchmark scores.</t>
        </is>
      </c>
    </row>
    <row r="19">
      <c r="A19" s="32" t="inlineStr">
        <is>
          <t>TOTAL SCORE</t>
        </is>
      </c>
      <c r="B19" s="59">
        <f>SUM(B14:B18)</f>
        <v/>
      </c>
      <c r="C19" s="60" t="inlineStr">
        <is>
          <t>/ 10</t>
        </is>
      </c>
      <c r="D19" s="8" t="inlineStr">
        <is>
          <t>8-10 = Attractive,  5-7 = Neutral,  0-4 = Not Attractive.</t>
        </is>
      </c>
    </row>
    <row r="21" ht="16" customHeight="1">
      <c r="A21" s="5" t="inlineStr">
        <is>
          <t>Explanation / Interpretation</t>
        </is>
      </c>
    </row>
    <row r="22" ht="37" customHeight="1">
      <c r="A22" s="6" t="inlineStr">
        <is>
          <t>The score adds points for a good yield, low duration / rate risk, low price sensitivity, a helpful curve, and a fit with your rate outlook. A higher total means the yield looks more worth the risk - but it is a starting point, not a personal recommendation.</t>
        </is>
      </c>
    </row>
    <row r="24" ht="18" customHeight="1">
      <c r="A24" s="7" t="inlineStr">
        <is>
          <t>Result</t>
        </is>
      </c>
    </row>
    <row r="25">
      <c r="A25" s="9" t="inlineStr">
        <is>
          <t>Model suggests</t>
        </is>
      </c>
      <c r="B25" s="61">
        <f>IF(AttractScore&gt;=8,"Attractive",IF(AttractScore&gt;=5,"Neutral","Not Attractive"))</f>
        <v/>
      </c>
      <c r="C25" s="39" t="n"/>
      <c r="D25" s="10">
        <f>"Score "&amp;AttractScore&amp;" / 10"</f>
        <v/>
      </c>
    </row>
    <row r="26" ht="24" customHeight="1">
      <c r="A26" s="9" t="inlineStr">
        <is>
          <t>Main reason it scores well</t>
        </is>
      </c>
      <c r="B26" s="10">
        <f>IF(YTM&gt;=0.04,"Yield of "&amp;TEXT(YTM,"0.00%")&amp;" gives reasonable income for a government bond.",IF(ModDur&lt;=3,"Low rate risk - modified duration is only "&amp;TEXT(ModDur,"0.0")&amp;".","Simple, default-free government bond exposure."))</f>
        <v/>
      </c>
    </row>
    <row r="27" ht="24" customHeight="1">
      <c r="A27" s="9" t="inlineStr">
        <is>
          <t>Main risk to watch</t>
        </is>
      </c>
      <c r="B27" s="10">
        <f>IF(ModDur&gt;7,"High duration ("&amp;TEXT(ModDur,"0.0")&amp;") - the price falls a lot if yields rise.",IF(YTM&lt;0.03,"Low yield - limited income for the interest-rate risk taken.",IF(AND(N(Y10Y)&gt;0,Y10Y&lt;Y2Y),"Inverted curve - a possible macro / recession signal.","Interest-rate risk - the price moves opposite to yields.")))</f>
        <v/>
      </c>
    </row>
    <row r="29" ht="18" customHeight="1">
      <c r="A29" s="7" t="inlineStr">
        <is>
          <t>Analyst override &amp; final view</t>
        </is>
      </c>
    </row>
    <row r="30">
      <c r="A30" s="9" t="inlineStr">
        <is>
          <t>Analyst override</t>
        </is>
      </c>
      <c r="C30" s="13" t="inlineStr">
        <is>
          <t>Use model view</t>
        </is>
      </c>
      <c r="D30" s="14" t="n"/>
      <c r="E30" s="8" t="inlineStr">
        <is>
          <t>Override the model if you disagree.</t>
        </is>
      </c>
    </row>
    <row r="31">
      <c r="A31" s="9" t="inlineStr">
        <is>
          <t>Final view (attractive?)</t>
        </is>
      </c>
      <c r="B31" s="61">
        <f>IF(AnalystOverride="Use model view",ModelView,AnalystOverride)</f>
        <v/>
      </c>
      <c r="C31" s="39" t="n"/>
    </row>
    <row r="33" ht="20" customHeight="1">
      <c r="A33" s="9" t="inlineStr">
        <is>
          <t>In one sentence</t>
        </is>
      </c>
      <c r="B33" s="12">
        <f>"Based on this simple framework, this bond currently appears: "&amp;FinalView&amp;"."</f>
        <v/>
      </c>
      <c r="C33" s="24" t="n"/>
      <c r="D33" s="24" t="n"/>
      <c r="E33" s="24" t="n"/>
      <c r="F33" s="25" t="n"/>
    </row>
    <row r="35" ht="28" customHeight="1">
      <c r="A35" s="9" t="inlineStr">
        <is>
          <t>Your note (optional)</t>
        </is>
      </c>
      <c r="B35" s="13" t="inlineStr"/>
      <c r="C35" s="62" t="n"/>
      <c r="D35" s="62" t="n"/>
      <c r="E35" s="62" t="n"/>
      <c r="F35" s="14" t="n"/>
    </row>
    <row r="37" ht="16" customHeight="1">
      <c r="A37" s="5" t="inlineStr">
        <is>
          <t>Important</t>
        </is>
      </c>
    </row>
    <row r="38" ht="37" customHeight="1">
      <c r="A38" s="6" t="inlineStr">
        <is>
          <t>Reminder: this score is a simple, transparent framework, not a promise that the bond is a good investment. A bond can be right for one investor and wrong for another depending on horizon, cash needs and rate views. The final view above is editable - set it to whatever your own judgement says.</t>
        </is>
      </c>
    </row>
  </sheetData>
  <mergeCells count="27">
    <mergeCell ref="C30:D30"/>
    <mergeCell ref="B25:C25"/>
    <mergeCell ref="A37:F37"/>
    <mergeCell ref="D17:F17"/>
    <mergeCell ref="B31:C31"/>
    <mergeCell ref="A3:F3"/>
    <mergeCell ref="A21:F21"/>
    <mergeCell ref="D16:F16"/>
    <mergeCell ref="B27:F27"/>
    <mergeCell ref="A2:F2"/>
    <mergeCell ref="A8:F8"/>
    <mergeCell ref="D18:F18"/>
    <mergeCell ref="A22:F22"/>
    <mergeCell ref="D25:F25"/>
    <mergeCell ref="D15:F15"/>
    <mergeCell ref="A29:F29"/>
    <mergeCell ref="A38:F38"/>
    <mergeCell ref="A10:F10"/>
    <mergeCell ref="D14:F14"/>
    <mergeCell ref="E30:F30"/>
    <mergeCell ref="A9:F9"/>
    <mergeCell ref="A24:F24"/>
    <mergeCell ref="D19:F19"/>
    <mergeCell ref="B33:F33"/>
    <mergeCell ref="A1:F1"/>
    <mergeCell ref="B26:F26"/>
    <mergeCell ref="B35:F35"/>
  </mergeCells>
  <conditionalFormatting sqref="B25">
    <cfRule type="cellIs" priority="1" operator="equal" dxfId="0">
      <formula>"Attractive"</formula>
    </cfRule>
    <cfRule type="cellIs" priority="2" operator="equal" dxfId="1">
      <formula>"Neutral"</formula>
    </cfRule>
    <cfRule type="cellIs" priority="3" operator="equal" dxfId="2">
      <formula>"Not Attractive"</formula>
    </cfRule>
  </conditionalFormatting>
  <conditionalFormatting sqref="B31">
    <cfRule type="cellIs" priority="4" operator="equal" dxfId="0">
      <formula>"Attractive"</formula>
    </cfRule>
    <cfRule type="cellIs" priority="5" operator="equal" dxfId="1">
      <formula>"Neutral"</formula>
    </cfRule>
    <cfRule type="cellIs" priority="6" operator="equal" dxfId="2">
      <formula>"Not Attractive"</formula>
    </cfRule>
  </conditionalFormatting>
  <dataValidations count="1">
    <dataValidation sqref="C30" showDropDown="0" showInputMessage="0" showErrorMessage="1" allowBlank="1" type="list">
      <formula1>"Use model view,Attractive,Neutral,Not Attractive"</formula1>
    </dataValidation>
  </dataValidation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4.xml><?xml version="1.0" encoding="utf-8"?>
<worksheet xmlns="http://schemas.openxmlformats.org/spreadsheetml/2006/main">
  <sheetPr>
    <tabColor rgb="001F3A5F"/>
    <outlinePr summaryBelow="1" summaryRight="1"/>
    <pageSetUpPr fitToPage="1"/>
  </sheetPr>
  <dimension ref="A1:F34"/>
  <sheetViews>
    <sheetView showGridLines="0" workbookViewId="0">
      <pane ySplit="5" topLeftCell="A6" activePane="bottomLeft" state="frozen"/>
      <selection pane="bottomLeft" activeCell="A1" sqref="A1"/>
    </sheetView>
  </sheetViews>
  <sheetFormatPr baseColWidth="8" defaultRowHeight="15"/>
  <cols>
    <col width="22" customWidth="1" min="1" max="1"/>
    <col width="14" customWidth="1" min="2" max="2"/>
    <col width="8" customWidth="1" min="3" max="3"/>
    <col width="20" customWidth="1" min="4" max="4"/>
    <col width="14" customWidth="1" min="5" max="5"/>
    <col width="12" customWidth="1" min="6" max="6"/>
  </cols>
  <sheetData>
    <row r="1" ht="28" customHeight="1">
      <c r="A1" s="1" t="inlineStr">
        <is>
          <t>RECOMMENDATION SUMMARY</t>
        </is>
      </c>
    </row>
    <row r="2">
      <c r="A2" s="2" t="inlineStr">
        <is>
          <t>One-page view of the bond and your final call</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This is the decision page. The workbook has done the maths; the Buy / Hold / Avoid call below is left as YOUR manual choice. The model informs the decision - it does not make it for you.</t>
        </is>
      </c>
    </row>
    <row r="12">
      <c r="A12" s="9" t="inlineStr">
        <is>
          <t>Final recommendation</t>
        </is>
      </c>
      <c r="C12" s="11" t="inlineStr">
        <is>
          <t>Hold</t>
        </is>
      </c>
      <c r="D12" s="14" t="n"/>
      <c r="E12" s="8" t="inlineStr">
        <is>
          <t>Manual - your trading call.</t>
        </is>
      </c>
    </row>
    <row r="13">
      <c r="A13" s="9" t="inlineStr">
        <is>
          <t>Investment attractiveness</t>
        </is>
      </c>
      <c r="C13" s="61">
        <f>FinalView</f>
        <v/>
      </c>
      <c r="D13" s="39" t="n"/>
      <c r="E13" s="8" t="inlineStr">
        <is>
          <t>From the Is This Bond Attractive? sheet.</t>
        </is>
      </c>
    </row>
    <row r="15" ht="18" customHeight="1">
      <c r="A15" s="7" t="inlineStr">
        <is>
          <t>Bond &amp; pricing</t>
        </is>
      </c>
      <c r="D15" s="7" t="inlineStr">
        <is>
          <t>Risk &amp; context</t>
        </is>
      </c>
    </row>
    <row r="16">
      <c r="A16" s="9" t="inlineStr">
        <is>
          <t>Bond name</t>
        </is>
      </c>
      <c r="B16" s="54">
        <f>BondName</f>
        <v/>
      </c>
      <c r="D16" s="9" t="inlineStr">
        <is>
          <t>Macaulay duration</t>
        </is>
      </c>
      <c r="E16" s="53">
        <f>MacDur</f>
        <v/>
      </c>
    </row>
    <row r="17">
      <c r="A17" s="9" t="inlineStr">
        <is>
          <t>Issuer</t>
        </is>
      </c>
      <c r="B17" s="54">
        <f>Issuer</f>
        <v/>
      </c>
      <c r="D17" s="9" t="inlineStr">
        <is>
          <t>Modified duration</t>
        </is>
      </c>
      <c r="E17" s="57">
        <f>ModDur</f>
        <v/>
      </c>
    </row>
    <row r="18">
      <c r="A18" s="9" t="inlineStr">
        <is>
          <t>Currency</t>
        </is>
      </c>
      <c r="B18" s="54">
        <f>Ccy</f>
        <v/>
      </c>
      <c r="D18" s="9" t="inlineStr">
        <is>
          <t>Convexity</t>
        </is>
      </c>
      <c r="E18" s="57">
        <f>Convexity</f>
        <v/>
      </c>
    </row>
    <row r="19">
      <c r="A19" s="9" t="inlineStr">
        <is>
          <t>Maturity</t>
        </is>
      </c>
      <c r="B19" s="55">
        <f>Mat</f>
        <v/>
      </c>
      <c r="D19" s="9" t="inlineStr">
        <is>
          <t>DV01 (per 100)</t>
        </is>
      </c>
      <c r="E19" s="58">
        <f>DV01</f>
        <v/>
      </c>
    </row>
    <row r="20">
      <c r="A20" s="9" t="inlineStr">
        <is>
          <t>Coupon rate</t>
        </is>
      </c>
      <c r="B20" s="42">
        <f>Cpn</f>
        <v/>
      </c>
      <c r="D20" s="9" t="inlineStr">
        <is>
          <t>Price if +100 bps</t>
        </is>
      </c>
      <c r="E20" s="37">
        <f>CleanPrice+(-ModDur*0.01+0.5*Convexity*0.01^2)*CleanPrice</f>
        <v/>
      </c>
    </row>
    <row r="21">
      <c r="A21" s="9" t="inlineStr">
        <is>
          <t>Clean price</t>
        </is>
      </c>
      <c r="B21" s="37">
        <f>MktClean</f>
        <v/>
      </c>
      <c r="D21" s="9" t="inlineStr">
        <is>
          <t>Yield curve view</t>
        </is>
      </c>
      <c r="E21" s="54">
        <f>CurveShape</f>
        <v/>
      </c>
    </row>
    <row r="22">
      <c r="A22" s="9" t="inlineStr">
        <is>
          <t>Dirty price</t>
        </is>
      </c>
      <c r="B22" s="37">
        <f>Dirty</f>
        <v/>
      </c>
      <c r="D22" s="9" t="inlineStr">
        <is>
          <t>Maturity bucket</t>
        </is>
      </c>
      <c r="E22" s="54">
        <f>IF(YrsToMat&lt;=3,"Short-term",IF(YrsToMat&lt;=10,"Intermediate-term","Long-term"))</f>
        <v/>
      </c>
    </row>
    <row r="23">
      <c r="A23" s="9" t="inlineStr">
        <is>
          <t>Yield to maturity</t>
        </is>
      </c>
      <c r="B23" s="45">
        <f>YTM</f>
        <v/>
      </c>
      <c r="D23" s="9" t="inlineStr">
        <is>
          <t>Attractiveness score</t>
        </is>
      </c>
      <c r="E23" s="54">
        <f>AttractScore&amp;" / 10"</f>
        <v/>
      </c>
    </row>
    <row r="24">
      <c r="A24" s="9" t="inlineStr">
        <is>
          <t>Current yield</t>
        </is>
      </c>
      <c r="B24" s="42">
        <f>CurrentYield</f>
        <v/>
      </c>
    </row>
    <row r="25">
      <c r="A25" s="9" t="inlineStr">
        <is>
          <t>Spread (bps)</t>
        </is>
      </c>
      <c r="B25" s="56">
        <f>SpreadBps</f>
        <v/>
      </c>
    </row>
    <row r="27" ht="18" customHeight="1">
      <c r="A27" s="7" t="inlineStr">
        <is>
          <t>Positives, risks &amp; comment</t>
        </is>
      </c>
    </row>
    <row r="28" ht="24" customHeight="1">
      <c r="A28" s="9" t="inlineStr">
        <is>
          <t>Main positive factor</t>
        </is>
      </c>
      <c r="B28" s="10">
        <f>IF(YTM&gt;=BenchYield,"Yield of "&amp;TEXT(YTM,"0.00%")&amp;" is at or above the benchmark - decent income.","Simple, liquid, default-free government bond exposure.")</f>
        <v/>
      </c>
    </row>
    <row r="29" ht="24" customHeight="1">
      <c r="A29" s="9" t="inlineStr">
        <is>
          <t>Main risk</t>
        </is>
      </c>
      <c r="B29" s="10">
        <f>IF(ModDur&gt;7,"High duration - price is very sensitive to rising yields.","Interest-rate risk - the price falls if yields rise.")</f>
        <v/>
      </c>
    </row>
    <row r="30" ht="28" customHeight="1">
      <c r="A30" s="9" t="inlineStr">
        <is>
          <t>Final analyst comment</t>
        </is>
      </c>
      <c r="B30" s="13" t="inlineStr"/>
      <c r="C30" s="62" t="n"/>
      <c r="D30" s="62" t="n"/>
      <c r="E30" s="62" t="n"/>
      <c r="F30" s="14" t="n"/>
    </row>
    <row r="32" ht="16" customHeight="1">
      <c r="A32" s="5" t="inlineStr">
        <is>
          <t>How to read Buy / Hold / Avoid</t>
        </is>
      </c>
    </row>
    <row r="33" ht="25" customHeight="1">
      <c r="A33" s="6" t="inlineStr">
        <is>
          <t>BUY = the bond looks attractive on the score and your view. HOLD = acceptable, but not clearly attractive. AVOID = the return does not look like enough for the interest-rate risk.</t>
        </is>
      </c>
    </row>
    <row r="34" ht="14" customHeight="1">
      <c r="A34" s="6" t="inlineStr">
        <is>
          <t>The Buy / Hold / Avoid call is deliberately left as YOUR manual input - the model informs it but does not make it.</t>
        </is>
      </c>
    </row>
  </sheetData>
  <mergeCells count="18">
    <mergeCell ref="B30:F30"/>
    <mergeCell ref="A2:F2"/>
    <mergeCell ref="C12:D12"/>
    <mergeCell ref="E12:F12"/>
    <mergeCell ref="B29:F29"/>
    <mergeCell ref="A33:F33"/>
    <mergeCell ref="A1:F1"/>
    <mergeCell ref="B28:F28"/>
    <mergeCell ref="A9:F9"/>
    <mergeCell ref="A27:F27"/>
    <mergeCell ref="A8:F8"/>
    <mergeCell ref="A32:F32"/>
    <mergeCell ref="E13:F13"/>
    <mergeCell ref="C13:D13"/>
    <mergeCell ref="A34:F34"/>
    <mergeCell ref="A3:F3"/>
    <mergeCell ref="D15:F15"/>
    <mergeCell ref="A15:C15"/>
  </mergeCells>
  <conditionalFormatting sqref="C13">
    <cfRule type="cellIs" priority="1" operator="equal" dxfId="0">
      <formula>"Attractive"</formula>
    </cfRule>
    <cfRule type="cellIs" priority="2" operator="equal" dxfId="1">
      <formula>"Neutral"</formula>
    </cfRule>
    <cfRule type="cellIs" priority="3" operator="equal" dxfId="2">
      <formula>"Not Attractive"</formula>
    </cfRule>
  </conditionalFormatting>
  <dataValidations count="1">
    <dataValidation sqref="C12" showDropDown="0" showInputMessage="0" showErrorMessage="1" allowBlank="1" type="list">
      <formula1>"Buy,Hold,Avoid"</formula1>
    </dataValidation>
  </dataValidation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5.xml><?xml version="1.0" encoding="utf-8"?>
<worksheet xmlns="http://schemas.openxmlformats.org/spreadsheetml/2006/main">
  <sheetPr>
    <tabColor rgb="006B7986"/>
    <outlinePr summaryBelow="1" summaryRight="1"/>
    <pageSetUpPr fitToPage="1"/>
  </sheetPr>
  <dimension ref="A1:H53"/>
  <sheetViews>
    <sheetView showGridLines="0" workbookViewId="0">
      <pane ySplit="6" topLeftCell="A7" activePane="bottomLeft" state="frozen"/>
      <selection pane="bottomLef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ht="28" customHeight="1">
      <c r="A1" s="1" t="inlineStr">
        <is>
          <t>GLOSSARY / BOND DICTIONARY</t>
        </is>
      </c>
    </row>
    <row r="2">
      <c r="A2" s="2" t="inlineStr">
        <is>
          <t>Every term a beginner needs - in plain English</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New to bonds? Keep this page handy. Every term used anywhere in the workbook is defined here in simple language, in alphabetical order.</t>
        </is>
      </c>
    </row>
    <row r="12">
      <c r="A12" s="28" t="inlineStr">
        <is>
          <t>Term</t>
        </is>
      </c>
      <c r="B12" s="28" t="inlineStr">
        <is>
          <t>What it means</t>
        </is>
      </c>
    </row>
    <row r="13" ht="25" customHeight="1">
      <c r="A13" s="9" t="inlineStr">
        <is>
          <t>Accrued interest</t>
        </is>
      </c>
      <c r="B13" s="8" t="inlineStr">
        <is>
          <t>The part of the next coupon the seller has already earned. When you buy between coupon dates you pay it to them, then collect the whole coupon next time.</t>
        </is>
      </c>
    </row>
    <row r="14" ht="25" customHeight="1">
      <c r="A14" s="9" t="inlineStr">
        <is>
          <t>Basis point (bp)</t>
        </is>
      </c>
      <c r="B14" s="8" t="inlineStr">
        <is>
          <t>One hundredth of one percent: 1 bp = 0.01%. Yields move in basis points - 25 bps means 0.25%.</t>
        </is>
      </c>
    </row>
    <row r="15" ht="25" customHeight="1">
      <c r="A15" s="9" t="inlineStr">
        <is>
          <t>Benchmark yield</t>
        </is>
      </c>
      <c r="B15" s="8" t="inlineStr">
        <is>
          <t>The market yield of a similar-maturity government bond, used as the yardstick to judge your bond's yield.</t>
        </is>
      </c>
    </row>
    <row r="16" ht="25" customHeight="1">
      <c r="A16" s="9" t="inlineStr">
        <is>
          <t>Bond</t>
        </is>
      </c>
      <c r="B16" s="8" t="inlineStr">
        <is>
          <t>A loan you make to a borrower. They pay you interest along the way and repay the amount borrowed at the end.</t>
        </is>
      </c>
    </row>
    <row r="17" ht="15" customHeight="1">
      <c r="A17" s="9" t="inlineStr">
        <is>
          <t>Clean price</t>
        </is>
      </c>
      <c r="B17" s="8" t="inlineStr">
        <is>
          <t>The quoted market price of a bond, per 100 of face value, NOT including accrued interest.</t>
        </is>
      </c>
    </row>
    <row r="18" ht="25" customHeight="1">
      <c r="A18" s="9" t="inlineStr">
        <is>
          <t>Convexity</t>
        </is>
      </c>
      <c r="B18" s="8" t="inlineStr">
        <is>
          <t>A measure of how a bond's price curve bends. It corrects duration's straight-line estimate and is a small plus for the holder of a normal bond.</t>
        </is>
      </c>
    </row>
    <row r="19" ht="25" customHeight="1">
      <c r="A19" s="9" t="inlineStr">
        <is>
          <t>Coupon</t>
        </is>
      </c>
      <c r="B19" s="8" t="inlineStr">
        <is>
          <t>The regular interest payment a bond makes, usually every six months for government notes and bonds.</t>
        </is>
      </c>
    </row>
    <row r="20" ht="25" customHeight="1">
      <c r="A20" s="9" t="inlineStr">
        <is>
          <t>Coupon rate</t>
        </is>
      </c>
      <c r="B20" s="8" t="inlineStr">
        <is>
          <t>The annual interest rate the bond pays on its face value. A 4% coupon on 100 face pays 4 per year.</t>
        </is>
      </c>
    </row>
    <row r="21" ht="15" customHeight="1">
      <c r="A21" s="9" t="inlineStr">
        <is>
          <t>Currency</t>
        </is>
      </c>
      <c r="B21" s="8" t="inlineStr">
        <is>
          <t>The money the bond is issued and pays in, such as USD, EUR or GBP.</t>
        </is>
      </c>
    </row>
    <row r="22" ht="25" customHeight="1">
      <c r="A22" s="9" t="inlineStr">
        <is>
          <t>Current yield</t>
        </is>
      </c>
      <c r="B22" s="8" t="inlineStr">
        <is>
          <t>The annual coupon divided by the current price - a quick income measure that ignores gain or loss to maturity.</t>
        </is>
      </c>
    </row>
    <row r="23" ht="25" customHeight="1">
      <c r="A23" s="9" t="inlineStr">
        <is>
          <t>Day-count basis</t>
        </is>
      </c>
      <c r="B23" s="8" t="inlineStr">
        <is>
          <t>The rule for counting days between dates (for accrued interest and yields). Governments usually use Actual/Actual.</t>
        </is>
      </c>
    </row>
    <row r="24" ht="25" customHeight="1">
      <c r="A24" s="9" t="inlineStr">
        <is>
          <t>Default risk</t>
        </is>
      </c>
      <c r="B24" s="8" t="inlineStr">
        <is>
          <t>The risk the borrower fails to pay. For major government bonds in their own currency this is treated as very low.</t>
        </is>
      </c>
    </row>
    <row r="25" ht="25" customHeight="1">
      <c r="A25" s="9" t="inlineStr">
        <is>
          <t>Discount (price)</t>
        </is>
      </c>
      <c r="B25" s="8" t="inlineStr">
        <is>
          <t>When a bond's price is below 100 (below par). It usually means the coupon is lower than current market yields.</t>
        </is>
      </c>
    </row>
    <row r="26" ht="25" customHeight="1">
      <c r="A26" s="9" t="inlineStr">
        <is>
          <t>Discount factor</t>
        </is>
      </c>
      <c r="B26" s="8" t="inlineStr">
        <is>
          <t>How much 1 unit of money received in the future is worth today. Future money is worth less than money now.</t>
        </is>
      </c>
    </row>
    <row r="27" ht="15" customHeight="1">
      <c r="A27" s="9" t="inlineStr">
        <is>
          <t>Dirty price</t>
        </is>
      </c>
      <c r="B27" s="8" t="inlineStr">
        <is>
          <t>The actual cash you pay for a bond = clean price + accrued interest.</t>
        </is>
      </c>
    </row>
    <row r="28" ht="25" customHeight="1">
      <c r="A28" s="9" t="inlineStr">
        <is>
          <t>Duration</t>
        </is>
      </c>
      <c r="B28" s="8" t="inlineStr">
        <is>
          <t>The main measure of interest-rate risk. Broadly, how much the price moves when yields move, and how long your money is tied up.</t>
        </is>
      </c>
    </row>
    <row r="29" ht="25" customHeight="1">
      <c r="A29" s="9" t="inlineStr">
        <is>
          <t>DV01</t>
        </is>
      </c>
      <c r="B29" s="8" t="inlineStr">
        <is>
          <t>The 'dollar value of 1 basis point' - how much the bond's value changes in money terms if the yield moves 0.01%.</t>
        </is>
      </c>
    </row>
    <row r="30" ht="25" customHeight="1">
      <c r="A30" s="9" t="inlineStr">
        <is>
          <t>Face value (par)</t>
        </is>
      </c>
      <c r="B30" s="8" t="inlineStr">
        <is>
          <t>The amount the bond repays at maturity, and the base the coupon is calculated on. Prices are quoted per 100 face.</t>
        </is>
      </c>
    </row>
    <row r="31" ht="25" customHeight="1">
      <c r="A31" s="9" t="inlineStr">
        <is>
          <t>Flat yield curve</t>
        </is>
      </c>
      <c r="B31" s="8" t="inlineStr">
        <is>
          <t>When short-term and long-term yields are about the same - often a sign of uncertainty about future rates.</t>
        </is>
      </c>
    </row>
    <row r="32" ht="25" customHeight="1">
      <c r="A32" s="9" t="inlineStr">
        <is>
          <t>Interest-rate risk</t>
        </is>
      </c>
      <c r="B32" s="8" t="inlineStr">
        <is>
          <t>The risk that rising market yields push your bond's price down. It is the main risk for a government bond.</t>
        </is>
      </c>
    </row>
    <row r="33" ht="25" customHeight="1">
      <c r="A33" s="9" t="inlineStr">
        <is>
          <t>Inverted yield curve</t>
        </is>
      </c>
      <c r="B33" s="8" t="inlineStr">
        <is>
          <t>When short-term yields are higher than long-term yields. Watched closely because it has often preceded recessions.</t>
        </is>
      </c>
    </row>
    <row r="34" ht="15" customHeight="1">
      <c r="A34" s="9" t="inlineStr">
        <is>
          <t>Issue date</t>
        </is>
      </c>
      <c r="B34" s="8" t="inlineStr">
        <is>
          <t>The date the bond was first sold by the government.</t>
        </is>
      </c>
    </row>
    <row r="35" ht="15" customHeight="1">
      <c r="A35" s="9" t="inlineStr">
        <is>
          <t>Issuer</t>
        </is>
      </c>
      <c r="B35" s="8" t="inlineStr">
        <is>
          <t>Who borrowed the money - for a government bond, the national treasury or government.</t>
        </is>
      </c>
    </row>
    <row r="36" ht="15" customHeight="1">
      <c r="A36" s="9" t="inlineStr">
        <is>
          <t>Macaulay duration</t>
        </is>
      </c>
      <c r="B36" s="8" t="inlineStr">
        <is>
          <t>The weighted-average time, in years, to receive a bond's cash flows.</t>
        </is>
      </c>
    </row>
    <row r="37" ht="15" customHeight="1">
      <c r="A37" s="9" t="inlineStr">
        <is>
          <t>Maturity date</t>
        </is>
      </c>
      <c r="B37" s="8" t="inlineStr">
        <is>
          <t>The date the bond repays its face value and the loan ends.</t>
        </is>
      </c>
    </row>
    <row r="38" ht="25" customHeight="1">
      <c r="A38" s="9" t="inlineStr">
        <is>
          <t>Modified duration</t>
        </is>
      </c>
      <c r="B38" s="8" t="inlineStr">
        <is>
          <t>The estimated percentage change in price for a 1% (100 bps) change in yield. Bigger = more rate risk.</t>
        </is>
      </c>
    </row>
    <row r="39" ht="25" customHeight="1">
      <c r="A39" s="9" t="inlineStr">
        <is>
          <t>Normal yield curve</t>
        </is>
      </c>
      <c r="B39" s="8" t="inlineStr">
        <is>
          <t>When long-term yields are higher than short-term yields - the usual, healthy shape. You are paid more to lend for longer.</t>
        </is>
      </c>
    </row>
    <row r="40" ht="15" customHeight="1">
      <c r="A40" s="9" t="inlineStr">
        <is>
          <t>Par</t>
        </is>
      </c>
      <c r="B40" s="8" t="inlineStr">
        <is>
          <t>A price of exactly 100 - the face value. Above par = premium; below par = discount.</t>
        </is>
      </c>
    </row>
    <row r="41" ht="25" customHeight="1">
      <c r="A41" s="9" t="inlineStr">
        <is>
          <t>Premium (price)</t>
        </is>
      </c>
      <c r="B41" s="8" t="inlineStr">
        <is>
          <t>When a bond's price is above 100 (above par). It usually means the coupon is higher than current market yields.</t>
        </is>
      </c>
    </row>
    <row r="42" ht="15" customHeight="1">
      <c r="A42" s="9" t="inlineStr">
        <is>
          <t>Present value (PV)</t>
        </is>
      </c>
      <c r="B42" s="8" t="inlineStr">
        <is>
          <t>The value today of money you will receive in the future, after applying a discount factor.</t>
        </is>
      </c>
    </row>
    <row r="43" ht="15" customHeight="1">
      <c r="A43" s="9" t="inlineStr">
        <is>
          <t>Principal</t>
        </is>
      </c>
      <c r="B43" s="8" t="inlineStr">
        <is>
          <t>The amount borrowed and repaid at maturity - the same as the face value.</t>
        </is>
      </c>
    </row>
    <row r="44" ht="25" customHeight="1">
      <c r="A44" s="9" t="inlineStr">
        <is>
          <t>Reinvestment risk</t>
        </is>
      </c>
      <c r="B44" s="8" t="inlineStr">
        <is>
          <t>The risk that you have to reinvest coupons at lower rates than you hoped. Zero-coupon bonds avoid it (no coupons).</t>
        </is>
      </c>
    </row>
    <row r="45" ht="15" customHeight="1">
      <c r="A45" s="9" t="inlineStr">
        <is>
          <t>Settlement date</t>
        </is>
      </c>
      <c r="B45" s="8" t="inlineStr">
        <is>
          <t>The date you actually buy and pay for the bond - usually today when you value it.</t>
        </is>
      </c>
    </row>
    <row r="46" ht="25" customHeight="1">
      <c r="A46" s="9" t="inlineStr">
        <is>
          <t>Spread</t>
        </is>
      </c>
      <c r="B46" s="8" t="inlineStr">
        <is>
          <t>Your bond's yield minus a benchmark government yield of similar maturity. Usually small for governments.</t>
        </is>
      </c>
    </row>
    <row r="47" ht="25" customHeight="1">
      <c r="A47" s="9" t="inlineStr">
        <is>
          <t>Treasury bill (T-bill)</t>
        </is>
      </c>
      <c r="B47" s="8" t="inlineStr">
        <is>
          <t>A short-term government security (a year or less) sold at a discount with no coupons - a zero-coupon bond.</t>
        </is>
      </c>
    </row>
    <row r="48" ht="15" customHeight="1">
      <c r="A48" s="9" t="inlineStr">
        <is>
          <t>Treasury bond</t>
        </is>
      </c>
      <c r="B48" s="8" t="inlineStr">
        <is>
          <t>A long-term government bond (often 20-30 years) that pays regular coupons.</t>
        </is>
      </c>
    </row>
    <row r="49" ht="15" customHeight="1">
      <c r="A49" s="9" t="inlineStr">
        <is>
          <t>Treasury note</t>
        </is>
      </c>
      <c r="B49" s="8" t="inlineStr">
        <is>
          <t>A medium-term government bond (about 2-10 years) that pays regular coupons.</t>
        </is>
      </c>
    </row>
    <row r="50" ht="15" customHeight="1">
      <c r="A50" s="9" t="inlineStr">
        <is>
          <t>Yield</t>
        </is>
      </c>
      <c r="B50" s="8" t="inlineStr">
        <is>
          <t>The return a bond gives you, expressed as an annual percentage.</t>
        </is>
      </c>
    </row>
    <row r="51" ht="25" customHeight="1">
      <c r="A51" s="9" t="inlineStr">
        <is>
          <t>Yield curve</t>
        </is>
      </c>
      <c r="B51" s="8" t="inlineStr">
        <is>
          <t>A chart of government yields across maturities. It shows whether longer bonds pay more and where your bond sits.</t>
        </is>
      </c>
    </row>
    <row r="52" ht="25" customHeight="1">
      <c r="A52" s="9" t="inlineStr">
        <is>
          <t>Yield to maturity (YTM)</t>
        </is>
      </c>
      <c r="B52" s="8" t="inlineStr">
        <is>
          <t>The annual return you earn if you buy at today's price and hold to maturity, receiving all payments. The main yield number.</t>
        </is>
      </c>
    </row>
    <row r="53" ht="25" customHeight="1">
      <c r="A53" s="9" t="inlineStr">
        <is>
          <t>Zero-coupon bond</t>
        </is>
      </c>
      <c r="B53" s="8" t="inlineStr">
        <is>
          <t>A bond with no coupons. You buy it below face value and get the full face value back at maturity; the gain is your return.</t>
        </is>
      </c>
    </row>
  </sheetData>
  <mergeCells count="47">
    <mergeCell ref="A9:H9"/>
    <mergeCell ref="B40:H40"/>
    <mergeCell ref="B49:H49"/>
    <mergeCell ref="B24:H24"/>
    <mergeCell ref="B30:H30"/>
    <mergeCell ref="B15:H15"/>
    <mergeCell ref="B33:H33"/>
    <mergeCell ref="A1:H1"/>
    <mergeCell ref="B51:H51"/>
    <mergeCell ref="B20:H20"/>
    <mergeCell ref="B37:H37"/>
    <mergeCell ref="B45:H45"/>
    <mergeCell ref="B36:H36"/>
    <mergeCell ref="B32:H32"/>
    <mergeCell ref="B50:H50"/>
    <mergeCell ref="B26:H26"/>
    <mergeCell ref="B41:H41"/>
    <mergeCell ref="B35:H35"/>
    <mergeCell ref="B47:H47"/>
    <mergeCell ref="B16:H16"/>
    <mergeCell ref="B25:H25"/>
    <mergeCell ref="B31:H31"/>
    <mergeCell ref="B46:H46"/>
    <mergeCell ref="B22:H22"/>
    <mergeCell ref="A3:H3"/>
    <mergeCell ref="B18:H18"/>
    <mergeCell ref="B27:H27"/>
    <mergeCell ref="B52:H52"/>
    <mergeCell ref="B21:H21"/>
    <mergeCell ref="A2:H2"/>
    <mergeCell ref="B43:H43"/>
    <mergeCell ref="B12:H12"/>
    <mergeCell ref="B39:H39"/>
    <mergeCell ref="B48:H48"/>
    <mergeCell ref="B42:H42"/>
    <mergeCell ref="A8:H8"/>
    <mergeCell ref="B23:H23"/>
    <mergeCell ref="B14:H14"/>
    <mergeCell ref="B17:H17"/>
    <mergeCell ref="B13:H13"/>
    <mergeCell ref="B44:H44"/>
    <mergeCell ref="B53:H53"/>
    <mergeCell ref="B38:H38"/>
    <mergeCell ref="B29:H29"/>
    <mergeCell ref="B19:H19"/>
    <mergeCell ref="B34:H34"/>
    <mergeCell ref="B28:H28"/>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6.xml><?xml version="1.0" encoding="utf-8"?>
<worksheet xmlns="http://schemas.openxmlformats.org/spreadsheetml/2006/main">
  <sheetPr>
    <tabColor rgb="006B7986"/>
    <outlinePr summaryBelow="1" summaryRight="1"/>
    <pageSetUpPr fitToPage="1"/>
  </sheetPr>
  <dimension ref="A1:J29"/>
  <sheetViews>
    <sheetView showGridLines="0" workbookViewId="0">
      <pane ySplit="6" topLeftCell="A7" activePane="bottomLeft" state="frozen"/>
      <selection pane="bottomLeft" activeCell="A1" sqref="A1"/>
    </sheetView>
  </sheetViews>
  <sheetFormatPr baseColWidth="8" defaultRowHeight="15"/>
  <cols>
    <col width="22" customWidth="1" min="1" max="1"/>
    <col width="34"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ht="28" customHeight="1">
      <c r="A1" s="1" t="inlineStr">
        <is>
          <t>FORMULA EXPLANATIONS</t>
        </is>
      </c>
    </row>
    <row r="2">
      <c r="A2" s="2" t="inlineStr">
        <is>
          <t>Every formula in the workbook, explained in plain English</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Curious what a cell actually calculates? This sheet lists each formula the workbook uses, what it does, and how to read the answer. Nothing here is hidden - you can open any cell and see the same formula.</t>
        </is>
      </c>
    </row>
    <row r="12" ht="16" customHeight="1">
      <c r="A12" s="28" t="inlineStr">
        <is>
          <t>Concept</t>
        </is>
      </c>
      <c r="B12" s="28" t="inlineStr">
        <is>
          <t>Formula used</t>
        </is>
      </c>
      <c r="C12" s="28" t="inlineStr">
        <is>
          <t>What it does</t>
        </is>
      </c>
    </row>
    <row r="13" ht="37" customHeight="1">
      <c r="A13" s="9" t="inlineStr">
        <is>
          <t>Years to maturity</t>
        </is>
      </c>
      <c r="B13" s="10" t="inlineStr">
        <is>
          <t>YEARFRAC(Settle, Mat, Basis)</t>
        </is>
      </c>
      <c r="C13" s="8" t="inlineStr">
        <is>
          <t>Counts the time in years between your settlement date and the maturity date, using the chosen day-count basis.</t>
        </is>
      </c>
      <c r="G13" s="8" t="inlineStr">
        <is>
          <t>Bigger = longer until you are repaid = usually more interest-rate risk.</t>
        </is>
      </c>
    </row>
    <row r="14" ht="37" customHeight="1">
      <c r="A14" s="9" t="inlineStr">
        <is>
          <t>Number of coupons left</t>
        </is>
      </c>
      <c r="B14" s="10" t="inlineStr">
        <is>
          <t>COUPNUM(Settle, Mat, Freq, Basis)</t>
        </is>
      </c>
      <c r="C14" s="8" t="inlineStr">
        <is>
          <t>Counts how many coupon payments are still to come between settlement and maturity.</t>
        </is>
      </c>
      <c r="G14" s="8" t="inlineStr">
        <is>
          <t>Each one is a future cash flow the workbook discounts back to today.</t>
        </is>
      </c>
    </row>
    <row r="15" ht="61" customHeight="1">
      <c r="A15" s="9" t="inlineStr">
        <is>
          <t>Accrued interest</t>
        </is>
      </c>
      <c r="B15" s="10" t="inlineStr">
        <is>
          <t>COUPDAYBS(...) / COUPDAYS(...) * Cpn/Freq * Face</t>
        </is>
      </c>
      <c r="C15" s="8" t="inlineStr">
        <is>
          <t>Takes the fraction of the current coupon period that has already passed and multiplies it by one coupon. COUPDAYBS = days since the last coupon; COUPDAYS = days in the whole period.</t>
        </is>
      </c>
      <c r="G15" s="8" t="inlineStr">
        <is>
          <t>This is the slice of the next coupon you must pay back to the seller. Zero for a bill.</t>
        </is>
      </c>
    </row>
    <row r="16" ht="28" customHeight="1">
      <c r="A16" s="9" t="inlineStr">
        <is>
          <t>Dirty price</t>
        </is>
      </c>
      <c r="B16" s="10" t="inlineStr">
        <is>
          <t>MktClean + Accrued</t>
        </is>
      </c>
      <c r="C16" s="8" t="inlineStr">
        <is>
          <t>Adds accrued interest to the quoted clean price to get the actual cash you pay.</t>
        </is>
      </c>
      <c r="G16" s="8" t="inlineStr">
        <is>
          <t>Always a little above the clean price between coupon dates.</t>
        </is>
      </c>
    </row>
    <row r="17" ht="37" customHeight="1">
      <c r="A17" s="9" t="inlineStr">
        <is>
          <t>Yield to maturity (coupon bond)</t>
        </is>
      </c>
      <c r="B17" s="10" t="inlineStr">
        <is>
          <t>YIELD(Settle, Mat, Cpn, MktClean, Face, Freq, Basis)</t>
        </is>
      </c>
      <c r="C17" s="8" t="inlineStr">
        <is>
          <t>Solves for the single annual return that makes the price fair, given all the future coupons and the repayment.</t>
        </is>
      </c>
      <c r="G17" s="8" t="inlineStr">
        <is>
          <t>Higher when the price is lower. This is your return if you hold to maturity.</t>
        </is>
      </c>
    </row>
    <row r="18" ht="37" customHeight="1">
      <c r="A18" s="9" t="inlineStr">
        <is>
          <t>Yield to maturity (zero-coupon)</t>
        </is>
      </c>
      <c r="B18" s="10" t="inlineStr">
        <is>
          <t>(Face / MktClean)^(1 / YrsToMat) - 1</t>
        </is>
      </c>
      <c r="C18" s="8" t="inlineStr">
        <is>
          <t>For a bill with no coupons, the yield is just the growth rate from today's price up to the face value.</t>
        </is>
      </c>
      <c r="G18" s="8" t="inlineStr">
        <is>
          <t>One payment only, so no coupon reinvestment to worry about.</t>
        </is>
      </c>
    </row>
    <row r="19" ht="37" customHeight="1">
      <c r="A19" s="9" t="inlineStr">
        <is>
          <t>Current yield</t>
        </is>
      </c>
      <c r="B19" s="10" t="inlineStr">
        <is>
          <t>Cpn * Face / MktClean</t>
        </is>
      </c>
      <c r="C19" s="8" t="inlineStr">
        <is>
          <t>Divides the annual coupon cash by the current price - a quick income snapshot.</t>
        </is>
      </c>
      <c r="G19" s="8" t="inlineStr">
        <is>
          <t>Ignores the pull-to-par gain or loss, so YTM is the fuller measure. N/A for a zero.</t>
        </is>
      </c>
    </row>
    <row r="20" ht="37" customHeight="1">
      <c r="A20" s="9" t="inlineStr">
        <is>
          <t>Price from a yield (coupon bond)</t>
        </is>
      </c>
      <c r="B20" s="10" t="inlineStr">
        <is>
          <t>PRICE(Settle, Mat, Cpn, yield, Face, Freq, Basis)</t>
        </is>
      </c>
      <c r="C20" s="8" t="inlineStr">
        <is>
          <t>The reverse of YIELD: given a yield, it returns the clean price that yield implies.</t>
        </is>
      </c>
      <c r="G20" s="8" t="inlineStr">
        <is>
          <t>Type a yield you think is fair and compare the price it gives to the market price.</t>
        </is>
      </c>
    </row>
    <row r="21" ht="28" customHeight="1">
      <c r="A21" s="9" t="inlineStr">
        <is>
          <t>Price from a yield (zero-coupon)</t>
        </is>
      </c>
      <c r="B21" s="10" t="inlineStr">
        <is>
          <t>Face / (1 + yield)^YrsToMat</t>
        </is>
      </c>
      <c r="C21" s="8" t="inlineStr">
        <is>
          <t>Discounts the single face-value payment back to today at the yield you choose.</t>
        </is>
      </c>
      <c r="G21" s="8" t="inlineStr">
        <is>
          <t>The only cash flow is the face value at maturity.</t>
        </is>
      </c>
    </row>
    <row r="22" ht="37" customHeight="1">
      <c r="A22" s="9" t="inlineStr">
        <is>
          <t>Macaulay duration</t>
        </is>
      </c>
      <c r="B22" s="10" t="inlineStr">
        <is>
          <t>DURATION(Settle, Mat, Cpn, YTM, Freq, Basis)</t>
        </is>
      </c>
      <c r="C22" s="8" t="inlineStr">
        <is>
          <t>The weighted-average time (in years) to receive the bond's cash flows, each weighted by its present value.</t>
        </is>
      </c>
      <c r="G22" s="8" t="inlineStr">
        <is>
          <t>Longer = your money comes back later on average. A zero's duration equals its maturity.</t>
        </is>
      </c>
    </row>
    <row r="23" ht="37" customHeight="1">
      <c r="A23" s="9" t="inlineStr">
        <is>
          <t>Modified duration</t>
        </is>
      </c>
      <c r="B23" s="10" t="inlineStr">
        <is>
          <t>MDURATION(Settle, Mat, Cpn, YTM, Freq, Basis)</t>
        </is>
      </c>
      <c r="C23" s="8" t="inlineStr">
        <is>
          <t>Macaulay duration divided by (1 + yield/frequency). It estimates the % price change for a 1% yield move.</t>
        </is>
      </c>
      <c r="G23" s="8" t="inlineStr">
        <is>
          <t>If it is 7, a 1% rise in yield cuts the price about 7%. Bigger = more rate risk.</t>
        </is>
      </c>
    </row>
    <row r="24" ht="37" customHeight="1">
      <c r="A24" s="9" t="inlineStr">
        <is>
          <t>DV01 (per 100 face)</t>
        </is>
      </c>
      <c r="B24" s="10" t="inlineStr">
        <is>
          <t>ModDur * Dirty * 0.0001</t>
        </is>
      </c>
      <c r="C24" s="8" t="inlineStr">
        <is>
          <t>Turns modified duration into money: the price change for a 1 basis-point (0.01%) move in yield.</t>
        </is>
      </c>
      <c r="G24" s="8" t="inlineStr">
        <is>
          <t>Always positive; a bigger DV01 means bigger profit or loss per basis point.</t>
        </is>
      </c>
    </row>
    <row r="25" ht="37" customHeight="1">
      <c r="A25" s="9" t="inlineStr">
        <is>
          <t>Convexity (from the schedule)</t>
        </is>
      </c>
      <c r="B25" s="10" t="inlineStr">
        <is>
          <t>SUM( CF x t x (t+1) / (1+y/f)^(t+2) ) / (Price x f^2)</t>
        </is>
      </c>
      <c r="C25" s="8" t="inlineStr">
        <is>
          <t>Measures how duration itself changes as yields move - the curve that duration (a straight line) misses.</t>
        </is>
      </c>
      <c r="G25" s="8" t="inlineStr">
        <is>
          <t>Positive for normal bonds: it adds to gains when yields fall and softens losses when yields rise.</t>
        </is>
      </c>
    </row>
    <row r="26" ht="37" customHeight="1">
      <c r="A26" s="9" t="inlineStr">
        <is>
          <t>Rate-shock price change</t>
        </is>
      </c>
      <c r="B26" s="10" t="inlineStr">
        <is>
          <t>(-ModDur x dy + 0.5 x Convexity x dy^2) x Price</t>
        </is>
      </c>
      <c r="C26" s="8" t="inlineStr">
        <is>
          <t>Estimates the price change for a yield move 'dy' using duration plus the convexity correction.</t>
        </is>
      </c>
      <c r="G26" s="8" t="inlineStr">
        <is>
          <t>The duration part is the straight-line guess; convexity makes it more accurate for big moves.</t>
        </is>
      </c>
    </row>
    <row r="27" ht="37" customHeight="1">
      <c r="A27" s="9" t="inlineStr">
        <is>
          <t>Spread over benchmark</t>
        </is>
      </c>
      <c r="B27" s="10" t="inlineStr">
        <is>
          <t>YTM - BenchYield</t>
        </is>
      </c>
      <c r="C27" s="8" t="inlineStr">
        <is>
          <t>Subtracts a similar-maturity government benchmark yield from your bond's yield.</t>
        </is>
      </c>
      <c r="G27" s="8" t="inlineStr">
        <is>
          <t>Positive = you earn a little more than the benchmark. For governments it is usually small.</t>
        </is>
      </c>
    </row>
    <row r="28" ht="49" customHeight="1">
      <c r="A28" s="9" t="inlineStr">
        <is>
          <t>Curve shape</t>
        </is>
      </c>
      <c r="B28" s="10" t="inlineStr">
        <is>
          <t>IF(Y10Y-Y2Y&gt;0.001,"Normal", IF(Y10Y-Y2Y&lt;-0.001,"Inverted","Flat"))</t>
        </is>
      </c>
      <c r="C28" s="8" t="inlineStr">
        <is>
          <t>Compares the 10-year and 2-year yields to label the curve.</t>
        </is>
      </c>
      <c r="G28" s="8" t="inlineStr">
        <is>
          <t>Normal = up-sloping (usual); Inverted = down-sloping (watched as a recession signal); Flat = close together.</t>
        </is>
      </c>
    </row>
    <row r="29" ht="37" customHeight="1">
      <c r="A29" s="9" t="inlineStr">
        <is>
          <t>Attractiveness score</t>
        </is>
      </c>
      <c r="B29" s="10" t="inlineStr">
        <is>
          <t>SUM of the five category points (yield, duration, DV01, curve, outlook fit)</t>
        </is>
      </c>
      <c r="C29" s="8" t="inlineStr">
        <is>
          <t>Adds simple, visible points across five categories to a total out of 10.</t>
        </is>
      </c>
      <c r="G29" s="8" t="inlineStr">
        <is>
          <t>8-10 = Attractive, 5-7 = Neutral, 0-4 = Not Attractive. Fully editable and overridable.</t>
        </is>
      </c>
    </row>
  </sheetData>
  <mergeCells count="41">
    <mergeCell ref="C17:F17"/>
    <mergeCell ref="A8:J8"/>
    <mergeCell ref="C23:F23"/>
    <mergeCell ref="G26:J26"/>
    <mergeCell ref="G20:J20"/>
    <mergeCell ref="G29:J29"/>
    <mergeCell ref="G16:J16"/>
    <mergeCell ref="G25:J25"/>
    <mergeCell ref="C19:F19"/>
    <mergeCell ref="C28:F28"/>
    <mergeCell ref="C13:F13"/>
    <mergeCell ref="C18:F18"/>
    <mergeCell ref="G22:J22"/>
    <mergeCell ref="A9:J9"/>
    <mergeCell ref="G12:J12"/>
    <mergeCell ref="G21:J21"/>
    <mergeCell ref="C15:F15"/>
    <mergeCell ref="C24:F24"/>
    <mergeCell ref="G27:J27"/>
    <mergeCell ref="C14:F14"/>
    <mergeCell ref="A1:J1"/>
    <mergeCell ref="G17:J17"/>
    <mergeCell ref="G23:J23"/>
    <mergeCell ref="C20:F20"/>
    <mergeCell ref="C26:F26"/>
    <mergeCell ref="C29:F29"/>
    <mergeCell ref="C16:F16"/>
    <mergeCell ref="C25:F25"/>
    <mergeCell ref="G19:J19"/>
    <mergeCell ref="G28:J28"/>
    <mergeCell ref="C22:F22"/>
    <mergeCell ref="G13:J13"/>
    <mergeCell ref="G18:J18"/>
    <mergeCell ref="C12:F12"/>
    <mergeCell ref="A3:J3"/>
    <mergeCell ref="C21:F21"/>
    <mergeCell ref="G24:J24"/>
    <mergeCell ref="G15:J15"/>
    <mergeCell ref="A2:J2"/>
    <mergeCell ref="C27:F27"/>
    <mergeCell ref="G14:J14"/>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7.xml><?xml version="1.0" encoding="utf-8"?>
<worksheet xmlns="http://schemas.openxmlformats.org/spreadsheetml/2006/main">
  <sheetPr>
    <tabColor rgb="00C00000"/>
    <outlinePr summaryBelow="1" summaryRight="1"/>
    <pageSetUpPr fitToPage="1"/>
  </sheetPr>
  <dimension ref="A1:F30"/>
  <sheetViews>
    <sheetView showGridLines="0" workbookViewId="0">
      <pane ySplit="13" topLeftCell="A14" activePane="bottomLeft" state="frozen"/>
      <selection pane="bottomLeft" activeCell="A1" sqref="A1"/>
    </sheetView>
  </sheetViews>
  <sheetFormatPr baseColWidth="8" defaultRowHeight="15"/>
  <cols>
    <col width="24" customWidth="1" min="1" max="1"/>
    <col width="12" customWidth="1" min="2" max="2"/>
    <col width="12" customWidth="1" min="3" max="3"/>
    <col width="9" customWidth="1" min="4" max="4"/>
    <col width="10" customWidth="1" min="5" max="5"/>
    <col width="54" customWidth="1" min="6" max="6"/>
  </cols>
  <sheetData>
    <row r="1" ht="28" customHeight="1">
      <c r="A1" s="1" t="inlineStr">
        <is>
          <t>QUALITY CHECK</t>
        </is>
      </c>
    </row>
    <row r="2">
      <c r="A2" s="2" t="inlineStr">
        <is>
          <t>15 independent checks that the calculations are correct</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Each row recomputes a result a DIFFERENT way, or checks a rule that must always hold, and reports a status. Pass = within tolerance / rule holds; Warning = small difference worth a look; Fail = check your inputs.</t>
        </is>
      </c>
    </row>
    <row r="10" ht="14" customHeight="1">
      <c r="A10" s="6" t="inlineStr">
        <is>
          <t>Tolerances:  price +/- 0.05 per 100;  duration +/- 0.05 years. A little rounding is normal.</t>
        </is>
      </c>
    </row>
    <row r="13" ht="18" customHeight="1">
      <c r="A13" s="29" t="inlineStr">
        <is>
          <t>Check</t>
        </is>
      </c>
      <c r="B13" s="29" t="inlineStr">
        <is>
          <t>Main result</t>
        </is>
      </c>
      <c r="C13" s="29" t="inlineStr">
        <is>
          <t>Independent</t>
        </is>
      </c>
      <c r="D13" s="29" t="inlineStr">
        <is>
          <t>Diff</t>
        </is>
      </c>
      <c r="E13" s="29" t="inlineStr">
        <is>
          <t>Status</t>
        </is>
      </c>
      <c r="F13" s="28" t="inlineStr">
        <is>
          <t>Explanation</t>
        </is>
      </c>
    </row>
    <row r="14">
      <c r="A14" s="9" t="inlineStr">
        <is>
          <t>Dirty price identity</t>
        </is>
      </c>
      <c r="B14" s="30">
        <f>Dirty</f>
        <v/>
      </c>
      <c r="C14" s="30">
        <f>MktClean+Accrued</f>
        <v/>
      </c>
      <c r="D14" s="30">
        <f>IF(AND(ISNUMBER(B14),ISNUMBER(C14)),B14-C14,"")</f>
        <v/>
      </c>
      <c r="E14" s="23">
        <f>IF(NOT(AND(ISNUMBER(B14),ISNUMBER(C14))),"n/a",IF(ABS(D14)&lt;=0.05,"Pass",IF(ABS(D14)&lt;=0.15000000000000002,"Warning","Fail")))</f>
        <v/>
      </c>
      <c r="F14" s="8" t="inlineStr">
        <is>
          <t>Dirty price should equal clean price + accrued interest.</t>
        </is>
      </c>
    </row>
    <row r="15">
      <c r="A15" s="9" t="inlineStr">
        <is>
          <t>Yield check (PV = dirty)</t>
        </is>
      </c>
      <c r="B15" s="30">
        <f>DirtyCF</f>
        <v/>
      </c>
      <c r="C15" s="30">
        <f>Dirty</f>
        <v/>
      </c>
      <c r="D15" s="30">
        <f>IF(AND(ISNUMBER(B15),ISNUMBER(C15)),B15-C15,"")</f>
        <v/>
      </c>
      <c r="E15" s="23">
        <f>IF(NOT(AND(ISNUMBER(B15),ISNUMBER(C15))),"n/a",IF(ABS(D15)&lt;=0.05,"Pass",IF(ABS(D15)&lt;=0.15000000000000002,"Warning","Fail")))</f>
        <v/>
      </c>
      <c r="F15" s="8" t="inlineStr">
        <is>
          <t>Discounting the cash flows at the YTM should reproduce the dirty price.</t>
        </is>
      </c>
    </row>
    <row r="16">
      <c r="A16" s="9" t="inlineStr">
        <is>
          <t>Price check</t>
        </is>
      </c>
      <c r="B16" s="30">
        <f>MktClean</f>
        <v/>
      </c>
      <c r="C16" s="30">
        <f>IF(IsZero=1,Face/(1+(YTM))^YrsToMat,PRICE(Settle,Mat,Cpn,YTM,Face,Freq,Basis))</f>
        <v/>
      </c>
      <c r="D16" s="30">
        <f>IF(AND(ISNUMBER(B16),ISNUMBER(C16)),B16-C16,"")</f>
        <v/>
      </c>
      <c r="E16" s="23">
        <f>IF(NOT(AND(ISNUMBER(B16),ISNUMBER(C16))),"n/a",IF(ABS(D16)&lt;=0.05,"Pass",IF(ABS(D16)&lt;=0.15000000000000002,"Warning","Fail")))</f>
        <v/>
      </c>
      <c r="F16" s="8" t="inlineStr">
        <is>
          <t>Theoretical price at the YTM should match the market clean price.</t>
        </is>
      </c>
    </row>
    <row r="17">
      <c r="A17" s="9" t="inlineStr">
        <is>
          <t>Macaulay duration two ways</t>
        </is>
      </c>
      <c r="B17" s="22">
        <f>MacDur</f>
        <v/>
      </c>
      <c r="C17" s="22">
        <f>MacaulayCF</f>
        <v/>
      </c>
      <c r="D17" s="22">
        <f>IF(AND(ISNUMBER(B17),ISNUMBER(C17)),B17-C17,"")</f>
        <v/>
      </c>
      <c r="E17" s="23">
        <f>IF(NOT(AND(ISNUMBER(B17),ISNUMBER(C17))),"n/a",IF(ABS(D17)&lt;=0.05,"Pass",IF(ABS(D17)&lt;=0.15000000000000002,"Warning","Fail")))</f>
        <v/>
      </c>
      <c r="F17" s="8" t="inlineStr">
        <is>
          <t>Excel DURATION() and the cash-flow schedule should give the same Macaulay duration.</t>
        </is>
      </c>
    </row>
    <row r="18">
      <c r="A18" s="9" t="inlineStr">
        <is>
          <t>Duration positive</t>
        </is>
      </c>
      <c r="B18" s="63" t="inlineStr"/>
      <c r="C18" s="63" t="inlineStr"/>
      <c r="D18" s="63" t="inlineStr"/>
      <c r="E18" s="23">
        <f>IF(MacDur&gt;0,"Pass","Fail")</f>
        <v/>
      </c>
      <c r="F18" s="8" t="inlineStr">
        <is>
          <t>Duration must be positive for a normal bond.</t>
        </is>
      </c>
    </row>
    <row r="19">
      <c r="A19" s="9" t="inlineStr">
        <is>
          <t>Modified &lt;= Macaulay</t>
        </is>
      </c>
      <c r="B19" s="63" t="inlineStr"/>
      <c r="C19" s="63" t="inlineStr"/>
      <c r="D19" s="63" t="inlineStr"/>
      <c r="E19" s="23">
        <f>IF(ModDur&lt;=MacDur+0.0001,"Pass","Fail")</f>
        <v/>
      </c>
      <c r="F19" s="8" t="inlineStr">
        <is>
          <t>Modified duration = Macaulay / (1 + y/f), so it is always a little smaller.</t>
        </is>
      </c>
    </row>
    <row r="20">
      <c r="A20" s="9" t="inlineStr">
        <is>
          <t>DV01 positive</t>
        </is>
      </c>
      <c r="B20" s="63" t="inlineStr"/>
      <c r="C20" s="63" t="inlineStr"/>
      <c r="D20" s="63" t="inlineStr"/>
      <c r="E20" s="23">
        <f>IF(DV01&gt;0,"Pass","Fail")</f>
        <v/>
      </c>
      <c r="F20" s="8" t="inlineStr">
        <is>
          <t>DV01 is a positive risk magnitude.</t>
        </is>
      </c>
    </row>
    <row r="21">
      <c r="A21" s="9" t="inlineStr">
        <is>
          <t>Convexity positive</t>
        </is>
      </c>
      <c r="B21" s="63" t="inlineStr"/>
      <c r="C21" s="63" t="inlineStr"/>
      <c r="D21" s="63" t="inlineStr"/>
      <c r="E21" s="23">
        <f>IF(Convexity&gt;0,"Pass","Fail")</f>
        <v/>
      </c>
      <c r="F21" s="8" t="inlineStr">
        <is>
          <t>Convexity should be positive for a normal fixed-rate government bond.</t>
        </is>
      </c>
    </row>
    <row r="22">
      <c r="A22" s="9" t="inlineStr">
        <is>
          <t>Price-yield direction</t>
        </is>
      </c>
      <c r="B22" s="63" t="inlineStr"/>
      <c r="C22" s="63" t="inlineStr"/>
      <c r="D22" s="63" t="inlineStr"/>
      <c r="E22" s="23">
        <f>IF(IF(IsZero=1,Face/(1+(YTM+0.005))^YrsToMat,PRICE(Settle,Mat,Cpn,YTM+0.005,Face,Freq,Basis))&lt;IF(IsZero=1,Face/(1+(YTM-0.005))^YrsToMat,PRICE(Settle,Mat,Cpn,YTM-0.005,Face,Freq,Basis)),"Pass","Fail")</f>
        <v/>
      </c>
      <c r="F22" s="8" t="inlineStr">
        <is>
          <t>If the yield rises the price should fall, and vice versa.</t>
        </is>
      </c>
    </row>
    <row r="23">
      <c r="A23" s="9" t="inlineStr">
        <is>
          <t>Accrued in range</t>
        </is>
      </c>
      <c r="B23" s="63" t="inlineStr"/>
      <c r="C23" s="63" t="inlineStr"/>
      <c r="D23" s="63" t="inlineStr"/>
      <c r="E23" s="23">
        <f>IF(IsZero=1,"n/a",IF(AND(Accrued&gt;=0,Accrued&lt;=Cpn/Freq*Face+0.001),"Pass","Fail"))</f>
        <v/>
      </c>
      <c r="F23" s="8" t="inlineStr">
        <is>
          <t>Accrued interest cannot be negative or bigger than one whole coupon.</t>
        </is>
      </c>
    </row>
    <row r="24">
      <c r="A24" s="9" t="inlineStr">
        <is>
          <t>Zero-coupon check</t>
        </is>
      </c>
      <c r="B24" s="63" t="inlineStr"/>
      <c r="C24" s="63" t="inlineStr"/>
      <c r="D24" s="63" t="inlineStr"/>
      <c r="E24" s="23">
        <f>IF(IsZero=1,IF(EffCoupon=0,"Pass","Warning"),"n/a (not zero-coupon)")</f>
        <v/>
      </c>
      <c r="F24" s="8" t="inlineStr">
        <is>
          <t>A zero-coupon bond should have no coupon cash flows - only principal at maturity.</t>
        </is>
      </c>
    </row>
    <row r="25">
      <c r="A25" s="9" t="inlineStr">
        <is>
          <t>Date order (settle &lt; maturity)</t>
        </is>
      </c>
      <c r="B25" s="63" t="inlineStr"/>
      <c r="C25" s="63" t="inlineStr"/>
      <c r="D25" s="63" t="inlineStr"/>
      <c r="E25" s="23">
        <f>IF(Settle&lt;Mat,"Pass","Fail")</f>
        <v/>
      </c>
      <c r="F25" s="8" t="inlineStr">
        <is>
          <t>Settlement must be before maturity.</t>
        </is>
      </c>
    </row>
    <row r="26">
      <c r="A26" s="9" t="inlineStr">
        <is>
          <t>Issue on or before settlement</t>
        </is>
      </c>
      <c r="B26" s="63" t="inlineStr"/>
      <c r="C26" s="63" t="inlineStr"/>
      <c r="D26" s="63" t="inlineStr"/>
      <c r="E26" s="23">
        <f>IF(N(IssueDate)=0,"n/a",IF(IssueDate&lt;=Settle,"Pass","Warning"))</f>
        <v/>
      </c>
      <c r="F26" s="8" t="inlineStr">
        <is>
          <t>You normally value the bond on or after its issue date.</t>
        </is>
      </c>
    </row>
    <row r="27">
      <c r="A27" s="9" t="inlineStr">
        <is>
          <t>Frequency supported</t>
        </is>
      </c>
      <c r="B27" s="63" t="inlineStr"/>
      <c r="C27" s="63" t="inlineStr"/>
      <c r="D27" s="63" t="inlineStr"/>
      <c r="E27" s="23">
        <f>IF(OR(FreqName="Semiannual",FreqName="Annual",FreqName="Zero-coupon"),"Pass","Fail")</f>
        <v/>
      </c>
      <c r="F27" s="8" t="inlineStr">
        <is>
          <t>Coupon frequency must be Semiannual, Annual or Zero-coupon.</t>
        </is>
      </c>
    </row>
    <row r="28">
      <c r="A28" s="9" t="inlineStr">
        <is>
          <t>Sanity: price vs par</t>
        </is>
      </c>
      <c r="B28" s="63" t="inlineStr"/>
      <c r="C28" s="63" t="inlineStr"/>
      <c r="D28" s="63" t="inlineStr"/>
      <c r="E28" s="23">
        <f>IF(IsZero=1,"n/a",IF(ABS(Cpn-YTM)&lt;0.0005,"Pass",IF(SIGN(Cpn-YTM)=SIGN(MktClean-Face),"Pass","Fail")))</f>
        <v/>
      </c>
      <c r="F28" s="8" t="inlineStr">
        <is>
          <t>Coupon above YTM -&gt; price above par; coupon below YTM -&gt; price below par.</t>
        </is>
      </c>
    </row>
    <row r="30">
      <c r="A30" s="9" t="inlineStr">
        <is>
          <t>Summary</t>
        </is>
      </c>
      <c r="B30" s="12">
        <f>"Pass: "&amp;COUNTIF(E14:E28,"Pass")&amp;"   Warning: "&amp;COUNTIF(E14:E28,"Warning")&amp;"   Fail: "&amp;COUNTIF(E14:E28,"Fail")</f>
        <v/>
      </c>
      <c r="C30" s="24" t="n"/>
      <c r="D30" s="24" t="n"/>
      <c r="E30" s="24" t="n"/>
      <c r="F30" s="25" t="n"/>
    </row>
  </sheetData>
  <mergeCells count="7">
    <mergeCell ref="B30:F30"/>
    <mergeCell ref="A2:F2"/>
    <mergeCell ref="A10:F10"/>
    <mergeCell ref="A1:F1"/>
    <mergeCell ref="A9:F9"/>
    <mergeCell ref="A8:F8"/>
    <mergeCell ref="A3:F3"/>
  </mergeCells>
  <conditionalFormatting sqref="E14:E28">
    <cfRule type="expression" priority="1" dxfId="0" stopIfTrue="1">
      <formula>OR(ISNUMBER(SEARCH("PASS",E14)),ISNUMBER(SEARCH("OK",E14)),ISNUMBER(SEARCH("Low",E14)),ISNUMBER(SEARCH("Normal",E14)),ISNUMBER(SEARCH("Buy",E14)),ISNUMBER(SEARCH("Short",E14)),ISNUMBER(SEARCH("Yes",E14)),ISNUMBER(SEARCH("Within",E14)),ISNUMBER(SEARCH("Attractive",E14)),ISNUMBER(SEARCH("Cheap",E14)),ISNUMBER(SEARCH("Upside",E14)))</formula>
    </cfRule>
    <cfRule type="expression" priority="2" dxfId="1" stopIfTrue="1">
      <formula>OR(ISNUMBER(SEARCH("WARNING",E14)),ISNUMBER(SEARCH("WARN",E14)),ISNUMBER(SEARCH("Medium",E14)),ISNUMBER(SEARCH("Flat",E14)),ISNUMBER(SEARCH("Hold",E14)),ISNUMBER(SEARCH("Intermediate",E14)),ISNUMBER(SEARCH("Review",E14)),ISNUMBER(SEARCH("Fair",E14)),ISNUMBER(SEARCH("Neutral",E14)))</formula>
    </cfRule>
    <cfRule type="expression" priority="3" dxfId="2" stopIfTrue="1">
      <formula>OR(ISNUMBER(SEARCH("FAIL",E14)),ISNUMBER(SEARCH("High",E14)),ISNUMBER(SEARCH("Inverted",E14)),ISNUMBER(SEARCH("Avoid",E14)),ISNUMBER(SEARCH("Long",E14)),ISNUMBER(SEARCH("Negative",E14)),ISNUMBER(SEARCH("Expensive",E14)),ISNUMBER(SEARCH("Not Attractive",E14)),ISNUMBER(SEARCH("Downside",E14)))</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8.xml><?xml version="1.0" encoding="utf-8"?>
<worksheet xmlns="http://schemas.openxmlformats.org/spreadsheetml/2006/main">
  <sheetPr>
    <tabColor rgb="006B7986"/>
    <outlinePr summaryBelow="1" summaryRight="1"/>
    <pageSetUpPr fitToPage="1"/>
  </sheetPr>
  <dimension ref="A1:H4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28" customHeight="1">
      <c r="A1" s="1" t="inlineStr">
        <is>
          <t>LIMITATIONS / FUTURE UPGRADES</t>
        </is>
      </c>
    </row>
    <row r="2">
      <c r="A2" s="2" t="inlineStr">
        <is>
          <t>What this simple beginner workbook does not cover</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This workbook is intentionally simple: one plain government bond (a fixed-coupon note / bond, or a zero-coupon bill). The items below are left out on purpose - to keep it correct, transparent and easy to learn from.</t>
        </is>
      </c>
    </row>
    <row r="10" ht="14" customHeight="1">
      <c r="A10" s="6" t="inlineStr">
        <is>
          <t>As you grow more confident, the second list shows sensible next steps you could add later.</t>
        </is>
      </c>
    </row>
    <row r="13" ht="18" customHeight="1">
      <c r="A13" s="7" t="inlineStr">
        <is>
          <t>Not covered in this version (kept simple on purpose)</t>
        </is>
      </c>
    </row>
    <row r="14">
      <c r="A14" s="8" t="inlineStr">
        <is>
          <t>-  Corporate bonds</t>
        </is>
      </c>
    </row>
    <row r="15">
      <c r="A15" s="8" t="inlineStr">
        <is>
          <t>-  Corporate credit analysis</t>
        </is>
      </c>
    </row>
    <row r="16">
      <c r="A16" s="8" t="inlineStr">
        <is>
          <t>-  Floating-rate notes</t>
        </is>
      </c>
    </row>
    <row r="17">
      <c r="A17" s="8" t="inlineStr">
        <is>
          <t>-  Inflation-linked bonds / TIPS</t>
        </is>
      </c>
    </row>
    <row r="18">
      <c r="A18" s="8" t="inlineStr">
        <is>
          <t>-  Callable bonds</t>
        </is>
      </c>
    </row>
    <row r="19">
      <c r="A19" s="8" t="inlineStr">
        <is>
          <t>-  Option-adjusted spread (OAS)</t>
        </is>
      </c>
    </row>
    <row r="20">
      <c r="A20" s="8" t="inlineStr">
        <is>
          <t>-  Z-spread</t>
        </is>
      </c>
    </row>
    <row r="21">
      <c r="A21" s="8" t="inlineStr">
        <is>
          <t>-  Key rate duration</t>
        </is>
      </c>
    </row>
    <row r="22">
      <c r="A22" s="8" t="inlineStr">
        <is>
          <t>-  Repo financing</t>
        </is>
      </c>
    </row>
    <row r="23">
      <c r="A23" s="8" t="inlineStr">
        <is>
          <t>-  Futures hedging</t>
        </is>
      </c>
    </row>
    <row r="24">
      <c r="A24" s="8" t="inlineStr">
        <is>
          <t>-  Portfolio-level analysis</t>
        </is>
      </c>
    </row>
    <row r="25">
      <c r="A25" s="8" t="inlineStr">
        <is>
          <t>-  Advanced curve bootstrapping</t>
        </is>
      </c>
    </row>
    <row r="27" ht="18" customHeight="1">
      <c r="A27" s="7" t="inlineStr">
        <is>
          <t>Things this workbook assumes</t>
        </is>
      </c>
    </row>
    <row r="28">
      <c r="A28" s="8" t="inlineStr">
        <is>
          <t>-  The bond pays fixed coupons (or is a zero) and repays its face value in full at maturity.</t>
        </is>
      </c>
    </row>
    <row r="29">
      <c r="A29" s="8" t="inlineStr">
        <is>
          <t>-  The government does not default and does not call the bond early.</t>
        </is>
      </c>
    </row>
    <row r="30">
      <c r="A30" s="8" t="inlineStr">
        <is>
          <t>-  You enter one market clean price; the yield is implied from it (or you compare to a yield you type).</t>
        </is>
      </c>
    </row>
    <row r="31">
      <c r="A31" s="8" t="inlineStr">
        <is>
          <t>-  One flat yield to maturity is used to discount every cash flow (no full curve of rates).</t>
        </is>
      </c>
    </row>
    <row r="32">
      <c r="A32" s="8" t="inlineStr">
        <is>
          <t>-  Prices are quoted per 100 of face value.</t>
        </is>
      </c>
    </row>
    <row r="34" ht="18" customHeight="1">
      <c r="A34" s="7" t="inlineStr">
        <is>
          <t>Possible future upgrades (when you are ready)</t>
        </is>
      </c>
    </row>
    <row r="35">
      <c r="A35" s="8" t="inlineStr">
        <is>
          <t>-  TIPS / inflation-linked analysis</t>
        </is>
      </c>
    </row>
    <row r="36">
      <c r="A36" s="8" t="inlineStr">
        <is>
          <t>-  Key rate duration</t>
        </is>
      </c>
    </row>
    <row r="37">
      <c r="A37" s="8" t="inlineStr">
        <is>
          <t>-  Treasury curve interpolation / bootstrapping</t>
        </is>
      </c>
    </row>
    <row r="38">
      <c r="A38" s="8" t="inlineStr">
        <is>
          <t>-  Bond-ladder comparison</t>
        </is>
      </c>
    </row>
    <row r="39">
      <c r="A39" s="8" t="inlineStr">
        <is>
          <t>-  Portfolio duration</t>
        </is>
      </c>
    </row>
    <row r="40">
      <c r="A40" s="8" t="inlineStr">
        <is>
          <t>-  Comparison across multiple government bonds</t>
        </is>
      </c>
    </row>
    <row r="42" ht="16" customHeight="1">
      <c r="A42" s="5" t="inlineStr">
        <is>
          <t>In short</t>
        </is>
      </c>
    </row>
    <row r="43" ht="25" customHeight="1">
      <c r="A43" s="6" t="inlineStr">
        <is>
          <t>This is a simplified educational model for a single government bond. It is a learning and decision-support tool, not investment advice.</t>
        </is>
      </c>
    </row>
  </sheetData>
  <mergeCells count="34">
    <mergeCell ref="A9:H9"/>
    <mergeCell ref="A30:H30"/>
    <mergeCell ref="A39:H39"/>
    <mergeCell ref="A15:H15"/>
    <mergeCell ref="A24:H24"/>
    <mergeCell ref="A36:H36"/>
    <mergeCell ref="A1:H1"/>
    <mergeCell ref="A25:H25"/>
    <mergeCell ref="A16:H16"/>
    <mergeCell ref="A37:H37"/>
    <mergeCell ref="A27:H27"/>
    <mergeCell ref="A18:H18"/>
    <mergeCell ref="A3:H3"/>
    <mergeCell ref="A21:H21"/>
    <mergeCell ref="A2:H2"/>
    <mergeCell ref="A42:H42"/>
    <mergeCell ref="A14:H14"/>
    <mergeCell ref="A23:H23"/>
    <mergeCell ref="A32:H32"/>
    <mergeCell ref="A8:H8"/>
    <mergeCell ref="A22:H22"/>
    <mergeCell ref="A17:H17"/>
    <mergeCell ref="A40:H40"/>
    <mergeCell ref="A29:H29"/>
    <mergeCell ref="A35:H35"/>
    <mergeCell ref="A20:H20"/>
    <mergeCell ref="A38:H38"/>
    <mergeCell ref="A43:H43"/>
    <mergeCell ref="A10:H10"/>
    <mergeCell ref="A28:H28"/>
    <mergeCell ref="A13:H13"/>
    <mergeCell ref="A19:H19"/>
    <mergeCell ref="A31:H31"/>
    <mergeCell ref="A34:H34"/>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Government Bond Course &amp; Calculator v1.0</dc:creator>
  <dc:title>Government Bond Course &amp; Calculator</dc:title>
  <dcterms:created xsi:type="dcterms:W3CDTF">2026-07-05T12:04:55Z</dcterms:created>
  <dcterms:modified xsi:type="dcterms:W3CDTF">2026-07-05T12:04:55Z</dcterms:modified>
</cp:coreProperties>
</file>
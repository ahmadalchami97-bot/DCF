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puts" sheetId="1" state="visible" r:id="rId1"/>
    <sheet name="Price &amp; Yield" sheetId="2" state="visible" r:id="rId2"/>
    <sheet name="Cash Flows" sheetId="3" state="visible" r:id="rId3"/>
    <sheet name="Valuation Summary" sheetId="4" state="visible" r:id="rId4"/>
    <sheet name="Duration &amp; DV01" sheetId="5" state="visible" r:id="rId5"/>
    <sheet name="Rate Shock" sheetId="6" state="visible" r:id="rId6"/>
    <sheet name="Yield Curve" sheetId="7" state="visible" r:id="rId7"/>
    <sheet name="Investment Attractiveness" sheetId="8" state="visible" r:id="rId8"/>
    <sheet name="Recommendation" sheetId="9" state="visible" r:id="rId9"/>
    <sheet name="Explanations" sheetId="10" state="visible" r:id="rId10"/>
    <sheet name="Quality Check" sheetId="11" state="visible" r:id="rId11"/>
    <sheet name="Limitations" sheetId="12" state="visible" r:id="rId12"/>
  </sheets>
  <definedNames>
    <definedName name="BondName">'Inputs'!$B$14</definedName>
    <definedName name="Issuer">'Inputs'!$B$15</definedName>
    <definedName name="Ccy">'Inputs'!$B$16</definedName>
    <definedName name="SecType">'Inputs'!$B$17</definedName>
    <definedName name="Face">'Inputs'!$B$19</definedName>
    <definedName name="PosSize">'Inputs'!$B$20</definedName>
    <definedName name="CouponRate">'Inputs'!$B$21</definedName>
    <definedName name="FreqName">'Inputs'!$B$22</definedName>
    <definedName name="Basis">'Inputs'!$B$23</definedName>
    <definedName name="IssueDate">'Inputs'!$B$24</definedName>
    <definedName name="Settle">'Inputs'!$B$25</definedName>
    <definedName name="Maturity">'Inputs'!$B$26</definedName>
    <definedName name="MktClean">'Inputs'!$B$28</definedName>
    <definedName name="MktYTM">'Inputs'!$B$29</definedName>
    <definedName name="BenchYield">'Inputs'!$B$30</definedName>
    <definedName name="RateOutlook">'Inputs'!$B$32</definedName>
    <definedName name="Analyst">'Inputs'!$B$33</definedName>
    <definedName name="AnalysisDate">'Inputs'!$B$34</definedName>
    <definedName name="IsZero">'Inputs'!$B$36</definedName>
    <definedName name="Freq">'Inputs'!$B$37</definedName>
    <definedName name="EffCoupon">'Inputs'!$B$38</definedName>
    <definedName name="YearsToMat">'Inputs'!$B$39</definedName>
    <definedName name="InputWarn">'Inputs'!$B$40</definedName>
    <definedName name="CleanPrice">'Price &amp; Yield'!$B$8</definedName>
    <definedName name="Accrued">'Price &amp; Yield'!$B$12</definedName>
    <definedName name="Dirty">'Price &amp; Yield'!$B$16</definedName>
    <definedName name="YTM">'Price &amp; Yield'!$B$20</definedName>
    <definedName name="CurrentYield">'Price &amp; Yield'!$B$24</definedName>
    <definedName name="PremDisc">'Price &amp; Yield'!$B$28</definedName>
    <definedName name="TestYield">'Price &amp; Yield'!$B$34</definedName>
    <definedName name="TheoClean">'Price &amp; Yield'!$B$35</definedName>
    <definedName name="TheoDirty">'Price &amp; Yield'!$B$37</definedName>
    <definedName name="PriceDiff">'Price &amp; Yield'!$B$38</definedName>
    <definedName name="CheapFair">'Price &amp; Yield'!$B$39</definedName>
    <definedName name="Ncoup">'Cash Flows'!$B$14</definedName>
    <definedName name="Ncd">'Cash Flows'!$B$15</definedName>
    <definedName name="Wfrac">'Cash Flows'!$B$16</definedName>
    <definedName name="DirtyCF">'Cash Flows'!$B$84</definedName>
    <definedName name="MacaulayCF">'Cash Flows'!$B$85</definedName>
    <definedName name="Convexity">'Cash Flows'!$B$86</definedName>
    <definedName name="Spread">'Valuation Summary'!$B$17</definedName>
    <definedName name="SpreadBps">'Valuation Summary'!$B$18</definedName>
    <definedName name="MacDur">'Duration &amp; DV01'!$B$8</definedName>
    <definedName name="ModDur">'Duration &amp; DV01'!$B$13</definedName>
    <definedName name="DV01">'Duration &amp; DV01'!$B$18</definedName>
    <definedName name="ConvexityView">'Duration &amp; DV01'!$B$23</definedName>
    <definedName name="Y3M">'Yield Curve'!$B$14</definedName>
    <definedName name="Y2Y">'Yield Curve'!$B$15</definedName>
    <definedName name="Y5Y">'Yield Curve'!$B$16</definedName>
    <definedName name="Y10Y">'Yield Curve'!$B$17</definedName>
    <definedName name="Y30Y">'Yield Curve'!$B$18</definedName>
    <definedName name="CurveShape">'Yield Curve'!$B$24</definedName>
    <definedName name="AttractScore">'Investment Attractiveness'!$B$17</definedName>
    <definedName name="ModelView">'Investment Attractiveness'!$B$23</definedName>
    <definedName name="AnalystOverride">'Investment Attractiveness'!$C$28</definedName>
    <definedName name="FinalView">'Investment Attractiveness'!$B$29</definedName>
  </definedNames>
  <calcPr calcId="124519" fullCalcOnLoad="1"/>
</workbook>
</file>

<file path=xl/styles.xml><?xml version="1.0" encoding="utf-8"?>
<styleSheet xmlns="http://schemas.openxmlformats.org/spreadsheetml/2006/main">
  <numFmts count="6">
    <numFmt numFmtId="164" formatCode="yyyy-mm-dd"/>
    <numFmt numFmtId="165" formatCode="dd-mmm-yyyy"/>
    <numFmt numFmtId="166" formatCode="0.00&quot; yrs&quot;"/>
    <numFmt numFmtId="167" formatCode="0.000%"/>
    <numFmt numFmtId="168" formatCode="#,##0.0000"/>
    <numFmt numFmtId="169" formatCode="0.0&quot; bps&quot;"/>
  </numFmts>
  <fonts count="16">
    <font>
      <name val="Calibri"/>
      <family val="2"/>
      <color theme="1"/>
      <sz val="11"/>
      <scheme val="minor"/>
    </font>
    <font>
      <name val="Calibri"/>
      <b val="1"/>
      <color rgb="00FFFFFF"/>
      <sz val="18"/>
    </font>
    <font>
      <name val="Calibri"/>
      <color rgb="00FFFFFF"/>
      <sz val="11"/>
    </font>
    <font>
      <name val="Calibri"/>
      <color rgb="006B7986"/>
      <sz val="9"/>
    </font>
    <font>
      <name val="Calibri"/>
      <b val="1"/>
      <color rgb="00FFFFFF"/>
      <sz val="10"/>
    </font>
    <font>
      <name val="Calibri"/>
      <b val="1"/>
      <color rgb="0020303F"/>
      <sz val="9"/>
    </font>
    <font>
      <name val="Calibri"/>
      <color rgb="0020303F"/>
      <sz val="9"/>
    </font>
    <font>
      <name val="Calibri"/>
      <b val="1"/>
      <color rgb="0020303F"/>
      <sz val="10"/>
    </font>
    <font>
      <name val="Calibri"/>
      <color rgb="000000FF"/>
      <sz val="10"/>
    </font>
    <font>
      <name val="Calibri"/>
      <color rgb="001A1A1A"/>
      <sz val="10"/>
    </font>
    <font>
      <name val="Calibri"/>
      <b val="1"/>
      <color rgb="001F7A3D"/>
      <sz val="10"/>
    </font>
    <font>
      <name val="Calibri"/>
      <color rgb="001F7A3D"/>
      <sz val="10"/>
    </font>
    <font>
      <name val="Calibri"/>
      <b val="1"/>
      <color rgb="00FFFFFF"/>
      <sz val="9"/>
    </font>
    <font>
      <name val="Calibri"/>
      <color rgb="0020303F"/>
      <sz val="10"/>
    </font>
    <font>
      <name val="Calibri"/>
      <b val="1"/>
      <color rgb="001F7A3D"/>
      <sz val="12"/>
    </font>
    <font>
      <name val="Calibri"/>
      <i val="1"/>
      <color rgb="006B7986"/>
      <sz val="9"/>
    </font>
  </fonts>
  <fills count="10">
    <fill>
      <patternFill/>
    </fill>
    <fill>
      <patternFill patternType="gray125"/>
    </fill>
    <fill>
      <patternFill patternType="solid">
        <fgColor rgb="001F3A5F"/>
        <bgColor rgb="001F3A5F"/>
      </patternFill>
    </fill>
    <fill>
      <patternFill patternType="solid">
        <fgColor rgb="004A789C"/>
        <bgColor rgb="004A789C"/>
      </patternFill>
    </fill>
    <fill>
      <patternFill patternType="solid">
        <fgColor rgb="00FFF8E1"/>
        <bgColor rgb="00FFF8E1"/>
      </patternFill>
    </fill>
    <fill>
      <patternFill patternType="solid">
        <fgColor rgb="00FFF7D6"/>
        <bgColor rgb="00FFF7D6"/>
      </patternFill>
    </fill>
    <fill>
      <patternFill patternType="solid">
        <fgColor rgb="00E2EFDA"/>
        <bgColor rgb="00E2EFDA"/>
      </patternFill>
    </fill>
    <fill>
      <patternFill patternType="solid">
        <fgColor rgb="002E5984"/>
        <bgColor rgb="002E5984"/>
      </patternFill>
    </fill>
    <fill>
      <patternFill patternType="solid">
        <fgColor rgb="00E8EEF4"/>
        <bgColor rgb="00E8EEF4"/>
      </patternFill>
    </fill>
    <fill>
      <patternFill patternType="solid">
        <fgColor rgb="00D6EAD9"/>
        <bgColor rgb="00D6EAD9"/>
      </patternFill>
    </fill>
  </fills>
  <borders count="13">
    <border>
      <left/>
      <right/>
      <top/>
      <bottom/>
      <diagonal/>
    </border>
    <border/>
    <border>
      <left style="medium">
        <color rgb="00E6C200"/>
      </left>
      <right style="medium">
        <color rgb="00E6C200"/>
      </right>
      <top style="medium">
        <color rgb="00E6C200"/>
      </top>
      <bottom style="medium">
        <color rgb="00E6C200"/>
      </bottom>
    </border>
    <border>
      <left style="thin">
        <color rgb="00D5DCE4"/>
      </left>
      <right style="thin">
        <color rgb="00D5DCE4"/>
      </right>
      <top style="thin">
        <color rgb="00D5DCE4"/>
      </top>
      <bottom style="thin">
        <color rgb="00D5DCE4"/>
      </bottom>
    </border>
    <border>
      <left/>
      <right/>
      <top style="thin">
        <color rgb="00D5DCE4"/>
      </top>
      <bottom/>
      <diagonal/>
    </border>
    <border>
      <left/>
      <right style="thin">
        <color rgb="00D5DCE4"/>
      </right>
      <top style="thin">
        <color rgb="00D5DCE4"/>
      </top>
      <bottom/>
      <diagonal/>
    </border>
    <border>
      <left/>
      <right style="thin">
        <color rgb="00D5DCE4"/>
      </right>
      <top style="thin">
        <color rgb="00D5DCE4"/>
      </top>
      <bottom style="thin">
        <color rgb="00D5DCE4"/>
      </bottom>
      <diagonal/>
    </border>
    <border>
      <left/>
      <right/>
      <top style="thin">
        <color rgb="00D5DCE4"/>
      </top>
      <bottom style="thin">
        <color rgb="00D5DCE4"/>
      </bottom>
      <diagonal/>
    </border>
    <border>
      <top style="medium">
        <color rgb="00B7C2CE"/>
      </top>
    </border>
    <border>
      <left style="medium">
        <color rgb="00B7C2CE"/>
      </left>
      <right style="medium">
        <color rgb="00B7C2CE"/>
      </right>
      <top style="medium">
        <color rgb="00B7C2CE"/>
      </top>
      <bottom style="medium">
        <color rgb="00B7C2CE"/>
      </bottom>
    </border>
    <border>
      <left/>
      <right/>
      <top style="medium">
        <color rgb="00B7C2CE"/>
      </top>
      <bottom/>
      <diagonal/>
    </border>
    <border>
      <left/>
      <right style="medium">
        <color rgb="00B7C2CE"/>
      </right>
      <top style="medium">
        <color rgb="00B7C2CE"/>
      </top>
      <bottom/>
      <diagonal/>
    </border>
    <border>
      <left/>
      <right style="medium">
        <color rgb="00B7C2CE"/>
      </right>
      <top style="medium">
        <color rgb="00B7C2CE"/>
      </top>
      <bottom style="medium">
        <color rgb="00B7C2CE"/>
      </bottom>
      <diagonal/>
    </border>
  </borders>
  <cellStyleXfs count="1">
    <xf numFmtId="0" fontId="0" fillId="0" borderId="0"/>
  </cellStyleXfs>
  <cellXfs count="62">
    <xf numFmtId="0" fontId="0" fillId="0" borderId="0" pivotButton="0" quotePrefix="0" xfId="0"/>
    <xf numFmtId="0" fontId="1" fillId="2" borderId="1" applyAlignment="1" pivotButton="0" quotePrefix="0" xfId="0">
      <alignment horizontal="left" vertical="center"/>
    </xf>
    <xf numFmtId="0" fontId="2" fillId="2" borderId="1" applyAlignment="1" pivotButton="0" quotePrefix="0" xfId="0">
      <alignment horizontal="left" vertical="center"/>
    </xf>
    <xf numFmtId="0" fontId="3" fillId="0" borderId="1" applyAlignment="1" pivotButton="0" quotePrefix="0" xfId="0">
      <alignment horizontal="left" vertical="center" wrapText="1"/>
    </xf>
    <xf numFmtId="0" fontId="4" fillId="3" borderId="1" applyAlignment="1" pivotButton="0" quotePrefix="0" xfId="0">
      <alignment horizontal="center" vertical="center"/>
    </xf>
    <xf numFmtId="0" fontId="5" fillId="4" borderId="2" applyAlignment="1" pivotButton="0" quotePrefix="0" xfId="0">
      <alignment horizontal="left" vertical="top" wrapText="1"/>
    </xf>
    <xf numFmtId="0" fontId="6" fillId="4" borderId="2" applyAlignment="1" pivotButton="0" quotePrefix="0" xfId="0">
      <alignment horizontal="left" vertical="top" wrapText="1"/>
    </xf>
    <xf numFmtId="0" fontId="7" fillId="0" borderId="1" applyAlignment="1" pivotButton="0" quotePrefix="0" xfId="0">
      <alignment horizontal="left" vertical="center"/>
    </xf>
    <xf numFmtId="0" fontId="8" fillId="5" borderId="3" applyAlignment="1" applyProtection="1" pivotButton="0" quotePrefix="0" xfId="0">
      <alignment horizontal="center" vertical="center"/>
      <protection locked="0" hidden="0"/>
    </xf>
    <xf numFmtId="0" fontId="9" fillId="0" borderId="1" applyAlignment="1" pivotButton="0" quotePrefix="0" xfId="0">
      <alignment horizontal="left" vertical="center"/>
    </xf>
    <xf numFmtId="0" fontId="10" fillId="6" borderId="3" applyAlignment="1" pivotButton="0" quotePrefix="0" xfId="0">
      <alignment horizontal="left" vertical="center"/>
    </xf>
    <xf numFmtId="0" fontId="3" fillId="0" borderId="1" applyAlignment="1" pivotButton="0" quotePrefix="0" xfId="0">
      <alignment horizontal="left" vertical="center"/>
    </xf>
    <xf numFmtId="0" fontId="4" fillId="3" borderId="1" applyAlignment="1" pivotButton="0" quotePrefix="0" xfId="0">
      <alignment horizontal="left" vertical="center"/>
    </xf>
    <xf numFmtId="0" fontId="8" fillId="5" borderId="3" applyAlignment="1" applyProtection="1" pivotButton="0" quotePrefix="0" xfId="0">
      <alignment horizontal="left" vertical="center"/>
      <protection locked="0" hidden="0"/>
    </xf>
    <xf numFmtId="0" fontId="0" fillId="0" borderId="6" applyProtection="1" pivotButton="0" quotePrefix="0" xfId="0">
      <protection locked="0" hidden="0"/>
    </xf>
    <xf numFmtId="4" fontId="8" fillId="5" borderId="3" applyAlignment="1" applyProtection="1" pivotButton="0" quotePrefix="0" xfId="0">
      <alignment horizontal="right" vertical="center"/>
      <protection locked="0" hidden="0"/>
    </xf>
    <xf numFmtId="3" fontId="8" fillId="5" borderId="3" applyAlignment="1" applyProtection="1" pivotButton="0" quotePrefix="0" xfId="0">
      <alignment horizontal="right" vertical="center"/>
      <protection locked="0" hidden="0"/>
    </xf>
    <xf numFmtId="10" fontId="8" fillId="5" borderId="3" applyAlignment="1" applyProtection="1" pivotButton="0" quotePrefix="0" xfId="0">
      <alignment horizontal="right" vertical="center"/>
      <protection locked="0" hidden="0"/>
    </xf>
    <xf numFmtId="3" fontId="8" fillId="5" borderId="3" applyAlignment="1" applyProtection="1" pivotButton="0" quotePrefix="0" xfId="0">
      <alignment horizontal="center" vertical="center"/>
      <protection locked="0" hidden="0"/>
    </xf>
    <xf numFmtId="165" fontId="8" fillId="5" borderId="3" applyAlignment="1" applyProtection="1" pivotButton="0" quotePrefix="0" xfId="0">
      <alignment horizontal="center" vertical="center"/>
      <protection locked="0" hidden="0"/>
    </xf>
    <xf numFmtId="3" fontId="9" fillId="0" borderId="1" applyAlignment="1" pivotButton="0" quotePrefix="0" xfId="0">
      <alignment horizontal="right" vertical="center"/>
    </xf>
    <xf numFmtId="10" fontId="9" fillId="0" borderId="1" applyAlignment="1" pivotButton="0" quotePrefix="0" xfId="0">
      <alignment horizontal="right" vertical="center"/>
    </xf>
    <xf numFmtId="166" fontId="9" fillId="0" borderId="1" applyAlignment="1" pivotButton="0" quotePrefix="0" xfId="0">
      <alignment horizontal="right" vertical="center"/>
    </xf>
    <xf numFmtId="0" fontId="7" fillId="0" borderId="3" applyAlignment="1" pivotButton="0" quotePrefix="0" xfId="0">
      <alignment horizontal="center" vertical="center"/>
    </xf>
    <xf numFmtId="0" fontId="0" fillId="0" borderId="7" pivotButton="0" quotePrefix="0" xfId="0"/>
    <xf numFmtId="0" fontId="0" fillId="0" borderId="6" pivotButton="0" quotePrefix="0" xfId="0"/>
    <xf numFmtId="4" fontId="11" fillId="0" borderId="1" applyAlignment="1" pivotButton="0" quotePrefix="0" xfId="0">
      <alignment horizontal="right" vertical="center"/>
    </xf>
    <xf numFmtId="4" fontId="10" fillId="6" borderId="3" applyAlignment="1" pivotButton="0" quotePrefix="0" xfId="0">
      <alignment horizontal="right" vertical="center"/>
    </xf>
    <xf numFmtId="167" fontId="10" fillId="6" borderId="3" applyAlignment="1" pivotButton="0" quotePrefix="0" xfId="0">
      <alignment horizontal="right" vertical="center"/>
    </xf>
    <xf numFmtId="10" fontId="10" fillId="6" borderId="3" applyAlignment="1" pivotButton="0" quotePrefix="0" xfId="0">
      <alignment horizontal="right" vertical="center"/>
    </xf>
    <xf numFmtId="167" fontId="8" fillId="5" borderId="3" applyAlignment="1" applyProtection="1" pivotButton="0" quotePrefix="0" xfId="0">
      <alignment horizontal="right" vertical="center"/>
      <protection locked="0" hidden="0"/>
    </xf>
    <xf numFmtId="4" fontId="9" fillId="0" borderId="1" applyAlignment="1" pivotButton="0" quotePrefix="0" xfId="0">
      <alignment horizontal="right" vertical="center"/>
    </xf>
    <xf numFmtId="0" fontId="12" fillId="7" borderId="1" applyAlignment="1" pivotButton="0" quotePrefix="0" xfId="0">
      <alignment horizontal="left" vertical="center"/>
    </xf>
    <xf numFmtId="0" fontId="12" fillId="7" borderId="1" applyAlignment="1" pivotButton="0" quotePrefix="0" xfId="0">
      <alignment horizontal="center" vertical="center"/>
    </xf>
    <xf numFmtId="0" fontId="13" fillId="0" borderId="1" applyAlignment="1" pivotButton="0" quotePrefix="0" xfId="0">
      <alignment horizontal="left" vertical="center"/>
    </xf>
    <xf numFmtId="167" fontId="9" fillId="0" borderId="1" applyAlignment="1" pivotButton="0" quotePrefix="0" xfId="0">
      <alignment horizontal="right" vertical="center"/>
    </xf>
    <xf numFmtId="165" fontId="9" fillId="0" borderId="1" applyAlignment="1" pivotButton="0" quotePrefix="0" xfId="0">
      <alignment horizontal="right" vertical="center"/>
    </xf>
    <xf numFmtId="168" fontId="9" fillId="0" borderId="1" applyAlignment="1" pivotButton="0" quotePrefix="0" xfId="0">
      <alignment horizontal="right" vertical="center"/>
    </xf>
    <xf numFmtId="2" fontId="9" fillId="0" borderId="1" applyAlignment="1" pivotButton="0" quotePrefix="0" xfId="0">
      <alignment horizontal="right" vertical="center"/>
    </xf>
    <xf numFmtId="0" fontId="7" fillId="8" borderId="8" applyAlignment="1" pivotButton="0" quotePrefix="0" xfId="0">
      <alignment horizontal="left" vertical="center"/>
    </xf>
    <xf numFmtId="4" fontId="7" fillId="8" borderId="8" applyAlignment="1" pivotButton="0" quotePrefix="0" xfId="0">
      <alignment horizontal="right" vertical="center"/>
    </xf>
    <xf numFmtId="166" fontId="10" fillId="6" borderId="3" applyAlignment="1" pivotButton="0" quotePrefix="0" xfId="0">
      <alignment horizontal="right" vertical="center"/>
    </xf>
    <xf numFmtId="2" fontId="10" fillId="6" borderId="3" applyAlignment="1" pivotButton="0" quotePrefix="0" xfId="0">
      <alignment horizontal="right" vertical="center"/>
    </xf>
    <xf numFmtId="167" fontId="11" fillId="0" borderId="1" applyAlignment="1" pivotButton="0" quotePrefix="0" xfId="0">
      <alignment horizontal="right" vertical="center"/>
    </xf>
    <xf numFmtId="10" fontId="11" fillId="0" borderId="1" applyAlignment="1" pivotButton="0" quotePrefix="0" xfId="0">
      <alignment horizontal="right" vertical="center"/>
    </xf>
    <xf numFmtId="169" fontId="9" fillId="0" borderId="1" applyAlignment="1" pivotButton="0" quotePrefix="0" xfId="0">
      <alignment horizontal="right" vertical="center"/>
    </xf>
    <xf numFmtId="166" fontId="11" fillId="0" borderId="1" applyAlignment="1" pivotButton="0" quotePrefix="0" xfId="0">
      <alignment horizontal="right" vertical="center"/>
    </xf>
    <xf numFmtId="3" fontId="11" fillId="0" borderId="1" applyAlignment="1" pivotButton="0" quotePrefix="0" xfId="0">
      <alignment horizontal="right" vertical="center"/>
    </xf>
    <xf numFmtId="168" fontId="10" fillId="6" borderId="3" applyAlignment="1" pivotButton="0" quotePrefix="0" xfId="0">
      <alignment horizontal="right" vertical="center"/>
    </xf>
    <xf numFmtId="2" fontId="11" fillId="0" borderId="1" applyAlignment="1" pivotButton="0" quotePrefix="0" xfId="0">
      <alignment horizontal="right" vertical="center"/>
    </xf>
    <xf numFmtId="0" fontId="9" fillId="0" borderId="1" applyAlignment="1" pivotButton="0" quotePrefix="0" xfId="0">
      <alignment horizontal="center" vertical="center"/>
    </xf>
    <xf numFmtId="3" fontId="7" fillId="8" borderId="8" applyAlignment="1" pivotButton="0" quotePrefix="0" xfId="0">
      <alignment horizontal="right" vertical="center"/>
    </xf>
    <xf numFmtId="0" fontId="7" fillId="8" borderId="8" applyAlignment="1" pivotButton="0" quotePrefix="0" xfId="0">
      <alignment horizontal="right" vertical="center"/>
    </xf>
    <xf numFmtId="0" fontId="14" fillId="9" borderId="9" applyAlignment="1" pivotButton="0" quotePrefix="0" xfId="0">
      <alignment horizontal="center" vertical="center"/>
    </xf>
    <xf numFmtId="0" fontId="0" fillId="0" borderId="12" pivotButton="0" quotePrefix="0" xfId="0"/>
    <xf numFmtId="0" fontId="0" fillId="0" borderId="7" applyProtection="1" pivotButton="0" quotePrefix="0" xfId="0">
      <protection locked="0" hidden="0"/>
    </xf>
    <xf numFmtId="0" fontId="11" fillId="0" borderId="1" applyAlignment="1" pivotButton="0" quotePrefix="0" xfId="0">
      <alignment horizontal="right" vertical="center"/>
    </xf>
    <xf numFmtId="165" fontId="11" fillId="0" borderId="1" applyAlignment="1" pivotButton="0" quotePrefix="0" xfId="0">
      <alignment horizontal="right" vertical="center"/>
    </xf>
    <xf numFmtId="168" fontId="11" fillId="0" borderId="1" applyAlignment="1" pivotButton="0" quotePrefix="0" xfId="0">
      <alignment horizontal="right" vertical="center"/>
    </xf>
    <xf numFmtId="169" fontId="11" fillId="0" borderId="1" applyAlignment="1" pivotButton="0" quotePrefix="0" xfId="0">
      <alignment horizontal="right" vertical="center"/>
    </xf>
    <xf numFmtId="0" fontId="15" fillId="0" borderId="1" applyAlignment="1" pivotButton="0" quotePrefix="0" xfId="0">
      <alignment horizontal="left" vertical="center"/>
    </xf>
    <xf numFmtId="0" fontId="9" fillId="0" borderId="1" applyAlignment="1" pivotButton="0" quotePrefix="0" xfId="0">
      <alignment horizontal="right" vertical="center"/>
    </xf>
  </cellXfs>
  <cellStyles count="1">
    <cellStyle name="Normal" xfId="0" builtinId="0" hidden="0"/>
  </cellStyles>
  <dxfs count="3">
    <dxf>
      <font>
        <name val="Calibri"/>
        <b val="1"/>
        <color rgb="001F7A3D"/>
        <sz val="10"/>
      </font>
      <fill>
        <patternFill patternType="solid">
          <fgColor rgb="00D6EAD9"/>
          <bgColor rgb="00D6EAD9"/>
        </patternFill>
      </fill>
    </dxf>
    <dxf>
      <font>
        <name val="Calibri"/>
        <b val="1"/>
        <color rgb="009C6500"/>
        <sz val="10"/>
      </font>
      <fill>
        <patternFill patternType="solid">
          <fgColor rgb="00FFF1C2"/>
          <bgColor rgb="00FFF1C2"/>
        </patternFill>
      </fill>
    </dxf>
    <dxf>
      <font>
        <name val="Calibri"/>
        <b val="1"/>
        <color rgb="00C00000"/>
        <sz val="10"/>
      </font>
      <fill>
        <patternFill patternType="solid">
          <fgColor rgb="00FCE4E4"/>
          <bgColor rgb="00FCE4E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harts/chart1.xml><?xml version="1.0" encoding="utf-8"?>
<chartSpace xmlns:a="http://schemas.openxmlformats.org/drawingml/2006/main" xmlns="http://schemas.openxmlformats.org/drawingml/2006/chart">
  <chart>
    <title>
      <tx>
        <rich>
          <a:bodyPr/>
          <a:p>
            <a:pPr>
              <a:defRPr/>
            </a:pPr>
            <a:r>
              <a:t>Government yield curve</a:t>
            </a:r>
          </a:p>
        </rich>
      </tx>
    </title>
    <plotArea>
      <lineChart>
        <grouping val="standard"/>
        <ser>
          <idx val="0"/>
          <order val="0"/>
          <tx>
            <strRef>
              <f>'Yield Curve'!B13</f>
            </strRef>
          </tx>
          <spPr>
            <a:ln>
              <a:prstDash val="solid"/>
            </a:ln>
          </spPr>
          <marker>
            <symbol val="none"/>
            <spPr>
              <a:ln>
                <a:prstDash val="solid"/>
              </a:ln>
            </spPr>
          </marker>
          <cat>
            <numRef>
              <f>'Yield Curve'!$A$14:$A$18</f>
            </numRef>
          </cat>
          <val>
            <numRef>
              <f>'Yield Curve'!$B$14:$B$18</f>
            </numRef>
          </val>
        </ser>
        <marker val="1"/>
        <axId val="10"/>
        <axId val="100"/>
      </lineChart>
      <catAx>
        <axId val="10"/>
        <scaling>
          <orientation val="minMax"/>
        </scaling>
        <delete val="0"/>
        <axPos val="l"/>
        <title>
          <tx>
            <rich>
              <a:bodyPr/>
              <a:p>
                <a:pPr>
                  <a:defRPr/>
                </a:pPr>
                <a:r>
                  <a:t>Maturity</a:t>
                </a:r>
              </a:p>
            </rich>
          </tx>
        </title>
        <majorTickMark val="none"/>
        <minorTickMark val="none"/>
        <crossAx val="100"/>
        <lblOffset val="100"/>
      </catAx>
      <valAx>
        <axId val="100"/>
        <scaling>
          <orientation val="minMax"/>
        </scaling>
        <delete val="0"/>
        <axPos val="l"/>
        <majorGridlines/>
        <title>
          <tx>
            <rich>
              <a:bodyPr/>
              <a:p>
                <a:pPr>
                  <a:defRPr/>
                </a:pPr>
                <a:r>
                  <a:t>Yield</a:t>
                </a:r>
              </a:p>
            </rich>
          </tx>
        </title>
        <majorTickMark val="none"/>
        <minorTickMark val="none"/>
        <crossAx val="10"/>
      </valAx>
    </plotArea>
    <plotVisOnly val="1"/>
    <dispBlanksAs val="gap"/>
  </chart>
</chartSpace>
</file>

<file path=xl/comments/comment1.xml><?xml version="1.0" encoding="utf-8"?>
<comments xmlns="http://schemas.openxmlformats.org/spreadsheetml/2006/main">
  <authors>
    <author>Government Bond Analyzer</author>
  </authors>
  <commentList>
    <comment ref="B12" authorId="0" shapeId="0">
      <text>
        <t>Accrued = (days since last coupon / days in the period) x periodic coupon.</t>
      </text>
    </comment>
    <comment ref="B20" authorId="0" shapeId="0">
      <text>
        <t>Coupon bonds: Excel YIELD(). Bill/zero: (Face/Price)^(1/Years)-1.</t>
      </text>
    </comment>
  </commentList>
</comments>
</file>

<file path=xl/comments/comment2.xml><?xml version="1.0" encoding="utf-8"?>
<comments xmlns="http://schemas.openxmlformats.org/spreadsheetml/2006/main">
  <authors>
    <author>Government Bond Analyzer</author>
  </authors>
  <commentList>
    <comment ref="B16" authorId="0" shapeId="0">
      <text>
        <t>How much of the current coupon period is still ahead of you, so the first payment is discounted over the correct partial period.</t>
      </text>
    </comment>
    <comment ref="I18" authorId="0" shapeId="0">
      <text>
        <t>Helper for convexity: Total x t x (t+1) / (1+y/f)^(t+2). Summed below.</t>
      </text>
    </comment>
    <comment ref="J18" authorId="0" shapeId="0">
      <text>
        <t>Helper for Macaulay duration: Time x PV. Summed and divided by total PV.</t>
      </text>
    </comment>
  </commentList>
</comments>
</file>

<file path=xl/comments/comment3.xml><?xml version="1.0" encoding="utf-8"?>
<comments xmlns="http://schemas.openxmlformats.org/spreadsheetml/2006/main">
  <authors>
    <author>Government Bond Analyzer</author>
  </authors>
  <commentList>
    <comment ref="B8" authorId="0" shapeId="0">
      <text>
        <t>Excel DURATION() for coupon bonds; = time to maturity for a zero.</t>
      </text>
    </comment>
    <comment ref="B18" authorId="0" shapeId="0">
      <text>
        <t>DV01 = Modified duration x Dirty price x 0.0001.</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13</row>
      <rowOff>0</rowOff>
    </from>
    <ext cx="504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Inputs'!A1" TargetMode="External" Id="rId1" /><Relationship Type="http://schemas.openxmlformats.org/officeDocument/2006/relationships/hyperlink" Target="#'Price &amp; Yield'!A1" TargetMode="External" Id="rId2" /><Relationship Type="http://schemas.openxmlformats.org/officeDocument/2006/relationships/hyperlink" Target="#'Cash Flows'!A1" TargetMode="External" Id="rId3" /><Relationship Type="http://schemas.openxmlformats.org/officeDocument/2006/relationships/hyperlink" Target="#'Valuation Summary'!A1" TargetMode="External" Id="rId4" /><Relationship Type="http://schemas.openxmlformats.org/officeDocument/2006/relationships/hyperlink" Target="#'Duration &amp; DV01'!A1" TargetMode="External" Id="rId5" /><Relationship Type="http://schemas.openxmlformats.org/officeDocument/2006/relationships/hyperlink" Target="#'Rate Shock'!A1" TargetMode="External" Id="rId6" /><Relationship Type="http://schemas.openxmlformats.org/officeDocument/2006/relationships/hyperlink" Target="#'Yield Curve'!A1" TargetMode="External" Id="rId7" /><Relationship Type="http://schemas.openxmlformats.org/officeDocument/2006/relationships/hyperlink" Target="#'Investment Attractiveness'!A1" TargetMode="External" Id="rId8" /><Relationship Type="http://schemas.openxmlformats.org/officeDocument/2006/relationships/hyperlink" Target="#'Recommendation'!A1" TargetMode="External" Id="rId9" /><Relationship Type="http://schemas.openxmlformats.org/officeDocument/2006/relationships/hyperlink" Target="#'Explanations'!A1" TargetMode="External" Id="rId10" /><Relationship Type="http://schemas.openxmlformats.org/officeDocument/2006/relationships/hyperlink" Target="#'Quality Check'!A1" TargetMode="External" Id="rId11" /><Relationship Type="http://schemas.openxmlformats.org/officeDocument/2006/relationships/hyperlink" Target="#'Limitations'!A1" TargetMode="External" Id="rId12" /></Relationships>
</file>

<file path=xl/worksheets/_rels/sheet2.xml.rels><Relationships xmlns="http://schemas.openxmlformats.org/package/2006/relationships"><Relationship Type="http://schemas.openxmlformats.org/officeDocument/2006/relationships/hyperlink" Target="#'Inputs'!A1" TargetMode="External" Id="rId1" /><Relationship Type="http://schemas.openxmlformats.org/officeDocument/2006/relationships/hyperlink" Target="#'Price &amp; Yield'!A1" TargetMode="External" Id="rId2" /><Relationship Type="http://schemas.openxmlformats.org/officeDocument/2006/relationships/hyperlink" Target="#'Cash Flows'!A1" TargetMode="External" Id="rId3" /><Relationship Type="http://schemas.openxmlformats.org/officeDocument/2006/relationships/hyperlink" Target="#'Valuation Summary'!A1" TargetMode="External" Id="rId4" /><Relationship Type="http://schemas.openxmlformats.org/officeDocument/2006/relationships/hyperlink" Target="#'Duration &amp; DV01'!A1" TargetMode="External" Id="rId5" /><Relationship Type="http://schemas.openxmlformats.org/officeDocument/2006/relationships/hyperlink" Target="#'Rate Shock'!A1" TargetMode="External" Id="rId6" /><Relationship Type="http://schemas.openxmlformats.org/officeDocument/2006/relationships/hyperlink" Target="#'Yield Curve'!A1" TargetMode="External" Id="rId7" /><Relationship Type="http://schemas.openxmlformats.org/officeDocument/2006/relationships/hyperlink" Target="#'Investment Attractiveness'!A1" TargetMode="External" Id="rId8" /><Relationship Type="http://schemas.openxmlformats.org/officeDocument/2006/relationships/hyperlink" Target="#'Recommendation'!A1" TargetMode="External" Id="rId9" /><Relationship Type="http://schemas.openxmlformats.org/officeDocument/2006/relationships/hyperlink" Target="#'Explanations'!A1" TargetMode="External" Id="rId10" /><Relationship Type="http://schemas.openxmlformats.org/officeDocument/2006/relationships/hyperlink" Target="#'Quality Check'!A1" TargetMode="External" Id="rId11" /><Relationship Type="http://schemas.openxmlformats.org/officeDocument/2006/relationships/hyperlink" Target="#'Limitations'!A1" TargetMode="External" Id="rId1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hyperlink" Target="#'Inputs'!A1" TargetMode="External" Id="rId1" /><Relationship Type="http://schemas.openxmlformats.org/officeDocument/2006/relationships/hyperlink" Target="#'Price &amp; Yield'!A1" TargetMode="External" Id="rId2" /><Relationship Type="http://schemas.openxmlformats.org/officeDocument/2006/relationships/hyperlink" Target="#'Cash Flows'!A1" TargetMode="External" Id="rId3" /><Relationship Type="http://schemas.openxmlformats.org/officeDocument/2006/relationships/hyperlink" Target="#'Valuation Summary'!A1" TargetMode="External" Id="rId4" /><Relationship Type="http://schemas.openxmlformats.org/officeDocument/2006/relationships/hyperlink" Target="#'Duration &amp; DV01'!A1" TargetMode="External" Id="rId5" /><Relationship Type="http://schemas.openxmlformats.org/officeDocument/2006/relationships/hyperlink" Target="#'Rate Shock'!A1" TargetMode="External" Id="rId6" /><Relationship Type="http://schemas.openxmlformats.org/officeDocument/2006/relationships/hyperlink" Target="#'Yield Curve'!A1" TargetMode="External" Id="rId7" /><Relationship Type="http://schemas.openxmlformats.org/officeDocument/2006/relationships/hyperlink" Target="#'Investment Attractiveness'!A1" TargetMode="External" Id="rId8" /><Relationship Type="http://schemas.openxmlformats.org/officeDocument/2006/relationships/hyperlink" Target="#'Recommendation'!A1" TargetMode="External" Id="rId9" /><Relationship Type="http://schemas.openxmlformats.org/officeDocument/2006/relationships/hyperlink" Target="#'Explanations'!A1" TargetMode="External" Id="rId10" /><Relationship Type="http://schemas.openxmlformats.org/officeDocument/2006/relationships/hyperlink" Target="#'Quality Check'!A1" TargetMode="External" Id="rId11" /><Relationship Type="http://schemas.openxmlformats.org/officeDocument/2006/relationships/hyperlink" Target="#'Limitations'!A1" TargetMode="External" Id="rId12"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hyperlink" Target="#'Inputs'!A1" TargetMode="External" Id="rId1" /><Relationship Type="http://schemas.openxmlformats.org/officeDocument/2006/relationships/hyperlink" Target="#'Price &amp; Yield'!A1" TargetMode="External" Id="rId2" /><Relationship Type="http://schemas.openxmlformats.org/officeDocument/2006/relationships/hyperlink" Target="#'Cash Flows'!A1" TargetMode="External" Id="rId3" /><Relationship Type="http://schemas.openxmlformats.org/officeDocument/2006/relationships/hyperlink" Target="#'Valuation Summary'!A1" TargetMode="External" Id="rId4" /><Relationship Type="http://schemas.openxmlformats.org/officeDocument/2006/relationships/hyperlink" Target="#'Duration &amp; DV01'!A1" TargetMode="External" Id="rId5" /><Relationship Type="http://schemas.openxmlformats.org/officeDocument/2006/relationships/hyperlink" Target="#'Rate Shock'!A1" TargetMode="External" Id="rId6" /><Relationship Type="http://schemas.openxmlformats.org/officeDocument/2006/relationships/hyperlink" Target="#'Yield Curve'!A1" TargetMode="External" Id="rId7" /><Relationship Type="http://schemas.openxmlformats.org/officeDocument/2006/relationships/hyperlink" Target="#'Investment Attractiveness'!A1" TargetMode="External" Id="rId8" /><Relationship Type="http://schemas.openxmlformats.org/officeDocument/2006/relationships/hyperlink" Target="#'Recommendation'!A1" TargetMode="External" Id="rId9" /><Relationship Type="http://schemas.openxmlformats.org/officeDocument/2006/relationships/hyperlink" Target="#'Explanations'!A1" TargetMode="External" Id="rId10" /><Relationship Type="http://schemas.openxmlformats.org/officeDocument/2006/relationships/hyperlink" Target="#'Quality Check'!A1" TargetMode="External" Id="rId11" /><Relationship Type="http://schemas.openxmlformats.org/officeDocument/2006/relationships/hyperlink" Target="#'Limitations'!A1" TargetMode="External" Id="rId12" /></Relationships>
</file>

<file path=xl/worksheets/_rels/sheet5.xml.rels><Relationships xmlns="http://schemas.openxmlformats.org/package/2006/relationships"><Relationship Type="http://schemas.openxmlformats.org/officeDocument/2006/relationships/hyperlink" Target="#'Inputs'!A1" TargetMode="External" Id="rId1" /><Relationship Type="http://schemas.openxmlformats.org/officeDocument/2006/relationships/hyperlink" Target="#'Price &amp; Yield'!A1" TargetMode="External" Id="rId2" /><Relationship Type="http://schemas.openxmlformats.org/officeDocument/2006/relationships/hyperlink" Target="#'Cash Flows'!A1" TargetMode="External" Id="rId3" /><Relationship Type="http://schemas.openxmlformats.org/officeDocument/2006/relationships/hyperlink" Target="#'Valuation Summary'!A1" TargetMode="External" Id="rId4" /><Relationship Type="http://schemas.openxmlformats.org/officeDocument/2006/relationships/hyperlink" Target="#'Duration &amp; DV01'!A1" TargetMode="External" Id="rId5" /><Relationship Type="http://schemas.openxmlformats.org/officeDocument/2006/relationships/hyperlink" Target="#'Rate Shock'!A1" TargetMode="External" Id="rId6" /><Relationship Type="http://schemas.openxmlformats.org/officeDocument/2006/relationships/hyperlink" Target="#'Yield Curve'!A1" TargetMode="External" Id="rId7" /><Relationship Type="http://schemas.openxmlformats.org/officeDocument/2006/relationships/hyperlink" Target="#'Investment Attractiveness'!A1" TargetMode="External" Id="rId8" /><Relationship Type="http://schemas.openxmlformats.org/officeDocument/2006/relationships/hyperlink" Target="#'Recommendation'!A1" TargetMode="External" Id="rId9" /><Relationship Type="http://schemas.openxmlformats.org/officeDocument/2006/relationships/hyperlink" Target="#'Explanations'!A1" TargetMode="External" Id="rId10" /><Relationship Type="http://schemas.openxmlformats.org/officeDocument/2006/relationships/hyperlink" Target="#'Quality Check'!A1" TargetMode="External" Id="rId11" /><Relationship Type="http://schemas.openxmlformats.org/officeDocument/2006/relationships/hyperlink" Target="#'Limitations'!A1" TargetMode="External" Id="rId12"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hyperlink" Target="#'Inputs'!A1" TargetMode="External" Id="rId1" /><Relationship Type="http://schemas.openxmlformats.org/officeDocument/2006/relationships/hyperlink" Target="#'Price &amp; Yield'!A1" TargetMode="External" Id="rId2" /><Relationship Type="http://schemas.openxmlformats.org/officeDocument/2006/relationships/hyperlink" Target="#'Cash Flows'!A1" TargetMode="External" Id="rId3" /><Relationship Type="http://schemas.openxmlformats.org/officeDocument/2006/relationships/hyperlink" Target="#'Valuation Summary'!A1" TargetMode="External" Id="rId4" /><Relationship Type="http://schemas.openxmlformats.org/officeDocument/2006/relationships/hyperlink" Target="#'Duration &amp; DV01'!A1" TargetMode="External" Id="rId5" /><Relationship Type="http://schemas.openxmlformats.org/officeDocument/2006/relationships/hyperlink" Target="#'Rate Shock'!A1" TargetMode="External" Id="rId6" /><Relationship Type="http://schemas.openxmlformats.org/officeDocument/2006/relationships/hyperlink" Target="#'Yield Curve'!A1" TargetMode="External" Id="rId7" /><Relationship Type="http://schemas.openxmlformats.org/officeDocument/2006/relationships/hyperlink" Target="#'Investment Attractiveness'!A1" TargetMode="External" Id="rId8" /><Relationship Type="http://schemas.openxmlformats.org/officeDocument/2006/relationships/hyperlink" Target="#'Recommendation'!A1" TargetMode="External" Id="rId9" /><Relationship Type="http://schemas.openxmlformats.org/officeDocument/2006/relationships/hyperlink" Target="#'Explanations'!A1" TargetMode="External" Id="rId10" /><Relationship Type="http://schemas.openxmlformats.org/officeDocument/2006/relationships/hyperlink" Target="#'Quality Check'!A1" TargetMode="External" Id="rId11" /><Relationship Type="http://schemas.openxmlformats.org/officeDocument/2006/relationships/hyperlink" Target="#'Limitations'!A1" TargetMode="External" Id="rId12" /></Relationships>
</file>

<file path=xl/worksheets/_rels/sheet7.xml.rels><Relationships xmlns="http://schemas.openxmlformats.org/package/2006/relationships"><Relationship Type="http://schemas.openxmlformats.org/officeDocument/2006/relationships/hyperlink" Target="#'Inputs'!A1" TargetMode="External" Id="rId1" /><Relationship Type="http://schemas.openxmlformats.org/officeDocument/2006/relationships/hyperlink" Target="#'Price &amp; Yield'!A1" TargetMode="External" Id="rId2" /><Relationship Type="http://schemas.openxmlformats.org/officeDocument/2006/relationships/hyperlink" Target="#'Cash Flows'!A1" TargetMode="External" Id="rId3" /><Relationship Type="http://schemas.openxmlformats.org/officeDocument/2006/relationships/hyperlink" Target="#'Valuation Summary'!A1" TargetMode="External" Id="rId4" /><Relationship Type="http://schemas.openxmlformats.org/officeDocument/2006/relationships/hyperlink" Target="#'Duration &amp; DV01'!A1" TargetMode="External" Id="rId5" /><Relationship Type="http://schemas.openxmlformats.org/officeDocument/2006/relationships/hyperlink" Target="#'Rate Shock'!A1" TargetMode="External" Id="rId6" /><Relationship Type="http://schemas.openxmlformats.org/officeDocument/2006/relationships/hyperlink" Target="#'Yield Curve'!A1" TargetMode="External" Id="rId7" /><Relationship Type="http://schemas.openxmlformats.org/officeDocument/2006/relationships/hyperlink" Target="#'Investment Attractiveness'!A1" TargetMode="External" Id="rId8" /><Relationship Type="http://schemas.openxmlformats.org/officeDocument/2006/relationships/hyperlink" Target="#'Recommendation'!A1" TargetMode="External" Id="rId9" /><Relationship Type="http://schemas.openxmlformats.org/officeDocument/2006/relationships/hyperlink" Target="#'Explanations'!A1" TargetMode="External" Id="rId10" /><Relationship Type="http://schemas.openxmlformats.org/officeDocument/2006/relationships/hyperlink" Target="#'Quality Check'!A1" TargetMode="External" Id="rId11" /><Relationship Type="http://schemas.openxmlformats.org/officeDocument/2006/relationships/hyperlink" Target="#'Limitations'!A1" TargetMode="External" Id="rId12" /><Relationship Type="http://schemas.openxmlformats.org/officeDocument/2006/relationships/drawing" Target="/xl/drawings/drawing1.xml" Id="rId13" /></Relationships>
</file>

<file path=xl/worksheets/_rels/sheet8.xml.rels><Relationships xmlns="http://schemas.openxmlformats.org/package/2006/relationships"><Relationship Type="http://schemas.openxmlformats.org/officeDocument/2006/relationships/hyperlink" Target="#'Inputs'!A1" TargetMode="External" Id="rId1" /><Relationship Type="http://schemas.openxmlformats.org/officeDocument/2006/relationships/hyperlink" Target="#'Price &amp; Yield'!A1" TargetMode="External" Id="rId2" /><Relationship Type="http://schemas.openxmlformats.org/officeDocument/2006/relationships/hyperlink" Target="#'Cash Flows'!A1" TargetMode="External" Id="rId3" /><Relationship Type="http://schemas.openxmlformats.org/officeDocument/2006/relationships/hyperlink" Target="#'Valuation Summary'!A1" TargetMode="External" Id="rId4" /><Relationship Type="http://schemas.openxmlformats.org/officeDocument/2006/relationships/hyperlink" Target="#'Duration &amp; DV01'!A1" TargetMode="External" Id="rId5" /><Relationship Type="http://schemas.openxmlformats.org/officeDocument/2006/relationships/hyperlink" Target="#'Rate Shock'!A1" TargetMode="External" Id="rId6" /><Relationship Type="http://schemas.openxmlformats.org/officeDocument/2006/relationships/hyperlink" Target="#'Yield Curve'!A1" TargetMode="External" Id="rId7" /><Relationship Type="http://schemas.openxmlformats.org/officeDocument/2006/relationships/hyperlink" Target="#'Investment Attractiveness'!A1" TargetMode="External" Id="rId8" /><Relationship Type="http://schemas.openxmlformats.org/officeDocument/2006/relationships/hyperlink" Target="#'Recommendation'!A1" TargetMode="External" Id="rId9" /><Relationship Type="http://schemas.openxmlformats.org/officeDocument/2006/relationships/hyperlink" Target="#'Explanations'!A1" TargetMode="External" Id="rId10" /><Relationship Type="http://schemas.openxmlformats.org/officeDocument/2006/relationships/hyperlink" Target="#'Quality Check'!A1" TargetMode="External" Id="rId11" /><Relationship Type="http://schemas.openxmlformats.org/officeDocument/2006/relationships/hyperlink" Target="#'Limitations'!A1" TargetMode="External" Id="rId12" /></Relationships>
</file>

<file path=xl/worksheets/_rels/sheet9.xml.rels><Relationships xmlns="http://schemas.openxmlformats.org/package/2006/relationships"><Relationship Type="http://schemas.openxmlformats.org/officeDocument/2006/relationships/hyperlink" Target="#'Inputs'!A1" TargetMode="External" Id="rId1" /><Relationship Type="http://schemas.openxmlformats.org/officeDocument/2006/relationships/hyperlink" Target="#'Price &amp; Yield'!A1" TargetMode="External" Id="rId2" /><Relationship Type="http://schemas.openxmlformats.org/officeDocument/2006/relationships/hyperlink" Target="#'Cash Flows'!A1" TargetMode="External" Id="rId3" /><Relationship Type="http://schemas.openxmlformats.org/officeDocument/2006/relationships/hyperlink" Target="#'Valuation Summary'!A1" TargetMode="External" Id="rId4" /><Relationship Type="http://schemas.openxmlformats.org/officeDocument/2006/relationships/hyperlink" Target="#'Duration &amp; DV01'!A1" TargetMode="External" Id="rId5" /><Relationship Type="http://schemas.openxmlformats.org/officeDocument/2006/relationships/hyperlink" Target="#'Rate Shock'!A1" TargetMode="External" Id="rId6" /><Relationship Type="http://schemas.openxmlformats.org/officeDocument/2006/relationships/hyperlink" Target="#'Yield Curve'!A1" TargetMode="External" Id="rId7" /><Relationship Type="http://schemas.openxmlformats.org/officeDocument/2006/relationships/hyperlink" Target="#'Investment Attractiveness'!A1" TargetMode="External" Id="rId8" /><Relationship Type="http://schemas.openxmlformats.org/officeDocument/2006/relationships/hyperlink" Target="#'Recommendation'!A1" TargetMode="External" Id="rId9" /><Relationship Type="http://schemas.openxmlformats.org/officeDocument/2006/relationships/hyperlink" Target="#'Explanations'!A1" TargetMode="External" Id="rId10" /><Relationship Type="http://schemas.openxmlformats.org/officeDocument/2006/relationships/hyperlink" Target="#'Quality Check'!A1" TargetMode="External" Id="rId11" /><Relationship Type="http://schemas.openxmlformats.org/officeDocument/2006/relationships/hyperlink" Target="#'Limitations'!A1" TargetMode="External" Id="rId12" /></Relationships>
</file>

<file path=xl/worksheets/_rels/sheet10.xml.rels><Relationships xmlns="http://schemas.openxmlformats.org/package/2006/relationships"><Relationship Type="http://schemas.openxmlformats.org/officeDocument/2006/relationships/hyperlink" Target="#'Inputs'!A1" TargetMode="External" Id="rId1" /><Relationship Type="http://schemas.openxmlformats.org/officeDocument/2006/relationships/hyperlink" Target="#'Price &amp; Yield'!A1" TargetMode="External" Id="rId2" /><Relationship Type="http://schemas.openxmlformats.org/officeDocument/2006/relationships/hyperlink" Target="#'Cash Flows'!A1" TargetMode="External" Id="rId3" /><Relationship Type="http://schemas.openxmlformats.org/officeDocument/2006/relationships/hyperlink" Target="#'Valuation Summary'!A1" TargetMode="External" Id="rId4" /><Relationship Type="http://schemas.openxmlformats.org/officeDocument/2006/relationships/hyperlink" Target="#'Duration &amp; DV01'!A1" TargetMode="External" Id="rId5" /><Relationship Type="http://schemas.openxmlformats.org/officeDocument/2006/relationships/hyperlink" Target="#'Rate Shock'!A1" TargetMode="External" Id="rId6" /><Relationship Type="http://schemas.openxmlformats.org/officeDocument/2006/relationships/hyperlink" Target="#'Yield Curve'!A1" TargetMode="External" Id="rId7" /><Relationship Type="http://schemas.openxmlformats.org/officeDocument/2006/relationships/hyperlink" Target="#'Investment Attractiveness'!A1" TargetMode="External" Id="rId8" /><Relationship Type="http://schemas.openxmlformats.org/officeDocument/2006/relationships/hyperlink" Target="#'Recommendation'!A1" TargetMode="External" Id="rId9" /><Relationship Type="http://schemas.openxmlformats.org/officeDocument/2006/relationships/hyperlink" Target="#'Explanations'!A1" TargetMode="External" Id="rId10" /><Relationship Type="http://schemas.openxmlformats.org/officeDocument/2006/relationships/hyperlink" Target="#'Quality Check'!A1" TargetMode="External" Id="rId11" /><Relationship Type="http://schemas.openxmlformats.org/officeDocument/2006/relationships/hyperlink" Target="#'Limitations'!A1" TargetMode="External" Id="rId12" /></Relationships>
</file>

<file path=xl/worksheets/_rels/sheet11.xml.rels><Relationships xmlns="http://schemas.openxmlformats.org/package/2006/relationships"><Relationship Type="http://schemas.openxmlformats.org/officeDocument/2006/relationships/hyperlink" Target="#'Inputs'!A1" TargetMode="External" Id="rId1" /><Relationship Type="http://schemas.openxmlformats.org/officeDocument/2006/relationships/hyperlink" Target="#'Price &amp; Yield'!A1" TargetMode="External" Id="rId2" /><Relationship Type="http://schemas.openxmlformats.org/officeDocument/2006/relationships/hyperlink" Target="#'Cash Flows'!A1" TargetMode="External" Id="rId3" /><Relationship Type="http://schemas.openxmlformats.org/officeDocument/2006/relationships/hyperlink" Target="#'Valuation Summary'!A1" TargetMode="External" Id="rId4" /><Relationship Type="http://schemas.openxmlformats.org/officeDocument/2006/relationships/hyperlink" Target="#'Duration &amp; DV01'!A1" TargetMode="External" Id="rId5" /><Relationship Type="http://schemas.openxmlformats.org/officeDocument/2006/relationships/hyperlink" Target="#'Rate Shock'!A1" TargetMode="External" Id="rId6" /><Relationship Type="http://schemas.openxmlformats.org/officeDocument/2006/relationships/hyperlink" Target="#'Yield Curve'!A1" TargetMode="External" Id="rId7" /><Relationship Type="http://schemas.openxmlformats.org/officeDocument/2006/relationships/hyperlink" Target="#'Investment Attractiveness'!A1" TargetMode="External" Id="rId8" /><Relationship Type="http://schemas.openxmlformats.org/officeDocument/2006/relationships/hyperlink" Target="#'Recommendation'!A1" TargetMode="External" Id="rId9" /><Relationship Type="http://schemas.openxmlformats.org/officeDocument/2006/relationships/hyperlink" Target="#'Explanations'!A1" TargetMode="External" Id="rId10" /><Relationship Type="http://schemas.openxmlformats.org/officeDocument/2006/relationships/hyperlink" Target="#'Quality Check'!A1" TargetMode="External" Id="rId11" /><Relationship Type="http://schemas.openxmlformats.org/officeDocument/2006/relationships/hyperlink" Target="#'Limitations'!A1" TargetMode="External" Id="rId12" /></Relationships>
</file>

<file path=xl/worksheets/_rels/sheet12.xml.rels><Relationships xmlns="http://schemas.openxmlformats.org/package/2006/relationships"><Relationship Type="http://schemas.openxmlformats.org/officeDocument/2006/relationships/hyperlink" Target="#'Inputs'!A1" TargetMode="External" Id="rId1" /><Relationship Type="http://schemas.openxmlformats.org/officeDocument/2006/relationships/hyperlink" Target="#'Price &amp; Yield'!A1" TargetMode="External" Id="rId2" /><Relationship Type="http://schemas.openxmlformats.org/officeDocument/2006/relationships/hyperlink" Target="#'Cash Flows'!A1" TargetMode="External" Id="rId3" /><Relationship Type="http://schemas.openxmlformats.org/officeDocument/2006/relationships/hyperlink" Target="#'Valuation Summary'!A1" TargetMode="External" Id="rId4" /><Relationship Type="http://schemas.openxmlformats.org/officeDocument/2006/relationships/hyperlink" Target="#'Duration &amp; DV01'!A1" TargetMode="External" Id="rId5" /><Relationship Type="http://schemas.openxmlformats.org/officeDocument/2006/relationships/hyperlink" Target="#'Rate Shock'!A1" TargetMode="External" Id="rId6" /><Relationship Type="http://schemas.openxmlformats.org/officeDocument/2006/relationships/hyperlink" Target="#'Yield Curve'!A1" TargetMode="External" Id="rId7" /><Relationship Type="http://schemas.openxmlformats.org/officeDocument/2006/relationships/hyperlink" Target="#'Investment Attractiveness'!A1" TargetMode="External" Id="rId8" /><Relationship Type="http://schemas.openxmlformats.org/officeDocument/2006/relationships/hyperlink" Target="#'Recommendation'!A1" TargetMode="External" Id="rId9" /><Relationship Type="http://schemas.openxmlformats.org/officeDocument/2006/relationships/hyperlink" Target="#'Explanations'!A1" TargetMode="External" Id="rId10" /><Relationship Type="http://schemas.openxmlformats.org/officeDocument/2006/relationships/hyperlink" Target="#'Quality Check'!A1" TargetMode="External" Id="rId11" /><Relationship Type="http://schemas.openxmlformats.org/officeDocument/2006/relationships/hyperlink" Target="#'Limitations'!A1" TargetMode="External" Id="rId12" /></Relationships>
</file>

<file path=xl/worksheets/sheet1.xml><?xml version="1.0" encoding="utf-8"?>
<worksheet xmlns="http://schemas.openxmlformats.org/spreadsheetml/2006/main">
  <sheetPr>
    <tabColor rgb="000000FF"/>
    <outlinePr summaryBelow="1" summaryRight="1"/>
    <pageSetUpPr fitToPage="1"/>
  </sheetPr>
  <dimension ref="A1:G40"/>
  <sheetViews>
    <sheetView showGridLines="0" workbookViewId="0">
      <pane ySplit="5" topLeftCell="A6" activePane="bottomLeft" state="frozen"/>
      <selection pane="bottomLeft" activeCell="A1" sqref="A1"/>
    </sheetView>
  </sheetViews>
  <sheetFormatPr baseColWidth="8" defaultRowHeight="15"/>
  <cols>
    <col width="26" customWidth="1" min="1" max="1"/>
    <col width="15" customWidth="1" min="2" max="2"/>
    <col width="15" customWidth="1" min="3" max="3"/>
    <col width="12" customWidth="1" min="4" max="4"/>
    <col width="12" customWidth="1" min="5" max="5"/>
    <col width="12" customWidth="1" min="6" max="6"/>
    <col width="12" customWidth="1" min="7" max="7"/>
  </cols>
  <sheetData>
    <row r="1" ht="28" customHeight="1">
      <c r="A1" s="1" t="inlineStr">
        <is>
          <t>INPUTS / BOND TERMS</t>
        </is>
      </c>
    </row>
    <row r="2">
      <c r="A2" s="2" t="inlineStr">
        <is>
          <t>Enter the government bond's details here</t>
        </is>
      </c>
    </row>
    <row r="3">
      <c r="A3" s="3" t="inlineStr">
        <is>
          <t>Government Bond Analyzer  -  v1.0</t>
        </is>
      </c>
    </row>
    <row r="5">
      <c r="A5" s="4" t="inlineStr">
        <is>
          <t>Inputs</t>
        </is>
      </c>
      <c r="B5" s="4" t="inlineStr">
        <is>
          <t>Price &amp; Yield</t>
        </is>
      </c>
      <c r="C5" s="4" t="inlineStr">
        <is>
          <t>Cash Flows</t>
        </is>
      </c>
      <c r="D5" s="4" t="inlineStr">
        <is>
          <t>Valuation Summary</t>
        </is>
      </c>
      <c r="E5" s="4" t="inlineStr">
        <is>
          <t>Duration &amp; DV01</t>
        </is>
      </c>
      <c r="F5" s="4" t="inlineStr">
        <is>
          <t>Rate Shock</t>
        </is>
      </c>
    </row>
    <row r="6">
      <c r="A6" s="4" t="inlineStr">
        <is>
          <t>Yield Curve</t>
        </is>
      </c>
      <c r="B6" s="4" t="inlineStr">
        <is>
          <t>Investment Attractiveness</t>
        </is>
      </c>
      <c r="C6" s="4" t="inlineStr">
        <is>
          <t>Recommendation</t>
        </is>
      </c>
      <c r="D6" s="4" t="inlineStr">
        <is>
          <t>Explanations</t>
        </is>
      </c>
      <c r="E6" s="4" t="inlineStr">
        <is>
          <t>Quality Check</t>
        </is>
      </c>
      <c r="F6" s="4" t="inlineStr">
        <is>
          <t>Limitations</t>
        </is>
      </c>
    </row>
    <row r="7" ht="16" customHeight="1">
      <c r="A7" s="5" t="inlineStr">
        <is>
          <t>How to read this sheet</t>
        </is>
      </c>
    </row>
    <row r="8" ht="25" customHeight="1">
      <c r="A8" s="6" t="inlineStr">
        <is>
          <t>THESE INPUTS DRIVE THE ENTIRE MODEL.  Only change the yellow cells - every calculation on the other sheets updates automatically. You never edit the green/black output cells.</t>
        </is>
      </c>
    </row>
    <row r="9" ht="25" customHeight="1">
      <c r="A9" s="6" t="inlineStr">
        <is>
          <t>For a Treasury Bill or a zero-coupon bond, set Coupon frequency = Zero-coupon and Coupon rate = 0%; the model then values it as a single principal payment at maturity.</t>
        </is>
      </c>
    </row>
    <row r="11">
      <c r="A11" s="7" t="inlineStr">
        <is>
          <t>Legend:</t>
        </is>
      </c>
      <c r="B11" s="8" t="inlineStr">
        <is>
          <t>Input (type here)</t>
        </is>
      </c>
      <c r="D11" s="9" t="inlineStr">
        <is>
          <t>Formula</t>
        </is>
      </c>
      <c r="E11" s="10" t="inlineStr">
        <is>
          <t>Key output</t>
        </is>
      </c>
      <c r="G11" s="11" t="inlineStr">
        <is>
          <t>blue = input - black = formula - green = key output</t>
        </is>
      </c>
    </row>
    <row r="13" ht="18" customHeight="1">
      <c r="A13" s="12" t="inlineStr">
        <is>
          <t>Identification</t>
        </is>
      </c>
    </row>
    <row r="14">
      <c r="A14" s="7" t="inlineStr">
        <is>
          <t>Bond name</t>
        </is>
      </c>
      <c r="B14" s="13" t="inlineStr">
        <is>
          <t>&lt;Bond name&gt;</t>
        </is>
      </c>
      <c r="C14" s="14" t="n"/>
    </row>
    <row r="15">
      <c r="A15" s="7" t="inlineStr">
        <is>
          <t>Country / issuer</t>
        </is>
      </c>
      <c r="B15" s="13" t="inlineStr"/>
      <c r="C15" s="14" t="n"/>
    </row>
    <row r="16">
      <c r="A16" s="7" t="inlineStr">
        <is>
          <t>Currency</t>
        </is>
      </c>
      <c r="B16" s="8" t="inlineStr">
        <is>
          <t>USD</t>
        </is>
      </c>
      <c r="C16" s="14" t="n"/>
    </row>
    <row r="17">
      <c r="A17" s="7" t="inlineStr">
        <is>
          <t>Security type</t>
        </is>
      </c>
      <c r="B17" s="8" t="inlineStr">
        <is>
          <t>Treasury Note</t>
        </is>
      </c>
      <c r="C17" s="14" t="n"/>
      <c r="D17" s="11" t="inlineStr">
        <is>
          <t>Bill = zero-coupon; Note/Bond = fixed coupon; Government Bond = generic sovereign.</t>
        </is>
      </c>
    </row>
    <row r="18" ht="18" customHeight="1">
      <c r="A18" s="12" t="inlineStr">
        <is>
          <t>Economic terms</t>
        </is>
      </c>
    </row>
    <row r="19">
      <c r="A19" s="7" t="inlineStr">
        <is>
          <t>Face value</t>
        </is>
      </c>
      <c r="B19" s="15" t="n">
        <v>100</v>
      </c>
      <c r="C19" s="14" t="n"/>
      <c r="D19" s="11" t="inlineStr">
        <is>
          <t>Prices are quoted per 100 face. Keep this 100.</t>
        </is>
      </c>
    </row>
    <row r="20">
      <c r="A20" s="7" t="inlineStr">
        <is>
          <t>Position size / market value</t>
        </is>
      </c>
      <c r="B20" s="16" t="n"/>
      <c r="C20" s="14" t="n"/>
      <c r="D20" s="11" t="inlineStr">
        <is>
          <t>Optional - your holding's face amount (used only for information).</t>
        </is>
      </c>
    </row>
    <row r="21">
      <c r="A21" s="7" t="inlineStr">
        <is>
          <t>Coupon rate (annual)</t>
        </is>
      </c>
      <c r="B21" s="17" t="n">
        <v>0.04</v>
      </c>
      <c r="C21" s="14" t="n"/>
      <c r="D21" s="11" t="inlineStr">
        <is>
          <t>Fixed annual rate. Use 0% for a bill / zero-coupon bond.</t>
        </is>
      </c>
    </row>
    <row r="22">
      <c r="A22" s="7" t="inlineStr">
        <is>
          <t>Coupon frequency</t>
        </is>
      </c>
      <c r="B22" s="8" t="inlineStr">
        <is>
          <t>Semiannual</t>
        </is>
      </c>
      <c r="C22" s="14" t="n"/>
      <c r="D22" s="11" t="inlineStr">
        <is>
          <t>Semiannual, Annual, or Zero-coupon.</t>
        </is>
      </c>
    </row>
    <row r="23">
      <c r="A23" s="7" t="inlineStr">
        <is>
          <t>Day-count basis</t>
        </is>
      </c>
      <c r="B23" s="18" t="n">
        <v>1</v>
      </c>
      <c r="C23" s="14" t="n"/>
      <c r="D23" s="11" t="inlineStr">
        <is>
          <t>1 = Actual/Actual (usual government convention).</t>
        </is>
      </c>
    </row>
    <row r="24">
      <c r="A24" s="7" t="inlineStr">
        <is>
          <t>Issue date</t>
        </is>
      </c>
      <c r="B24" s="19" t="n">
        <v>45337</v>
      </c>
      <c r="C24" s="14" t="n"/>
    </row>
    <row r="25">
      <c r="A25" s="7" t="inlineStr">
        <is>
          <t>Settlement date</t>
        </is>
      </c>
      <c r="B25" s="19" t="n">
        <v>45736</v>
      </c>
      <c r="C25" s="14" t="n"/>
      <c r="D25" s="11" t="inlineStr">
        <is>
          <t>The date you value / buy the bond.</t>
        </is>
      </c>
    </row>
    <row r="26">
      <c r="A26" s="7" t="inlineStr">
        <is>
          <t>Maturity date</t>
        </is>
      </c>
      <c r="B26" s="19" t="n">
        <v>48990</v>
      </c>
      <c r="C26" s="14" t="n"/>
    </row>
    <row r="27" ht="18" customHeight="1">
      <c r="A27" s="12" t="inlineStr">
        <is>
          <t>Market data</t>
        </is>
      </c>
    </row>
    <row r="28">
      <c r="A28" s="7" t="inlineStr">
        <is>
          <t>Market clean price</t>
        </is>
      </c>
      <c r="B28" s="15" t="n">
        <v>100</v>
      </c>
      <c r="C28" s="14" t="n"/>
      <c r="D28" s="11" t="inlineStr">
        <is>
          <t>Quoted price per 100 face (drives the implied yield).</t>
        </is>
      </c>
    </row>
    <row r="29">
      <c r="A29" s="7" t="inlineStr">
        <is>
          <t>Market yield to maturity</t>
        </is>
      </c>
      <c r="B29" s="17" t="n"/>
      <c r="C29" s="14" t="n"/>
      <c r="D29" s="11" t="inlineStr">
        <is>
          <t>Optional. A yield you want to cross-check against the implied yield.</t>
        </is>
      </c>
    </row>
    <row r="30">
      <c r="A30" s="7" t="inlineStr">
        <is>
          <t>Benchmark yield (similar maturity)</t>
        </is>
      </c>
      <c r="B30" s="17" t="n">
        <v>0.043</v>
      </c>
      <c r="C30" s="14" t="n"/>
      <c r="D30" s="11" t="inlineStr">
        <is>
          <t>Yield of a similar-maturity government bond (for the spread and the 'fair price' test).</t>
        </is>
      </c>
    </row>
    <row r="31" ht="18" customHeight="1">
      <c r="A31" s="12" t="inlineStr">
        <is>
          <t>Analyst</t>
        </is>
      </c>
    </row>
    <row r="32">
      <c r="A32" s="7" t="inlineStr">
        <is>
          <t>Rate outlook</t>
        </is>
      </c>
      <c r="B32" s="8" t="inlineStr">
        <is>
          <t>Yields Stable</t>
        </is>
      </c>
      <c r="C32" s="14" t="n"/>
      <c r="D32" s="11" t="inlineStr">
        <is>
          <t>Your view on where yields go next - used by the attractiveness score.</t>
        </is>
      </c>
    </row>
    <row r="33">
      <c r="A33" s="7" t="inlineStr">
        <is>
          <t>Analyst name</t>
        </is>
      </c>
      <c r="B33" s="13" t="inlineStr"/>
      <c r="C33" s="14" t="n"/>
    </row>
    <row r="34">
      <c r="A34" s="7" t="inlineStr">
        <is>
          <t>Analysis date</t>
        </is>
      </c>
      <c r="B34" s="19" t="n">
        <v>45736</v>
      </c>
      <c r="C34" s="14" t="n"/>
    </row>
    <row r="35" ht="18" customHeight="1">
      <c r="A35" s="12" t="inlineStr">
        <is>
          <t>Derived values (auto - do not edit)</t>
        </is>
      </c>
    </row>
    <row r="36">
      <c r="A36" s="7" t="inlineStr">
        <is>
          <t>Zero-coupon?</t>
        </is>
      </c>
      <c r="B36" s="20">
        <f>IF(OR(FreqName="Zero-coupon",SecType="Treasury Bill"),1,0)</f>
        <v/>
      </c>
      <c r="D36" s="11" t="inlineStr">
        <is>
          <t>1 = no coupons (bill / zero-coupon); only principal at maturity.</t>
        </is>
      </c>
    </row>
    <row r="37">
      <c r="A37" s="7" t="inlineStr">
        <is>
          <t>Payments per year</t>
        </is>
      </c>
      <c r="B37" s="20">
        <f>IF(IsZero=1,1,IF(FreqName="Annual",1,2))</f>
        <v/>
      </c>
    </row>
    <row r="38">
      <c r="A38" s="7" t="inlineStr">
        <is>
          <t>Effective coupon rate</t>
        </is>
      </c>
      <c r="B38" s="21">
        <f>IF(IsZero=1,0,CouponRate)</f>
        <v/>
      </c>
    </row>
    <row r="39">
      <c r="A39" s="7" t="inlineStr">
        <is>
          <t>Years to maturity</t>
        </is>
      </c>
      <c r="B39" s="22">
        <f>YEARFRAC(Settle,Maturity,Basis)</f>
        <v/>
      </c>
    </row>
    <row r="40">
      <c r="A40" s="7" t="inlineStr">
        <is>
          <t>Consistency check</t>
        </is>
      </c>
      <c r="B40" s="23">
        <f>IF(AND(OR(SecType="Treasury Bill",FreqName="Zero-coupon"),CouponRate&gt;0),"WARNING: set coupon rate to 0% for a bill / zero-coupon bond","OK")</f>
        <v/>
      </c>
      <c r="C40" s="24" t="n"/>
      <c r="D40" s="25" t="n"/>
    </row>
  </sheetData>
  <mergeCells count="43">
    <mergeCell ref="B16:C16"/>
    <mergeCell ref="B25:C25"/>
    <mergeCell ref="A8:G8"/>
    <mergeCell ref="D25:G25"/>
    <mergeCell ref="A35:G35"/>
    <mergeCell ref="D30:G30"/>
    <mergeCell ref="B22:C22"/>
    <mergeCell ref="D29:G29"/>
    <mergeCell ref="A13:G13"/>
    <mergeCell ref="D23:G23"/>
    <mergeCell ref="B21:C21"/>
    <mergeCell ref="A9:G9"/>
    <mergeCell ref="A31:G31"/>
    <mergeCell ref="D20:G20"/>
    <mergeCell ref="B23:C23"/>
    <mergeCell ref="B40:D40"/>
    <mergeCell ref="B14:C14"/>
    <mergeCell ref="G11"/>
    <mergeCell ref="D19:G19"/>
    <mergeCell ref="B17:C17"/>
    <mergeCell ref="D22:G22"/>
    <mergeCell ref="A1:G1"/>
    <mergeCell ref="B29:C29"/>
    <mergeCell ref="D36:G36"/>
    <mergeCell ref="B19:C19"/>
    <mergeCell ref="B34:C34"/>
    <mergeCell ref="B28:C28"/>
    <mergeCell ref="D21:G21"/>
    <mergeCell ref="A7:G7"/>
    <mergeCell ref="D32:G32"/>
    <mergeCell ref="B24:C24"/>
    <mergeCell ref="B30:C30"/>
    <mergeCell ref="D17:G17"/>
    <mergeCell ref="B15:C15"/>
    <mergeCell ref="A18:G18"/>
    <mergeCell ref="A27:G27"/>
    <mergeCell ref="B33:C33"/>
    <mergeCell ref="A3:G3"/>
    <mergeCell ref="B20:C20"/>
    <mergeCell ref="A2:G2"/>
    <mergeCell ref="B32:C32"/>
    <mergeCell ref="B26:C26"/>
    <mergeCell ref="D28:G28"/>
  </mergeCells>
  <conditionalFormatting sqref="B40">
    <cfRule type="expression" priority="1" dxfId="0" stopIfTrue="1">
      <formula>OR(ISNUMBER(SEARCH("PASS",B40)),ISNUMBER(SEARCH("OK",B40)),ISNUMBER(SEARCH("Low",B40)),ISNUMBER(SEARCH("Normal",B40)),ISNUMBER(SEARCH("Buy",B40)),ISNUMBER(SEARCH("Short",B40)),ISNUMBER(SEARCH("Yes",B40)),ISNUMBER(SEARCH("Within",B40)),ISNUMBER(SEARCH("Attractive",B40)),ISNUMBER(SEARCH("Cheap",B40)),ISNUMBER(SEARCH("Upside",B40)))</formula>
    </cfRule>
    <cfRule type="expression" priority="2" dxfId="1" stopIfTrue="1">
      <formula>OR(ISNUMBER(SEARCH("WARNING",B40)),ISNUMBER(SEARCH("WARN",B40)),ISNUMBER(SEARCH("Medium",B40)),ISNUMBER(SEARCH("Flat",B40)),ISNUMBER(SEARCH("Hold",B40)),ISNUMBER(SEARCH("Intermediate",B40)),ISNUMBER(SEARCH("Review",B40)),ISNUMBER(SEARCH("Fair",B40)),ISNUMBER(SEARCH("Neutral",B40)))</formula>
    </cfRule>
    <cfRule type="expression" priority="3" dxfId="2" stopIfTrue="1">
      <formula>OR(ISNUMBER(SEARCH("FAIL",B40)),ISNUMBER(SEARCH("High",B40)),ISNUMBER(SEARCH("Inverted",B40)),ISNUMBER(SEARCH("Avoid",B40)),ISNUMBER(SEARCH("Long",B40)),ISNUMBER(SEARCH("Negative",B40)),ISNUMBER(SEARCH("Expensive",B40)),ISNUMBER(SEARCH("Not Attractive",B40)),ISNUMBER(SEARCH("Downside",B40)))</formula>
    </cfRule>
  </conditionalFormatting>
  <dataValidations count="4">
    <dataValidation sqref="B17" showDropDown="0" showInputMessage="0" showErrorMessage="1" allowBlank="1" type="list">
      <formula1>"Treasury Bill,Treasury Note,Treasury Bond,Government Bond"</formula1>
    </dataValidation>
    <dataValidation sqref="B22" showDropDown="0" showInputMessage="0" showErrorMessage="1" allowBlank="1" type="list">
      <formula1>"Semiannual,Annual,Zero-coupon"</formula1>
    </dataValidation>
    <dataValidation sqref="B23" showDropDown="0" showInputMessage="0" showErrorMessage="1" allowBlank="1" type="list">
      <formula1>"0,1,2,3,4"</formula1>
    </dataValidation>
    <dataValidation sqref="B32" showDropDown="0" showInputMessage="0" showErrorMessage="1" allowBlank="1" type="list">
      <formula1>"Yields Rise,Yields Fall,Yields Stable"</formula1>
    </dataValidation>
  </dataValidations>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s>
  <pageMargins left="0.75" right="0.75" top="1" bottom="1" header="0.5" footer="0.5"/>
  <pageSetup orientation="landscape" fitToHeight="0" fitToWidth="1"/>
  <headerFooter>
    <oddHeader/>
    <oddFooter>&amp;R&amp;A  -  page &amp;P of &amp;N</oddFooter>
    <evenHeader/>
    <evenFooter/>
    <firstHeader/>
    <firstFooter/>
  </headerFooter>
</worksheet>
</file>

<file path=xl/worksheets/sheet2.xml><?xml version="1.0" encoding="utf-8"?>
<worksheet xmlns="http://schemas.openxmlformats.org/spreadsheetml/2006/main">
  <sheetPr>
    <tabColor rgb="001F7A3D"/>
    <outlinePr summaryBelow="1" summaryRight="1"/>
    <pageSetUpPr fitToPage="1"/>
  </sheetPr>
  <dimension ref="A1:F54"/>
  <sheetViews>
    <sheetView showGridLines="0" workbookViewId="0">
      <pane ySplit="5" topLeftCell="A6" activePane="bottomLeft" state="frozen"/>
      <selection pane="bottomLeft" activeCell="A1" sqref="A1"/>
    </sheetView>
  </sheetViews>
  <sheetFormatPr baseColWidth="8" defaultRowHeight="15"/>
  <cols>
    <col width="26" customWidth="1" min="1" max="1"/>
    <col width="13" customWidth="1" min="2" max="2"/>
    <col width="12" customWidth="1" min="3" max="3"/>
    <col width="12" customWidth="1" min="4" max="4"/>
    <col width="12" customWidth="1" min="5" max="5"/>
    <col width="12" customWidth="1" min="6" max="6"/>
  </cols>
  <sheetData>
    <row r="1" ht="28" customHeight="1">
      <c r="A1" s="1" t="inlineStr">
        <is>
          <t>PRICE &amp; YIELD</t>
        </is>
      </c>
    </row>
    <row r="2">
      <c r="A2" s="2" t="inlineStr">
        <is>
          <t>Work out the yield from the price, and the price from a yield</t>
        </is>
      </c>
    </row>
    <row r="3">
      <c r="A3" s="3" t="inlineStr">
        <is>
          <t>Government Bond Analyzer  -  v1.0</t>
        </is>
      </c>
    </row>
    <row r="5">
      <c r="A5" s="4" t="inlineStr">
        <is>
          <t>Inputs</t>
        </is>
      </c>
      <c r="B5" s="4" t="inlineStr">
        <is>
          <t>Price &amp; Yield</t>
        </is>
      </c>
      <c r="C5" s="4" t="inlineStr">
        <is>
          <t>Cash Flows</t>
        </is>
      </c>
      <c r="D5" s="4" t="inlineStr">
        <is>
          <t>Valuation Summary</t>
        </is>
      </c>
      <c r="E5" s="4" t="inlineStr">
        <is>
          <t>Duration &amp; DV01</t>
        </is>
      </c>
      <c r="F5" s="4" t="inlineStr">
        <is>
          <t>Rate Shock</t>
        </is>
      </c>
    </row>
    <row r="6">
      <c r="A6" s="4" t="inlineStr">
        <is>
          <t>Yield Curve</t>
        </is>
      </c>
      <c r="B6" s="4" t="inlineStr">
        <is>
          <t>Investment Attractiveness</t>
        </is>
      </c>
      <c r="C6" s="4" t="inlineStr">
        <is>
          <t>Recommendation</t>
        </is>
      </c>
      <c r="D6" s="4" t="inlineStr">
        <is>
          <t>Explanations</t>
        </is>
      </c>
      <c r="E6" s="4" t="inlineStr">
        <is>
          <t>Quality Check</t>
        </is>
      </c>
      <c r="F6" s="4" t="inlineStr">
        <is>
          <t>Limitations</t>
        </is>
      </c>
    </row>
    <row r="7" ht="18" customHeight="1">
      <c r="A7" s="12" t="inlineStr">
        <is>
          <t>Section A - Yield from Price  (enter the market price, get the yield)</t>
        </is>
      </c>
    </row>
    <row r="8">
      <c r="A8" s="7" t="inlineStr">
        <is>
          <t>Market clean price</t>
        </is>
      </c>
      <c r="B8" s="26">
        <f>MktClean</f>
        <v/>
      </c>
    </row>
    <row r="9" ht="16" customHeight="1">
      <c r="A9" s="5" t="inlineStr">
        <is>
          <t>Explanation / Interpretation</t>
        </is>
      </c>
    </row>
    <row r="10" ht="25" customHeight="1">
      <c r="A10" s="6" t="inlineStr">
        <is>
          <t>Clean price is the quoted price, excluding accrued interest. Above 100 = the bond trades at a PREMIUM; below 100 = a DISCOUNT. Here it is well defined by your input on the Inputs sheet.</t>
        </is>
      </c>
    </row>
    <row r="12">
      <c r="A12" s="7" t="inlineStr">
        <is>
          <t>Accrued interest</t>
        </is>
      </c>
      <c r="B12" s="27">
        <f>IF(IsZero=1,0,COUPDAYBS(Settle,Maturity,Freq,Basis)/COUPDAYS(Settle,Maturity,Freq,Basis)*CouponRate/Freq*Face)</f>
        <v/>
      </c>
      <c r="C12" s="25" t="n"/>
    </row>
    <row r="13" ht="16" customHeight="1">
      <c r="A13" s="5" t="inlineStr">
        <is>
          <t>Explanation / Interpretation</t>
        </is>
      </c>
    </row>
    <row r="14" ht="25" customHeight="1">
      <c r="A14" s="6" t="inlineStr">
        <is>
          <t>Accrued interest is the coupon the seller has earned since the last coupon date. The buyer pays it back to the seller, so it is added on top of the quoted price. It is zero for a bill / zero-coupon bond.</t>
        </is>
      </c>
    </row>
    <row r="16">
      <c r="A16" s="7" t="inlineStr">
        <is>
          <t>Dirty price</t>
        </is>
      </c>
      <c r="B16" s="27">
        <f>MktClean+Accrued</f>
        <v/>
      </c>
      <c r="C16" s="25" t="n"/>
    </row>
    <row r="17" ht="16" customHeight="1">
      <c r="A17" s="5" t="inlineStr">
        <is>
          <t>Explanation / Interpretation</t>
        </is>
      </c>
    </row>
    <row r="18" ht="14" customHeight="1">
      <c r="A18" s="6" t="inlineStr">
        <is>
          <t>Dirty price is the ACTUAL price the buyer pays = clean price + accrued interest. This is the real cash cost.</t>
        </is>
      </c>
    </row>
    <row r="20">
      <c r="A20" s="7" t="inlineStr">
        <is>
          <t>Implied yield to maturity</t>
        </is>
      </c>
      <c r="B20" s="28">
        <f>IF(IsZero=1,(Face/MktClean)^(1/YearsToMat)-1,YIELD(Settle,Maturity,CouponRate,MktClean,Face,Freq,Basis))</f>
        <v/>
      </c>
      <c r="C20" s="25" t="n"/>
    </row>
    <row r="21" ht="16" customHeight="1">
      <c r="A21" s="5" t="inlineStr">
        <is>
          <t>Explanation / Interpretation</t>
        </is>
      </c>
    </row>
    <row r="22" ht="25" customHeight="1">
      <c r="A22" s="6" t="inlineStr">
        <is>
          <t>Yield to maturity (YTM) is the annual return implied by today's price if you hold to maturity and receive all payments. It is the main yield number. Remember: higher price -&gt; lower yield, lower price -&gt; higher yield.</t>
        </is>
      </c>
    </row>
    <row r="24">
      <c r="A24" s="7" t="inlineStr">
        <is>
          <t>Current yield</t>
        </is>
      </c>
      <c r="B24" s="29">
        <f>IF(IsZero=1,"N/A",(CouponRate*Face)/MktClean)</f>
        <v/>
      </c>
      <c r="C24" s="25" t="n"/>
    </row>
    <row r="25" ht="16" customHeight="1">
      <c r="A25" s="5" t="inlineStr">
        <is>
          <t>Explanation / Interpretation</t>
        </is>
      </c>
    </row>
    <row r="26" ht="25" customHeight="1">
      <c r="A26" s="6" t="inlineStr">
        <is>
          <t>Current yield = annual coupon / clean price. It shows the coupon income relative to today's price, but it does NOT capture the capital gain or loss you get by holding to maturity. N/A for a zero-coupon bond.</t>
        </is>
      </c>
    </row>
    <row r="28">
      <c r="A28" s="7" t="inlineStr">
        <is>
          <t>Premium / discount to par</t>
        </is>
      </c>
      <c r="B28" s="27">
        <f>MktClean-Face</f>
        <v/>
      </c>
      <c r="C28" s="25" t="n"/>
    </row>
    <row r="29" ht="16" customHeight="1">
      <c r="A29" s="5" t="inlineStr">
        <is>
          <t>Explanation / Interpretation</t>
        </is>
      </c>
    </row>
    <row r="30" ht="25" customHeight="1">
      <c r="A30" s="6" t="inlineStr">
        <is>
          <t>Premium = price above par (100). Discount = price below par. Near 100 = near par. A discount usually means the coupon is below current yields; a premium means the coupon is above them.</t>
        </is>
      </c>
    </row>
    <row r="33" ht="18" customHeight="1">
      <c r="A33" s="12" t="inlineStr">
        <is>
          <t>Section B - Price from Yield  (enter a yield, get the price it implies)</t>
        </is>
      </c>
    </row>
    <row r="34">
      <c r="A34" s="7" t="inlineStr">
        <is>
          <t>Yield to test</t>
        </is>
      </c>
      <c r="B34" s="30">
        <f>BenchYield</f>
        <v/>
      </c>
      <c r="C34" s="14" t="n"/>
      <c r="D34" s="11" t="inlineStr">
        <is>
          <t>Editable. Default = benchmark yield. Try your own 'fair value' yield.</t>
        </is>
      </c>
    </row>
    <row r="35">
      <c r="A35" s="7" t="inlineStr">
        <is>
          <t>Theoretical clean price</t>
        </is>
      </c>
      <c r="B35" s="27">
        <f>IF(IsZero=1,Face/(1+(TestYield))^YearsToMat,PRICE(Settle,Maturity,CouponRate,TestYield,Face,Freq,Basis))</f>
        <v/>
      </c>
      <c r="C35" s="25" t="n"/>
    </row>
    <row r="36">
      <c r="A36" s="7" t="inlineStr">
        <is>
          <t>Accrued interest</t>
        </is>
      </c>
      <c r="B36" s="26">
        <f>Accrued</f>
        <v/>
      </c>
    </row>
    <row r="37">
      <c r="A37" s="7" t="inlineStr">
        <is>
          <t>Theoretical dirty price</t>
        </is>
      </c>
      <c r="B37" s="31">
        <f>TheoClean+Accrued</f>
        <v/>
      </c>
    </row>
    <row r="38">
      <c r="A38" s="7" t="inlineStr">
        <is>
          <t>Market clean - theoretical</t>
        </is>
      </c>
      <c r="B38" s="31">
        <f>MktClean-TheoClean</f>
        <v/>
      </c>
    </row>
    <row r="39">
      <c r="A39" s="7" t="inlineStr">
        <is>
          <t>Cheap / fair / expensive</t>
        </is>
      </c>
      <c r="B39" s="23">
        <f>IF(TheoClean-MktClean&gt;0.25,"Cheap (worth more than its price)",IF(TheoClean-MktClean&lt;-0.25,"Expensive (worth less than its price)","Fair (close to its price)"))</f>
        <v/>
      </c>
      <c r="C39" s="25" t="n"/>
    </row>
    <row r="40" ht="16" customHeight="1">
      <c r="A40" s="5" t="inlineStr">
        <is>
          <t>Explanation / Interpretation</t>
        </is>
      </c>
    </row>
    <row r="41" ht="37" customHeight="1">
      <c r="A41" s="6" t="inlineStr">
        <is>
          <t>This section shows what the price SHOULD be for the yield you type. If the theoretical price is ABOVE the market price, the bond looks a little CHEAP (you get extra yield); if BELOW, it looks EXPENSIVE. This is a simple relative check at your chosen yield - not a guaranteed recommendation.</t>
        </is>
      </c>
    </row>
    <row r="44" ht="18" customHeight="1">
      <c r="A44" s="12" t="inlineStr">
        <is>
          <t>Section C - Price-Yield Table  (theoretical clean price at different yields)</t>
        </is>
      </c>
    </row>
    <row r="45">
      <c r="A45" s="32" t="inlineStr">
        <is>
          <t>Yield scenario</t>
        </is>
      </c>
      <c r="B45" s="33" t="inlineStr">
        <is>
          <t>Yield</t>
        </is>
      </c>
      <c r="C45" s="33" t="inlineStr">
        <is>
          <t>Theoretical clean price</t>
        </is>
      </c>
    </row>
    <row r="46">
      <c r="A46" s="34" t="inlineStr">
        <is>
          <t>YTM -100 bps</t>
        </is>
      </c>
      <c r="B46" s="35">
        <f>(YTM+-0.01)</f>
        <v/>
      </c>
      <c r="C46" s="31">
        <f>IF(IsZero=1,Face/(1+((YTM+-0.01)))^YearsToMat,PRICE(Settle,Maturity,CouponRate,(YTM+-0.01),Face,Freq,Basis))</f>
        <v/>
      </c>
    </row>
    <row r="47">
      <c r="A47" s="34" t="inlineStr">
        <is>
          <t>YTM -50 bps</t>
        </is>
      </c>
      <c r="B47" s="35">
        <f>(YTM+-0.005)</f>
        <v/>
      </c>
      <c r="C47" s="31">
        <f>IF(IsZero=1,Face/(1+((YTM+-0.005)))^YearsToMat,PRICE(Settle,Maturity,CouponRate,(YTM+-0.005),Face,Freq,Basis))</f>
        <v/>
      </c>
    </row>
    <row r="48">
      <c r="A48" s="34" t="inlineStr">
        <is>
          <t>YTM -25 bps</t>
        </is>
      </c>
      <c r="B48" s="35">
        <f>(YTM+-0.0025)</f>
        <v/>
      </c>
      <c r="C48" s="31">
        <f>IF(IsZero=1,Face/(1+((YTM+-0.0025)))^YearsToMat,PRICE(Settle,Maturity,CouponRate,(YTM+-0.0025),Face,Freq,Basis))</f>
        <v/>
      </c>
    </row>
    <row r="49">
      <c r="A49" s="7" t="inlineStr">
        <is>
          <t>Current YTM</t>
        </is>
      </c>
      <c r="B49" s="35">
        <f>(YTM+0.0)</f>
        <v/>
      </c>
      <c r="C49" s="27">
        <f>IF(IsZero=1,Face/(1+((YTM+0.0)))^YearsToMat,PRICE(Settle,Maturity,CouponRate,(YTM+0.0),Face,Freq,Basis))</f>
        <v/>
      </c>
      <c r="D49" s="24" t="n"/>
      <c r="E49" s="24" t="n"/>
      <c r="F49" s="25" t="n"/>
    </row>
    <row r="50">
      <c r="A50" s="34" t="inlineStr">
        <is>
          <t>YTM +25 bps</t>
        </is>
      </c>
      <c r="B50" s="35">
        <f>(YTM+0.0025)</f>
        <v/>
      </c>
      <c r="C50" s="31">
        <f>IF(IsZero=1,Face/(1+((YTM+0.0025)))^YearsToMat,PRICE(Settle,Maturity,CouponRate,(YTM+0.0025),Face,Freq,Basis))</f>
        <v/>
      </c>
    </row>
    <row r="51">
      <c r="A51" s="34" t="inlineStr">
        <is>
          <t>YTM +50 bps</t>
        </is>
      </c>
      <c r="B51" s="35">
        <f>(YTM+0.005)</f>
        <v/>
      </c>
      <c r="C51" s="31">
        <f>IF(IsZero=1,Face/(1+((YTM+0.005)))^YearsToMat,PRICE(Settle,Maturity,CouponRate,(YTM+0.005),Face,Freq,Basis))</f>
        <v/>
      </c>
    </row>
    <row r="52">
      <c r="A52" s="34" t="inlineStr">
        <is>
          <t>YTM +100 bps</t>
        </is>
      </c>
      <c r="B52" s="35">
        <f>(YTM+0.01)</f>
        <v/>
      </c>
      <c r="C52" s="31">
        <f>IF(IsZero=1,Face/(1+((YTM+0.01)))^YearsToMat,PRICE(Settle,Maturity,CouponRate,(YTM+0.01),Face,Freq,Basis))</f>
        <v/>
      </c>
    </row>
    <row r="53" ht="16" customHeight="1">
      <c r="A53" s="5" t="inlineStr">
        <is>
          <t>Explanation / Interpretation</t>
        </is>
      </c>
    </row>
    <row r="54" ht="25" customHeight="1">
      <c r="A54" s="6" t="inlineStr">
        <is>
          <t>Bond prices and yields move in OPPOSITE directions: if the yield RISES, the price FALLS; if the yield FALLS, the price RISES. The size of the move depends on the bond's duration (see the Duration sheet).</t>
        </is>
      </c>
    </row>
  </sheetData>
  <mergeCells count="43">
    <mergeCell ref="A41:F41"/>
    <mergeCell ref="C52:F52"/>
    <mergeCell ref="A54:F54"/>
    <mergeCell ref="B16:C16"/>
    <mergeCell ref="C48:F48"/>
    <mergeCell ref="A18:F18"/>
    <mergeCell ref="A26:F26"/>
    <mergeCell ref="A3:F3"/>
    <mergeCell ref="A21:F21"/>
    <mergeCell ref="B12:C12"/>
    <mergeCell ref="B39:C39"/>
    <mergeCell ref="A2:F2"/>
    <mergeCell ref="A33:F33"/>
    <mergeCell ref="A14:F14"/>
    <mergeCell ref="C49:F49"/>
    <mergeCell ref="A22:F22"/>
    <mergeCell ref="A17:F17"/>
    <mergeCell ref="B8:C8"/>
    <mergeCell ref="A53:F53"/>
    <mergeCell ref="A29:F29"/>
    <mergeCell ref="B38:C38"/>
    <mergeCell ref="A10:F10"/>
    <mergeCell ref="C45:F45"/>
    <mergeCell ref="A13:F13"/>
    <mergeCell ref="A44:F44"/>
    <mergeCell ref="B34:C34"/>
    <mergeCell ref="B37:C37"/>
    <mergeCell ref="A9:F9"/>
    <mergeCell ref="B28:C28"/>
    <mergeCell ref="A40:F40"/>
    <mergeCell ref="C47:F47"/>
    <mergeCell ref="A30:F30"/>
    <mergeCell ref="C50:F50"/>
    <mergeCell ref="D34:F34"/>
    <mergeCell ref="B24:C24"/>
    <mergeCell ref="A1:F1"/>
    <mergeCell ref="B20:C20"/>
    <mergeCell ref="C46:F46"/>
    <mergeCell ref="B36:C36"/>
    <mergeCell ref="C51:F51"/>
    <mergeCell ref="B35:C35"/>
    <mergeCell ref="A7:F7"/>
    <mergeCell ref="A25:F25"/>
  </mergeCells>
  <conditionalFormatting sqref="B39">
    <cfRule type="expression" priority="1" dxfId="0" stopIfTrue="1">
      <formula>OR(ISNUMBER(SEARCH("PASS",B39)),ISNUMBER(SEARCH("OK",B39)),ISNUMBER(SEARCH("Low",B39)),ISNUMBER(SEARCH("Normal",B39)),ISNUMBER(SEARCH("Buy",B39)),ISNUMBER(SEARCH("Short",B39)),ISNUMBER(SEARCH("Yes",B39)),ISNUMBER(SEARCH("Within",B39)),ISNUMBER(SEARCH("Attractive",B39)),ISNUMBER(SEARCH("Cheap",B39)),ISNUMBER(SEARCH("Upside",B39)))</formula>
    </cfRule>
    <cfRule type="expression" priority="2" dxfId="1" stopIfTrue="1">
      <formula>OR(ISNUMBER(SEARCH("WARNING",B39)),ISNUMBER(SEARCH("WARN",B39)),ISNUMBER(SEARCH("Medium",B39)),ISNUMBER(SEARCH("Flat",B39)),ISNUMBER(SEARCH("Hold",B39)),ISNUMBER(SEARCH("Intermediate",B39)),ISNUMBER(SEARCH("Review",B39)),ISNUMBER(SEARCH("Fair",B39)),ISNUMBER(SEARCH("Neutral",B39)))</formula>
    </cfRule>
    <cfRule type="expression" priority="3" dxfId="2" stopIfTrue="1">
      <formula>OR(ISNUMBER(SEARCH("FAIL",B39)),ISNUMBER(SEARCH("High",B39)),ISNUMBER(SEARCH("Inverted",B39)),ISNUMBER(SEARCH("Avoid",B39)),ISNUMBER(SEARCH("Long",B39)),ISNUMBER(SEARCH("Negative",B39)),ISNUMBER(SEARCH("Expensive",B39)),ISNUMBER(SEARCH("Not Attractive",B39)),ISNUMBER(SEARCH("Downside",B39)))</formula>
    </cfRule>
  </conditionalFormatting>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s>
  <pageMargins left="0.75" right="0.75" top="1" bottom="1" header="0.5" footer="0.5"/>
  <pageSetup orientation="landscape" fitToHeight="0" fitToWidth="1"/>
  <headerFooter>
    <oddHeader/>
    <oddFooter>&amp;R&amp;A  -  page &amp;P of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tabColor rgb="002E5984"/>
    <outlinePr summaryBelow="1" summaryRight="1"/>
    <pageSetUpPr fitToPage="1"/>
  </sheetPr>
  <dimension ref="A1:J86"/>
  <sheetViews>
    <sheetView showGridLines="0" workbookViewId="0">
      <pane ySplit="18" topLeftCell="A19" activePane="bottomLeft" state="frozen"/>
      <selection pane="bottomLeft" activeCell="A1" sqref="A1"/>
    </sheetView>
  </sheetViews>
  <sheetFormatPr baseColWidth="8" defaultRowHeight="15"/>
  <cols>
    <col width="1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ht="28" customHeight="1">
      <c r="A1" s="1" t="inlineStr">
        <is>
          <t>CASH FLOWS</t>
        </is>
      </c>
    </row>
    <row r="2">
      <c r="A2" s="2" t="inlineStr">
        <is>
          <t>Every future payment, discounted back to today at the yield</t>
        </is>
      </c>
    </row>
    <row r="3">
      <c r="A3" s="3" t="inlineStr">
        <is>
          <t>Government Bond Analyzer  -  v1.0</t>
        </is>
      </c>
    </row>
    <row r="5">
      <c r="A5" s="4" t="inlineStr">
        <is>
          <t>Inputs</t>
        </is>
      </c>
      <c r="B5" s="4" t="inlineStr">
        <is>
          <t>Price &amp; Yield</t>
        </is>
      </c>
      <c r="C5" s="4" t="inlineStr">
        <is>
          <t>Cash Flows</t>
        </is>
      </c>
      <c r="D5" s="4" t="inlineStr">
        <is>
          <t>Valuation Summary</t>
        </is>
      </c>
      <c r="E5" s="4" t="inlineStr">
        <is>
          <t>Duration &amp; DV01</t>
        </is>
      </c>
      <c r="F5" s="4" t="inlineStr">
        <is>
          <t>Rate Shock</t>
        </is>
      </c>
    </row>
    <row r="6">
      <c r="A6" s="4" t="inlineStr">
        <is>
          <t>Yield Curve</t>
        </is>
      </c>
      <c r="B6" s="4" t="inlineStr">
        <is>
          <t>Investment Attractiveness</t>
        </is>
      </c>
      <c r="C6" s="4" t="inlineStr">
        <is>
          <t>Recommendation</t>
        </is>
      </c>
      <c r="D6" s="4" t="inlineStr">
        <is>
          <t>Explanations</t>
        </is>
      </c>
      <c r="E6" s="4" t="inlineStr">
        <is>
          <t>Quality Check</t>
        </is>
      </c>
      <c r="F6" s="4" t="inlineStr">
        <is>
          <t>Limitations</t>
        </is>
      </c>
    </row>
    <row r="7" ht="16" customHeight="1">
      <c r="A7" s="5" t="inlineStr">
        <is>
          <t>How to read this sheet</t>
        </is>
      </c>
    </row>
    <row r="8" ht="25" customHeight="1">
      <c r="A8" s="6" t="inlineStr">
        <is>
          <t>A bond's value is simply the present value (PV) of all its future cash flows - the coupons plus the principal repaid at maturity. Each payment is discounted back to today at the yield.</t>
        </is>
      </c>
    </row>
    <row r="9" ht="14" customHeight="1">
      <c r="A9" s="6" t="inlineStr">
        <is>
          <t>For a zero-coupon bond there is only ONE cash flow: the principal at maturity.</t>
        </is>
      </c>
    </row>
    <row r="10" ht="14" customHeight="1">
      <c r="A10" s="6" t="inlineStr">
        <is>
          <t>Only payments AFTER settlement are shown. The PVs add up to the DIRTY price - the engine behind the price.</t>
        </is>
      </c>
    </row>
    <row r="13" ht="18" customHeight="1">
      <c r="A13" s="12" t="inlineStr">
        <is>
          <t>Schedule parameters (auto)</t>
        </is>
      </c>
    </row>
    <row r="14">
      <c r="A14" s="7" t="inlineStr">
        <is>
          <t>Remaining payments</t>
        </is>
      </c>
      <c r="B14" s="20">
        <f>IF(IsZero=1,1,COUPNUM(Settle,Maturity,Freq,Basis))</f>
        <v/>
      </c>
      <c r="D14" s="11" t="inlineStr">
        <is>
          <t>Number of future payments (capped at 62 rows).</t>
        </is>
      </c>
    </row>
    <row r="15">
      <c r="A15" s="7" t="inlineStr">
        <is>
          <t>Next payment date</t>
        </is>
      </c>
      <c r="B15" s="36">
        <f>IF(IsZero=1,Maturity,COUPNCD(Settle,Maturity,Freq,Basis))</f>
        <v/>
      </c>
    </row>
    <row r="16">
      <c r="A16" s="7" t="inlineStr">
        <is>
          <t>Fraction of 1st period left</t>
        </is>
      </c>
      <c r="B16" s="37">
        <f>IF(IsZero=1,YearsToMat,COUPDAYSNC(Settle,Maturity,Freq,Basis)/COUPDAYS(Settle,Maturity,Freq,Basis))</f>
        <v/>
      </c>
    </row>
    <row r="18" ht="24" customHeight="1">
      <c r="A18" s="32" t="inlineStr">
        <is>
          <t>Payment #</t>
        </is>
      </c>
      <c r="B18" s="33" t="inlineStr">
        <is>
          <t>Payment date</t>
        </is>
      </c>
      <c r="C18" s="33" t="inlineStr">
        <is>
          <t>Coupon CF</t>
        </is>
      </c>
      <c r="D18" s="33" t="inlineStr">
        <is>
          <t>Principal CF</t>
        </is>
      </c>
      <c r="E18" s="33" t="inlineStr">
        <is>
          <t>Total CF</t>
        </is>
      </c>
      <c r="F18" s="33" t="inlineStr">
        <is>
          <t>Time (years)</t>
        </is>
      </c>
      <c r="G18" s="33" t="inlineStr">
        <is>
          <t>Discount factor</t>
        </is>
      </c>
      <c r="H18" s="33" t="inlineStr">
        <is>
          <t>PV of CF</t>
        </is>
      </c>
      <c r="I18" s="33" t="inlineStr">
        <is>
          <t>Convexity term</t>
        </is>
      </c>
      <c r="J18" s="33" t="inlineStr">
        <is>
          <t>Time x PV</t>
        </is>
      </c>
    </row>
    <row r="19">
      <c r="A19" s="20">
        <f>IF(1&gt;Ncoup,"",1)</f>
        <v/>
      </c>
      <c r="B19" s="36">
        <f>IF(1&gt;Ncoup,"",EDATE(Ncd,(12/Freq)*(1-1)))</f>
        <v/>
      </c>
      <c r="C19" s="31">
        <f>IF(1&gt;Ncoup,"",IF(IsZero=1,0,CouponRate/Freq*Face))</f>
        <v/>
      </c>
      <c r="D19" s="31">
        <f>IF(1&gt;Ncoup,"",IF(1=Ncoup,Face,0))</f>
        <v/>
      </c>
      <c r="E19" s="31">
        <f>IF(1&gt;Ncoup,"",$C$19+$D$19)</f>
        <v/>
      </c>
      <c r="F19" s="38">
        <f>IF(1&gt;Ncoup,"",((1-1)+Wfrac)/Freq)</f>
        <v/>
      </c>
      <c r="G19" s="37">
        <f>IF(1&gt;Ncoup,"",1/(1+YTM/Freq)^((1-1)+Wfrac))</f>
        <v/>
      </c>
      <c r="H19" s="31">
        <f>IF(1&gt;Ncoup,"",$E$19*$G$19)</f>
        <v/>
      </c>
      <c r="I19" s="37">
        <f>IF(1&gt;Ncoup,"",$E$19*((1-1)+Wfrac)*((1-1)+Wfrac+1)/(1+YTM/Freq)^((1-1)+Wfrac+2))</f>
        <v/>
      </c>
      <c r="J19" s="37">
        <f>IF(1&gt;Ncoup,"",$F$19*$H$19)</f>
        <v/>
      </c>
    </row>
    <row r="20">
      <c r="A20" s="20">
        <f>IF(2&gt;Ncoup,"",2)</f>
        <v/>
      </c>
      <c r="B20" s="36">
        <f>IF(2&gt;Ncoup,"",EDATE(Ncd,(12/Freq)*(2-1)))</f>
        <v/>
      </c>
      <c r="C20" s="31">
        <f>IF(2&gt;Ncoup,"",IF(IsZero=1,0,CouponRate/Freq*Face))</f>
        <v/>
      </c>
      <c r="D20" s="31">
        <f>IF(2&gt;Ncoup,"",IF(2=Ncoup,Face,0))</f>
        <v/>
      </c>
      <c r="E20" s="31">
        <f>IF(2&gt;Ncoup,"",$C$20+$D$20)</f>
        <v/>
      </c>
      <c r="F20" s="38">
        <f>IF(2&gt;Ncoup,"",((2-1)+Wfrac)/Freq)</f>
        <v/>
      </c>
      <c r="G20" s="37">
        <f>IF(2&gt;Ncoup,"",1/(1+YTM/Freq)^((2-1)+Wfrac))</f>
        <v/>
      </c>
      <c r="H20" s="31">
        <f>IF(2&gt;Ncoup,"",$E$20*$G$20)</f>
        <v/>
      </c>
      <c r="I20" s="37">
        <f>IF(2&gt;Ncoup,"",$E$20*((2-1)+Wfrac)*((2-1)+Wfrac+1)/(1+YTM/Freq)^((2-1)+Wfrac+2))</f>
        <v/>
      </c>
      <c r="J20" s="37">
        <f>IF(2&gt;Ncoup,"",$F$20*$H$20)</f>
        <v/>
      </c>
    </row>
    <row r="21">
      <c r="A21" s="20">
        <f>IF(3&gt;Ncoup,"",3)</f>
        <v/>
      </c>
      <c r="B21" s="36">
        <f>IF(3&gt;Ncoup,"",EDATE(Ncd,(12/Freq)*(3-1)))</f>
        <v/>
      </c>
      <c r="C21" s="31">
        <f>IF(3&gt;Ncoup,"",IF(IsZero=1,0,CouponRate/Freq*Face))</f>
        <v/>
      </c>
      <c r="D21" s="31">
        <f>IF(3&gt;Ncoup,"",IF(3=Ncoup,Face,0))</f>
        <v/>
      </c>
      <c r="E21" s="31">
        <f>IF(3&gt;Ncoup,"",$C$21+$D$21)</f>
        <v/>
      </c>
      <c r="F21" s="38">
        <f>IF(3&gt;Ncoup,"",((3-1)+Wfrac)/Freq)</f>
        <v/>
      </c>
      <c r="G21" s="37">
        <f>IF(3&gt;Ncoup,"",1/(1+YTM/Freq)^((3-1)+Wfrac))</f>
        <v/>
      </c>
      <c r="H21" s="31">
        <f>IF(3&gt;Ncoup,"",$E$21*$G$21)</f>
        <v/>
      </c>
      <c r="I21" s="37">
        <f>IF(3&gt;Ncoup,"",$E$21*((3-1)+Wfrac)*((3-1)+Wfrac+1)/(1+YTM/Freq)^((3-1)+Wfrac+2))</f>
        <v/>
      </c>
      <c r="J21" s="37">
        <f>IF(3&gt;Ncoup,"",$F$21*$H$21)</f>
        <v/>
      </c>
    </row>
    <row r="22">
      <c r="A22" s="20">
        <f>IF(4&gt;Ncoup,"",4)</f>
        <v/>
      </c>
      <c r="B22" s="36">
        <f>IF(4&gt;Ncoup,"",EDATE(Ncd,(12/Freq)*(4-1)))</f>
        <v/>
      </c>
      <c r="C22" s="31">
        <f>IF(4&gt;Ncoup,"",IF(IsZero=1,0,CouponRate/Freq*Face))</f>
        <v/>
      </c>
      <c r="D22" s="31">
        <f>IF(4&gt;Ncoup,"",IF(4=Ncoup,Face,0))</f>
        <v/>
      </c>
      <c r="E22" s="31">
        <f>IF(4&gt;Ncoup,"",$C$22+$D$22)</f>
        <v/>
      </c>
      <c r="F22" s="38">
        <f>IF(4&gt;Ncoup,"",((4-1)+Wfrac)/Freq)</f>
        <v/>
      </c>
      <c r="G22" s="37">
        <f>IF(4&gt;Ncoup,"",1/(1+YTM/Freq)^((4-1)+Wfrac))</f>
        <v/>
      </c>
      <c r="H22" s="31">
        <f>IF(4&gt;Ncoup,"",$E$22*$G$22)</f>
        <v/>
      </c>
      <c r="I22" s="37">
        <f>IF(4&gt;Ncoup,"",$E$22*((4-1)+Wfrac)*((4-1)+Wfrac+1)/(1+YTM/Freq)^((4-1)+Wfrac+2))</f>
        <v/>
      </c>
      <c r="J22" s="37">
        <f>IF(4&gt;Ncoup,"",$F$22*$H$22)</f>
        <v/>
      </c>
    </row>
    <row r="23">
      <c r="A23" s="20">
        <f>IF(5&gt;Ncoup,"",5)</f>
        <v/>
      </c>
      <c r="B23" s="36">
        <f>IF(5&gt;Ncoup,"",EDATE(Ncd,(12/Freq)*(5-1)))</f>
        <v/>
      </c>
      <c r="C23" s="31">
        <f>IF(5&gt;Ncoup,"",IF(IsZero=1,0,CouponRate/Freq*Face))</f>
        <v/>
      </c>
      <c r="D23" s="31">
        <f>IF(5&gt;Ncoup,"",IF(5=Ncoup,Face,0))</f>
        <v/>
      </c>
      <c r="E23" s="31">
        <f>IF(5&gt;Ncoup,"",$C$23+$D$23)</f>
        <v/>
      </c>
      <c r="F23" s="38">
        <f>IF(5&gt;Ncoup,"",((5-1)+Wfrac)/Freq)</f>
        <v/>
      </c>
      <c r="G23" s="37">
        <f>IF(5&gt;Ncoup,"",1/(1+YTM/Freq)^((5-1)+Wfrac))</f>
        <v/>
      </c>
      <c r="H23" s="31">
        <f>IF(5&gt;Ncoup,"",$E$23*$G$23)</f>
        <v/>
      </c>
      <c r="I23" s="37">
        <f>IF(5&gt;Ncoup,"",$E$23*((5-1)+Wfrac)*((5-1)+Wfrac+1)/(1+YTM/Freq)^((5-1)+Wfrac+2))</f>
        <v/>
      </c>
      <c r="J23" s="37">
        <f>IF(5&gt;Ncoup,"",$F$23*$H$23)</f>
        <v/>
      </c>
    </row>
    <row r="24">
      <c r="A24" s="20">
        <f>IF(6&gt;Ncoup,"",6)</f>
        <v/>
      </c>
      <c r="B24" s="36">
        <f>IF(6&gt;Ncoup,"",EDATE(Ncd,(12/Freq)*(6-1)))</f>
        <v/>
      </c>
      <c r="C24" s="31">
        <f>IF(6&gt;Ncoup,"",IF(IsZero=1,0,CouponRate/Freq*Face))</f>
        <v/>
      </c>
      <c r="D24" s="31">
        <f>IF(6&gt;Ncoup,"",IF(6=Ncoup,Face,0))</f>
        <v/>
      </c>
      <c r="E24" s="31">
        <f>IF(6&gt;Ncoup,"",$C$24+$D$24)</f>
        <v/>
      </c>
      <c r="F24" s="38">
        <f>IF(6&gt;Ncoup,"",((6-1)+Wfrac)/Freq)</f>
        <v/>
      </c>
      <c r="G24" s="37">
        <f>IF(6&gt;Ncoup,"",1/(1+YTM/Freq)^((6-1)+Wfrac))</f>
        <v/>
      </c>
      <c r="H24" s="31">
        <f>IF(6&gt;Ncoup,"",$E$24*$G$24)</f>
        <v/>
      </c>
      <c r="I24" s="37">
        <f>IF(6&gt;Ncoup,"",$E$24*((6-1)+Wfrac)*((6-1)+Wfrac+1)/(1+YTM/Freq)^((6-1)+Wfrac+2))</f>
        <v/>
      </c>
      <c r="J24" s="37">
        <f>IF(6&gt;Ncoup,"",$F$24*$H$24)</f>
        <v/>
      </c>
    </row>
    <row r="25">
      <c r="A25" s="20">
        <f>IF(7&gt;Ncoup,"",7)</f>
        <v/>
      </c>
      <c r="B25" s="36">
        <f>IF(7&gt;Ncoup,"",EDATE(Ncd,(12/Freq)*(7-1)))</f>
        <v/>
      </c>
      <c r="C25" s="31">
        <f>IF(7&gt;Ncoup,"",IF(IsZero=1,0,CouponRate/Freq*Face))</f>
        <v/>
      </c>
      <c r="D25" s="31">
        <f>IF(7&gt;Ncoup,"",IF(7=Ncoup,Face,0))</f>
        <v/>
      </c>
      <c r="E25" s="31">
        <f>IF(7&gt;Ncoup,"",$C$25+$D$25)</f>
        <v/>
      </c>
      <c r="F25" s="38">
        <f>IF(7&gt;Ncoup,"",((7-1)+Wfrac)/Freq)</f>
        <v/>
      </c>
      <c r="G25" s="37">
        <f>IF(7&gt;Ncoup,"",1/(1+YTM/Freq)^((7-1)+Wfrac))</f>
        <v/>
      </c>
      <c r="H25" s="31">
        <f>IF(7&gt;Ncoup,"",$E$25*$G$25)</f>
        <v/>
      </c>
      <c r="I25" s="37">
        <f>IF(7&gt;Ncoup,"",$E$25*((7-1)+Wfrac)*((7-1)+Wfrac+1)/(1+YTM/Freq)^((7-1)+Wfrac+2))</f>
        <v/>
      </c>
      <c r="J25" s="37">
        <f>IF(7&gt;Ncoup,"",$F$25*$H$25)</f>
        <v/>
      </c>
    </row>
    <row r="26">
      <c r="A26" s="20">
        <f>IF(8&gt;Ncoup,"",8)</f>
        <v/>
      </c>
      <c r="B26" s="36">
        <f>IF(8&gt;Ncoup,"",EDATE(Ncd,(12/Freq)*(8-1)))</f>
        <v/>
      </c>
      <c r="C26" s="31">
        <f>IF(8&gt;Ncoup,"",IF(IsZero=1,0,CouponRate/Freq*Face))</f>
        <v/>
      </c>
      <c r="D26" s="31">
        <f>IF(8&gt;Ncoup,"",IF(8=Ncoup,Face,0))</f>
        <v/>
      </c>
      <c r="E26" s="31">
        <f>IF(8&gt;Ncoup,"",$C$26+$D$26)</f>
        <v/>
      </c>
      <c r="F26" s="38">
        <f>IF(8&gt;Ncoup,"",((8-1)+Wfrac)/Freq)</f>
        <v/>
      </c>
      <c r="G26" s="37">
        <f>IF(8&gt;Ncoup,"",1/(1+YTM/Freq)^((8-1)+Wfrac))</f>
        <v/>
      </c>
      <c r="H26" s="31">
        <f>IF(8&gt;Ncoup,"",$E$26*$G$26)</f>
        <v/>
      </c>
      <c r="I26" s="37">
        <f>IF(8&gt;Ncoup,"",$E$26*((8-1)+Wfrac)*((8-1)+Wfrac+1)/(1+YTM/Freq)^((8-1)+Wfrac+2))</f>
        <v/>
      </c>
      <c r="J26" s="37">
        <f>IF(8&gt;Ncoup,"",$F$26*$H$26)</f>
        <v/>
      </c>
    </row>
    <row r="27">
      <c r="A27" s="20">
        <f>IF(9&gt;Ncoup,"",9)</f>
        <v/>
      </c>
      <c r="B27" s="36">
        <f>IF(9&gt;Ncoup,"",EDATE(Ncd,(12/Freq)*(9-1)))</f>
        <v/>
      </c>
      <c r="C27" s="31">
        <f>IF(9&gt;Ncoup,"",IF(IsZero=1,0,CouponRate/Freq*Face))</f>
        <v/>
      </c>
      <c r="D27" s="31">
        <f>IF(9&gt;Ncoup,"",IF(9=Ncoup,Face,0))</f>
        <v/>
      </c>
      <c r="E27" s="31">
        <f>IF(9&gt;Ncoup,"",$C$27+$D$27)</f>
        <v/>
      </c>
      <c r="F27" s="38">
        <f>IF(9&gt;Ncoup,"",((9-1)+Wfrac)/Freq)</f>
        <v/>
      </c>
      <c r="G27" s="37">
        <f>IF(9&gt;Ncoup,"",1/(1+YTM/Freq)^((9-1)+Wfrac))</f>
        <v/>
      </c>
      <c r="H27" s="31">
        <f>IF(9&gt;Ncoup,"",$E$27*$G$27)</f>
        <v/>
      </c>
      <c r="I27" s="37">
        <f>IF(9&gt;Ncoup,"",$E$27*((9-1)+Wfrac)*((9-1)+Wfrac+1)/(1+YTM/Freq)^((9-1)+Wfrac+2))</f>
        <v/>
      </c>
      <c r="J27" s="37">
        <f>IF(9&gt;Ncoup,"",$F$27*$H$27)</f>
        <v/>
      </c>
    </row>
    <row r="28">
      <c r="A28" s="20">
        <f>IF(10&gt;Ncoup,"",10)</f>
        <v/>
      </c>
      <c r="B28" s="36">
        <f>IF(10&gt;Ncoup,"",EDATE(Ncd,(12/Freq)*(10-1)))</f>
        <v/>
      </c>
      <c r="C28" s="31">
        <f>IF(10&gt;Ncoup,"",IF(IsZero=1,0,CouponRate/Freq*Face))</f>
        <v/>
      </c>
      <c r="D28" s="31">
        <f>IF(10&gt;Ncoup,"",IF(10=Ncoup,Face,0))</f>
        <v/>
      </c>
      <c r="E28" s="31">
        <f>IF(10&gt;Ncoup,"",$C$28+$D$28)</f>
        <v/>
      </c>
      <c r="F28" s="38">
        <f>IF(10&gt;Ncoup,"",((10-1)+Wfrac)/Freq)</f>
        <v/>
      </c>
      <c r="G28" s="37">
        <f>IF(10&gt;Ncoup,"",1/(1+YTM/Freq)^((10-1)+Wfrac))</f>
        <v/>
      </c>
      <c r="H28" s="31">
        <f>IF(10&gt;Ncoup,"",$E$28*$G$28)</f>
        <v/>
      </c>
      <c r="I28" s="37">
        <f>IF(10&gt;Ncoup,"",$E$28*((10-1)+Wfrac)*((10-1)+Wfrac+1)/(1+YTM/Freq)^((10-1)+Wfrac+2))</f>
        <v/>
      </c>
      <c r="J28" s="37">
        <f>IF(10&gt;Ncoup,"",$F$28*$H$28)</f>
        <v/>
      </c>
    </row>
    <row r="29">
      <c r="A29" s="20">
        <f>IF(11&gt;Ncoup,"",11)</f>
        <v/>
      </c>
      <c r="B29" s="36">
        <f>IF(11&gt;Ncoup,"",EDATE(Ncd,(12/Freq)*(11-1)))</f>
        <v/>
      </c>
      <c r="C29" s="31">
        <f>IF(11&gt;Ncoup,"",IF(IsZero=1,0,CouponRate/Freq*Face))</f>
        <v/>
      </c>
      <c r="D29" s="31">
        <f>IF(11&gt;Ncoup,"",IF(11=Ncoup,Face,0))</f>
        <v/>
      </c>
      <c r="E29" s="31">
        <f>IF(11&gt;Ncoup,"",$C$29+$D$29)</f>
        <v/>
      </c>
      <c r="F29" s="38">
        <f>IF(11&gt;Ncoup,"",((11-1)+Wfrac)/Freq)</f>
        <v/>
      </c>
      <c r="G29" s="37">
        <f>IF(11&gt;Ncoup,"",1/(1+YTM/Freq)^((11-1)+Wfrac))</f>
        <v/>
      </c>
      <c r="H29" s="31">
        <f>IF(11&gt;Ncoup,"",$E$29*$G$29)</f>
        <v/>
      </c>
      <c r="I29" s="37">
        <f>IF(11&gt;Ncoup,"",$E$29*((11-1)+Wfrac)*((11-1)+Wfrac+1)/(1+YTM/Freq)^((11-1)+Wfrac+2))</f>
        <v/>
      </c>
      <c r="J29" s="37">
        <f>IF(11&gt;Ncoup,"",$F$29*$H$29)</f>
        <v/>
      </c>
    </row>
    <row r="30">
      <c r="A30" s="20">
        <f>IF(12&gt;Ncoup,"",12)</f>
        <v/>
      </c>
      <c r="B30" s="36">
        <f>IF(12&gt;Ncoup,"",EDATE(Ncd,(12/Freq)*(12-1)))</f>
        <v/>
      </c>
      <c r="C30" s="31">
        <f>IF(12&gt;Ncoup,"",IF(IsZero=1,0,CouponRate/Freq*Face))</f>
        <v/>
      </c>
      <c r="D30" s="31">
        <f>IF(12&gt;Ncoup,"",IF(12=Ncoup,Face,0))</f>
        <v/>
      </c>
      <c r="E30" s="31">
        <f>IF(12&gt;Ncoup,"",$C$30+$D$30)</f>
        <v/>
      </c>
      <c r="F30" s="38">
        <f>IF(12&gt;Ncoup,"",((12-1)+Wfrac)/Freq)</f>
        <v/>
      </c>
      <c r="G30" s="37">
        <f>IF(12&gt;Ncoup,"",1/(1+YTM/Freq)^((12-1)+Wfrac))</f>
        <v/>
      </c>
      <c r="H30" s="31">
        <f>IF(12&gt;Ncoup,"",$E$30*$G$30)</f>
        <v/>
      </c>
      <c r="I30" s="37">
        <f>IF(12&gt;Ncoup,"",$E$30*((12-1)+Wfrac)*((12-1)+Wfrac+1)/(1+YTM/Freq)^((12-1)+Wfrac+2))</f>
        <v/>
      </c>
      <c r="J30" s="37">
        <f>IF(12&gt;Ncoup,"",$F$30*$H$30)</f>
        <v/>
      </c>
    </row>
    <row r="31">
      <c r="A31" s="20">
        <f>IF(13&gt;Ncoup,"",13)</f>
        <v/>
      </c>
      <c r="B31" s="36">
        <f>IF(13&gt;Ncoup,"",EDATE(Ncd,(12/Freq)*(13-1)))</f>
        <v/>
      </c>
      <c r="C31" s="31">
        <f>IF(13&gt;Ncoup,"",IF(IsZero=1,0,CouponRate/Freq*Face))</f>
        <v/>
      </c>
      <c r="D31" s="31">
        <f>IF(13&gt;Ncoup,"",IF(13=Ncoup,Face,0))</f>
        <v/>
      </c>
      <c r="E31" s="31">
        <f>IF(13&gt;Ncoup,"",$C$31+$D$31)</f>
        <v/>
      </c>
      <c r="F31" s="38">
        <f>IF(13&gt;Ncoup,"",((13-1)+Wfrac)/Freq)</f>
        <v/>
      </c>
      <c r="G31" s="37">
        <f>IF(13&gt;Ncoup,"",1/(1+YTM/Freq)^((13-1)+Wfrac))</f>
        <v/>
      </c>
      <c r="H31" s="31">
        <f>IF(13&gt;Ncoup,"",$E$31*$G$31)</f>
        <v/>
      </c>
      <c r="I31" s="37">
        <f>IF(13&gt;Ncoup,"",$E$31*((13-1)+Wfrac)*((13-1)+Wfrac+1)/(1+YTM/Freq)^((13-1)+Wfrac+2))</f>
        <v/>
      </c>
      <c r="J31" s="37">
        <f>IF(13&gt;Ncoup,"",$F$31*$H$31)</f>
        <v/>
      </c>
    </row>
    <row r="32">
      <c r="A32" s="20">
        <f>IF(14&gt;Ncoup,"",14)</f>
        <v/>
      </c>
      <c r="B32" s="36">
        <f>IF(14&gt;Ncoup,"",EDATE(Ncd,(12/Freq)*(14-1)))</f>
        <v/>
      </c>
      <c r="C32" s="31">
        <f>IF(14&gt;Ncoup,"",IF(IsZero=1,0,CouponRate/Freq*Face))</f>
        <v/>
      </c>
      <c r="D32" s="31">
        <f>IF(14&gt;Ncoup,"",IF(14=Ncoup,Face,0))</f>
        <v/>
      </c>
      <c r="E32" s="31">
        <f>IF(14&gt;Ncoup,"",$C$32+$D$32)</f>
        <v/>
      </c>
      <c r="F32" s="38">
        <f>IF(14&gt;Ncoup,"",((14-1)+Wfrac)/Freq)</f>
        <v/>
      </c>
      <c r="G32" s="37">
        <f>IF(14&gt;Ncoup,"",1/(1+YTM/Freq)^((14-1)+Wfrac))</f>
        <v/>
      </c>
      <c r="H32" s="31">
        <f>IF(14&gt;Ncoup,"",$E$32*$G$32)</f>
        <v/>
      </c>
      <c r="I32" s="37">
        <f>IF(14&gt;Ncoup,"",$E$32*((14-1)+Wfrac)*((14-1)+Wfrac+1)/(1+YTM/Freq)^((14-1)+Wfrac+2))</f>
        <v/>
      </c>
      <c r="J32" s="37">
        <f>IF(14&gt;Ncoup,"",$F$32*$H$32)</f>
        <v/>
      </c>
    </row>
    <row r="33">
      <c r="A33" s="20">
        <f>IF(15&gt;Ncoup,"",15)</f>
        <v/>
      </c>
      <c r="B33" s="36">
        <f>IF(15&gt;Ncoup,"",EDATE(Ncd,(12/Freq)*(15-1)))</f>
        <v/>
      </c>
      <c r="C33" s="31">
        <f>IF(15&gt;Ncoup,"",IF(IsZero=1,0,CouponRate/Freq*Face))</f>
        <v/>
      </c>
      <c r="D33" s="31">
        <f>IF(15&gt;Ncoup,"",IF(15=Ncoup,Face,0))</f>
        <v/>
      </c>
      <c r="E33" s="31">
        <f>IF(15&gt;Ncoup,"",$C$33+$D$33)</f>
        <v/>
      </c>
      <c r="F33" s="38">
        <f>IF(15&gt;Ncoup,"",((15-1)+Wfrac)/Freq)</f>
        <v/>
      </c>
      <c r="G33" s="37">
        <f>IF(15&gt;Ncoup,"",1/(1+YTM/Freq)^((15-1)+Wfrac))</f>
        <v/>
      </c>
      <c r="H33" s="31">
        <f>IF(15&gt;Ncoup,"",$E$33*$G$33)</f>
        <v/>
      </c>
      <c r="I33" s="37">
        <f>IF(15&gt;Ncoup,"",$E$33*((15-1)+Wfrac)*((15-1)+Wfrac+1)/(1+YTM/Freq)^((15-1)+Wfrac+2))</f>
        <v/>
      </c>
      <c r="J33" s="37">
        <f>IF(15&gt;Ncoup,"",$F$33*$H$33)</f>
        <v/>
      </c>
    </row>
    <row r="34">
      <c r="A34" s="20">
        <f>IF(16&gt;Ncoup,"",16)</f>
        <v/>
      </c>
      <c r="B34" s="36">
        <f>IF(16&gt;Ncoup,"",EDATE(Ncd,(12/Freq)*(16-1)))</f>
        <v/>
      </c>
      <c r="C34" s="31">
        <f>IF(16&gt;Ncoup,"",IF(IsZero=1,0,CouponRate/Freq*Face))</f>
        <v/>
      </c>
      <c r="D34" s="31">
        <f>IF(16&gt;Ncoup,"",IF(16=Ncoup,Face,0))</f>
        <v/>
      </c>
      <c r="E34" s="31">
        <f>IF(16&gt;Ncoup,"",$C$34+$D$34)</f>
        <v/>
      </c>
      <c r="F34" s="38">
        <f>IF(16&gt;Ncoup,"",((16-1)+Wfrac)/Freq)</f>
        <v/>
      </c>
      <c r="G34" s="37">
        <f>IF(16&gt;Ncoup,"",1/(1+YTM/Freq)^((16-1)+Wfrac))</f>
        <v/>
      </c>
      <c r="H34" s="31">
        <f>IF(16&gt;Ncoup,"",$E$34*$G$34)</f>
        <v/>
      </c>
      <c r="I34" s="37">
        <f>IF(16&gt;Ncoup,"",$E$34*((16-1)+Wfrac)*((16-1)+Wfrac+1)/(1+YTM/Freq)^((16-1)+Wfrac+2))</f>
        <v/>
      </c>
      <c r="J34" s="37">
        <f>IF(16&gt;Ncoup,"",$F$34*$H$34)</f>
        <v/>
      </c>
    </row>
    <row r="35">
      <c r="A35" s="20">
        <f>IF(17&gt;Ncoup,"",17)</f>
        <v/>
      </c>
      <c r="B35" s="36">
        <f>IF(17&gt;Ncoup,"",EDATE(Ncd,(12/Freq)*(17-1)))</f>
        <v/>
      </c>
      <c r="C35" s="31">
        <f>IF(17&gt;Ncoup,"",IF(IsZero=1,0,CouponRate/Freq*Face))</f>
        <v/>
      </c>
      <c r="D35" s="31">
        <f>IF(17&gt;Ncoup,"",IF(17=Ncoup,Face,0))</f>
        <v/>
      </c>
      <c r="E35" s="31">
        <f>IF(17&gt;Ncoup,"",$C$35+$D$35)</f>
        <v/>
      </c>
      <c r="F35" s="38">
        <f>IF(17&gt;Ncoup,"",((17-1)+Wfrac)/Freq)</f>
        <v/>
      </c>
      <c r="G35" s="37">
        <f>IF(17&gt;Ncoup,"",1/(1+YTM/Freq)^((17-1)+Wfrac))</f>
        <v/>
      </c>
      <c r="H35" s="31">
        <f>IF(17&gt;Ncoup,"",$E$35*$G$35)</f>
        <v/>
      </c>
      <c r="I35" s="37">
        <f>IF(17&gt;Ncoup,"",$E$35*((17-1)+Wfrac)*((17-1)+Wfrac+1)/(1+YTM/Freq)^((17-1)+Wfrac+2))</f>
        <v/>
      </c>
      <c r="J35" s="37">
        <f>IF(17&gt;Ncoup,"",$F$35*$H$35)</f>
        <v/>
      </c>
    </row>
    <row r="36">
      <c r="A36" s="20">
        <f>IF(18&gt;Ncoup,"",18)</f>
        <v/>
      </c>
      <c r="B36" s="36">
        <f>IF(18&gt;Ncoup,"",EDATE(Ncd,(12/Freq)*(18-1)))</f>
        <v/>
      </c>
      <c r="C36" s="31">
        <f>IF(18&gt;Ncoup,"",IF(IsZero=1,0,CouponRate/Freq*Face))</f>
        <v/>
      </c>
      <c r="D36" s="31">
        <f>IF(18&gt;Ncoup,"",IF(18=Ncoup,Face,0))</f>
        <v/>
      </c>
      <c r="E36" s="31">
        <f>IF(18&gt;Ncoup,"",$C$36+$D$36)</f>
        <v/>
      </c>
      <c r="F36" s="38">
        <f>IF(18&gt;Ncoup,"",((18-1)+Wfrac)/Freq)</f>
        <v/>
      </c>
      <c r="G36" s="37">
        <f>IF(18&gt;Ncoup,"",1/(1+YTM/Freq)^((18-1)+Wfrac))</f>
        <v/>
      </c>
      <c r="H36" s="31">
        <f>IF(18&gt;Ncoup,"",$E$36*$G$36)</f>
        <v/>
      </c>
      <c r="I36" s="37">
        <f>IF(18&gt;Ncoup,"",$E$36*((18-1)+Wfrac)*((18-1)+Wfrac+1)/(1+YTM/Freq)^((18-1)+Wfrac+2))</f>
        <v/>
      </c>
      <c r="J36" s="37">
        <f>IF(18&gt;Ncoup,"",$F$36*$H$36)</f>
        <v/>
      </c>
    </row>
    <row r="37">
      <c r="A37" s="20">
        <f>IF(19&gt;Ncoup,"",19)</f>
        <v/>
      </c>
      <c r="B37" s="36">
        <f>IF(19&gt;Ncoup,"",EDATE(Ncd,(12/Freq)*(19-1)))</f>
        <v/>
      </c>
      <c r="C37" s="31">
        <f>IF(19&gt;Ncoup,"",IF(IsZero=1,0,CouponRate/Freq*Face))</f>
        <v/>
      </c>
      <c r="D37" s="31">
        <f>IF(19&gt;Ncoup,"",IF(19=Ncoup,Face,0))</f>
        <v/>
      </c>
      <c r="E37" s="31">
        <f>IF(19&gt;Ncoup,"",$C$37+$D$37)</f>
        <v/>
      </c>
      <c r="F37" s="38">
        <f>IF(19&gt;Ncoup,"",((19-1)+Wfrac)/Freq)</f>
        <v/>
      </c>
      <c r="G37" s="37">
        <f>IF(19&gt;Ncoup,"",1/(1+YTM/Freq)^((19-1)+Wfrac))</f>
        <v/>
      </c>
      <c r="H37" s="31">
        <f>IF(19&gt;Ncoup,"",$E$37*$G$37)</f>
        <v/>
      </c>
      <c r="I37" s="37">
        <f>IF(19&gt;Ncoup,"",$E$37*((19-1)+Wfrac)*((19-1)+Wfrac+1)/(1+YTM/Freq)^((19-1)+Wfrac+2))</f>
        <v/>
      </c>
      <c r="J37" s="37">
        <f>IF(19&gt;Ncoup,"",$F$37*$H$37)</f>
        <v/>
      </c>
    </row>
    <row r="38">
      <c r="A38" s="20">
        <f>IF(20&gt;Ncoup,"",20)</f>
        <v/>
      </c>
      <c r="B38" s="36">
        <f>IF(20&gt;Ncoup,"",EDATE(Ncd,(12/Freq)*(20-1)))</f>
        <v/>
      </c>
      <c r="C38" s="31">
        <f>IF(20&gt;Ncoup,"",IF(IsZero=1,0,CouponRate/Freq*Face))</f>
        <v/>
      </c>
      <c r="D38" s="31">
        <f>IF(20&gt;Ncoup,"",IF(20=Ncoup,Face,0))</f>
        <v/>
      </c>
      <c r="E38" s="31">
        <f>IF(20&gt;Ncoup,"",$C$38+$D$38)</f>
        <v/>
      </c>
      <c r="F38" s="38">
        <f>IF(20&gt;Ncoup,"",((20-1)+Wfrac)/Freq)</f>
        <v/>
      </c>
      <c r="G38" s="37">
        <f>IF(20&gt;Ncoup,"",1/(1+YTM/Freq)^((20-1)+Wfrac))</f>
        <v/>
      </c>
      <c r="H38" s="31">
        <f>IF(20&gt;Ncoup,"",$E$38*$G$38)</f>
        <v/>
      </c>
      <c r="I38" s="37">
        <f>IF(20&gt;Ncoup,"",$E$38*((20-1)+Wfrac)*((20-1)+Wfrac+1)/(1+YTM/Freq)^((20-1)+Wfrac+2))</f>
        <v/>
      </c>
      <c r="J38" s="37">
        <f>IF(20&gt;Ncoup,"",$F$38*$H$38)</f>
        <v/>
      </c>
    </row>
    <row r="39">
      <c r="A39" s="20">
        <f>IF(21&gt;Ncoup,"",21)</f>
        <v/>
      </c>
      <c r="B39" s="36">
        <f>IF(21&gt;Ncoup,"",EDATE(Ncd,(12/Freq)*(21-1)))</f>
        <v/>
      </c>
      <c r="C39" s="31">
        <f>IF(21&gt;Ncoup,"",IF(IsZero=1,0,CouponRate/Freq*Face))</f>
        <v/>
      </c>
      <c r="D39" s="31">
        <f>IF(21&gt;Ncoup,"",IF(21=Ncoup,Face,0))</f>
        <v/>
      </c>
      <c r="E39" s="31">
        <f>IF(21&gt;Ncoup,"",$C$39+$D$39)</f>
        <v/>
      </c>
      <c r="F39" s="38">
        <f>IF(21&gt;Ncoup,"",((21-1)+Wfrac)/Freq)</f>
        <v/>
      </c>
      <c r="G39" s="37">
        <f>IF(21&gt;Ncoup,"",1/(1+YTM/Freq)^((21-1)+Wfrac))</f>
        <v/>
      </c>
      <c r="H39" s="31">
        <f>IF(21&gt;Ncoup,"",$E$39*$G$39)</f>
        <v/>
      </c>
      <c r="I39" s="37">
        <f>IF(21&gt;Ncoup,"",$E$39*((21-1)+Wfrac)*((21-1)+Wfrac+1)/(1+YTM/Freq)^((21-1)+Wfrac+2))</f>
        <v/>
      </c>
      <c r="J39" s="37">
        <f>IF(21&gt;Ncoup,"",$F$39*$H$39)</f>
        <v/>
      </c>
    </row>
    <row r="40">
      <c r="A40" s="20">
        <f>IF(22&gt;Ncoup,"",22)</f>
        <v/>
      </c>
      <c r="B40" s="36">
        <f>IF(22&gt;Ncoup,"",EDATE(Ncd,(12/Freq)*(22-1)))</f>
        <v/>
      </c>
      <c r="C40" s="31">
        <f>IF(22&gt;Ncoup,"",IF(IsZero=1,0,CouponRate/Freq*Face))</f>
        <v/>
      </c>
      <c r="D40" s="31">
        <f>IF(22&gt;Ncoup,"",IF(22=Ncoup,Face,0))</f>
        <v/>
      </c>
      <c r="E40" s="31">
        <f>IF(22&gt;Ncoup,"",$C$40+$D$40)</f>
        <v/>
      </c>
      <c r="F40" s="38">
        <f>IF(22&gt;Ncoup,"",((22-1)+Wfrac)/Freq)</f>
        <v/>
      </c>
      <c r="G40" s="37">
        <f>IF(22&gt;Ncoup,"",1/(1+YTM/Freq)^((22-1)+Wfrac))</f>
        <v/>
      </c>
      <c r="H40" s="31">
        <f>IF(22&gt;Ncoup,"",$E$40*$G$40)</f>
        <v/>
      </c>
      <c r="I40" s="37">
        <f>IF(22&gt;Ncoup,"",$E$40*((22-1)+Wfrac)*((22-1)+Wfrac+1)/(1+YTM/Freq)^((22-1)+Wfrac+2))</f>
        <v/>
      </c>
      <c r="J40" s="37">
        <f>IF(22&gt;Ncoup,"",$F$40*$H$40)</f>
        <v/>
      </c>
    </row>
    <row r="41">
      <c r="A41" s="20">
        <f>IF(23&gt;Ncoup,"",23)</f>
        <v/>
      </c>
      <c r="B41" s="36">
        <f>IF(23&gt;Ncoup,"",EDATE(Ncd,(12/Freq)*(23-1)))</f>
        <v/>
      </c>
      <c r="C41" s="31">
        <f>IF(23&gt;Ncoup,"",IF(IsZero=1,0,CouponRate/Freq*Face))</f>
        <v/>
      </c>
      <c r="D41" s="31">
        <f>IF(23&gt;Ncoup,"",IF(23=Ncoup,Face,0))</f>
        <v/>
      </c>
      <c r="E41" s="31">
        <f>IF(23&gt;Ncoup,"",$C$41+$D$41)</f>
        <v/>
      </c>
      <c r="F41" s="38">
        <f>IF(23&gt;Ncoup,"",((23-1)+Wfrac)/Freq)</f>
        <v/>
      </c>
      <c r="G41" s="37">
        <f>IF(23&gt;Ncoup,"",1/(1+YTM/Freq)^((23-1)+Wfrac))</f>
        <v/>
      </c>
      <c r="H41" s="31">
        <f>IF(23&gt;Ncoup,"",$E$41*$G$41)</f>
        <v/>
      </c>
      <c r="I41" s="37">
        <f>IF(23&gt;Ncoup,"",$E$41*((23-1)+Wfrac)*((23-1)+Wfrac+1)/(1+YTM/Freq)^((23-1)+Wfrac+2))</f>
        <v/>
      </c>
      <c r="J41" s="37">
        <f>IF(23&gt;Ncoup,"",$F$41*$H$41)</f>
        <v/>
      </c>
    </row>
    <row r="42">
      <c r="A42" s="20">
        <f>IF(24&gt;Ncoup,"",24)</f>
        <v/>
      </c>
      <c r="B42" s="36">
        <f>IF(24&gt;Ncoup,"",EDATE(Ncd,(12/Freq)*(24-1)))</f>
        <v/>
      </c>
      <c r="C42" s="31">
        <f>IF(24&gt;Ncoup,"",IF(IsZero=1,0,CouponRate/Freq*Face))</f>
        <v/>
      </c>
      <c r="D42" s="31">
        <f>IF(24&gt;Ncoup,"",IF(24=Ncoup,Face,0))</f>
        <v/>
      </c>
      <c r="E42" s="31">
        <f>IF(24&gt;Ncoup,"",$C$42+$D$42)</f>
        <v/>
      </c>
      <c r="F42" s="38">
        <f>IF(24&gt;Ncoup,"",((24-1)+Wfrac)/Freq)</f>
        <v/>
      </c>
      <c r="G42" s="37">
        <f>IF(24&gt;Ncoup,"",1/(1+YTM/Freq)^((24-1)+Wfrac))</f>
        <v/>
      </c>
      <c r="H42" s="31">
        <f>IF(24&gt;Ncoup,"",$E$42*$G$42)</f>
        <v/>
      </c>
      <c r="I42" s="37">
        <f>IF(24&gt;Ncoup,"",$E$42*((24-1)+Wfrac)*((24-1)+Wfrac+1)/(1+YTM/Freq)^((24-1)+Wfrac+2))</f>
        <v/>
      </c>
      <c r="J42" s="37">
        <f>IF(24&gt;Ncoup,"",$F$42*$H$42)</f>
        <v/>
      </c>
    </row>
    <row r="43">
      <c r="A43" s="20">
        <f>IF(25&gt;Ncoup,"",25)</f>
        <v/>
      </c>
      <c r="B43" s="36">
        <f>IF(25&gt;Ncoup,"",EDATE(Ncd,(12/Freq)*(25-1)))</f>
        <v/>
      </c>
      <c r="C43" s="31">
        <f>IF(25&gt;Ncoup,"",IF(IsZero=1,0,CouponRate/Freq*Face))</f>
        <v/>
      </c>
      <c r="D43" s="31">
        <f>IF(25&gt;Ncoup,"",IF(25=Ncoup,Face,0))</f>
        <v/>
      </c>
      <c r="E43" s="31">
        <f>IF(25&gt;Ncoup,"",$C$43+$D$43)</f>
        <v/>
      </c>
      <c r="F43" s="38">
        <f>IF(25&gt;Ncoup,"",((25-1)+Wfrac)/Freq)</f>
        <v/>
      </c>
      <c r="G43" s="37">
        <f>IF(25&gt;Ncoup,"",1/(1+YTM/Freq)^((25-1)+Wfrac))</f>
        <v/>
      </c>
      <c r="H43" s="31">
        <f>IF(25&gt;Ncoup,"",$E$43*$G$43)</f>
        <v/>
      </c>
      <c r="I43" s="37">
        <f>IF(25&gt;Ncoup,"",$E$43*((25-1)+Wfrac)*((25-1)+Wfrac+1)/(1+YTM/Freq)^((25-1)+Wfrac+2))</f>
        <v/>
      </c>
      <c r="J43" s="37">
        <f>IF(25&gt;Ncoup,"",$F$43*$H$43)</f>
        <v/>
      </c>
    </row>
    <row r="44">
      <c r="A44" s="20">
        <f>IF(26&gt;Ncoup,"",26)</f>
        <v/>
      </c>
      <c r="B44" s="36">
        <f>IF(26&gt;Ncoup,"",EDATE(Ncd,(12/Freq)*(26-1)))</f>
        <v/>
      </c>
      <c r="C44" s="31">
        <f>IF(26&gt;Ncoup,"",IF(IsZero=1,0,CouponRate/Freq*Face))</f>
        <v/>
      </c>
      <c r="D44" s="31">
        <f>IF(26&gt;Ncoup,"",IF(26=Ncoup,Face,0))</f>
        <v/>
      </c>
      <c r="E44" s="31">
        <f>IF(26&gt;Ncoup,"",$C$44+$D$44)</f>
        <v/>
      </c>
      <c r="F44" s="38">
        <f>IF(26&gt;Ncoup,"",((26-1)+Wfrac)/Freq)</f>
        <v/>
      </c>
      <c r="G44" s="37">
        <f>IF(26&gt;Ncoup,"",1/(1+YTM/Freq)^((26-1)+Wfrac))</f>
        <v/>
      </c>
      <c r="H44" s="31">
        <f>IF(26&gt;Ncoup,"",$E$44*$G$44)</f>
        <v/>
      </c>
      <c r="I44" s="37">
        <f>IF(26&gt;Ncoup,"",$E$44*((26-1)+Wfrac)*((26-1)+Wfrac+1)/(1+YTM/Freq)^((26-1)+Wfrac+2))</f>
        <v/>
      </c>
      <c r="J44" s="37">
        <f>IF(26&gt;Ncoup,"",$F$44*$H$44)</f>
        <v/>
      </c>
    </row>
    <row r="45">
      <c r="A45" s="20">
        <f>IF(27&gt;Ncoup,"",27)</f>
        <v/>
      </c>
      <c r="B45" s="36">
        <f>IF(27&gt;Ncoup,"",EDATE(Ncd,(12/Freq)*(27-1)))</f>
        <v/>
      </c>
      <c r="C45" s="31">
        <f>IF(27&gt;Ncoup,"",IF(IsZero=1,0,CouponRate/Freq*Face))</f>
        <v/>
      </c>
      <c r="D45" s="31">
        <f>IF(27&gt;Ncoup,"",IF(27=Ncoup,Face,0))</f>
        <v/>
      </c>
      <c r="E45" s="31">
        <f>IF(27&gt;Ncoup,"",$C$45+$D$45)</f>
        <v/>
      </c>
      <c r="F45" s="38">
        <f>IF(27&gt;Ncoup,"",((27-1)+Wfrac)/Freq)</f>
        <v/>
      </c>
      <c r="G45" s="37">
        <f>IF(27&gt;Ncoup,"",1/(1+YTM/Freq)^((27-1)+Wfrac))</f>
        <v/>
      </c>
      <c r="H45" s="31">
        <f>IF(27&gt;Ncoup,"",$E$45*$G$45)</f>
        <v/>
      </c>
      <c r="I45" s="37">
        <f>IF(27&gt;Ncoup,"",$E$45*((27-1)+Wfrac)*((27-1)+Wfrac+1)/(1+YTM/Freq)^((27-1)+Wfrac+2))</f>
        <v/>
      </c>
      <c r="J45" s="37">
        <f>IF(27&gt;Ncoup,"",$F$45*$H$45)</f>
        <v/>
      </c>
    </row>
    <row r="46">
      <c r="A46" s="20">
        <f>IF(28&gt;Ncoup,"",28)</f>
        <v/>
      </c>
      <c r="B46" s="36">
        <f>IF(28&gt;Ncoup,"",EDATE(Ncd,(12/Freq)*(28-1)))</f>
        <v/>
      </c>
      <c r="C46" s="31">
        <f>IF(28&gt;Ncoup,"",IF(IsZero=1,0,CouponRate/Freq*Face))</f>
        <v/>
      </c>
      <c r="D46" s="31">
        <f>IF(28&gt;Ncoup,"",IF(28=Ncoup,Face,0))</f>
        <v/>
      </c>
      <c r="E46" s="31">
        <f>IF(28&gt;Ncoup,"",$C$46+$D$46)</f>
        <v/>
      </c>
      <c r="F46" s="38">
        <f>IF(28&gt;Ncoup,"",((28-1)+Wfrac)/Freq)</f>
        <v/>
      </c>
      <c r="G46" s="37">
        <f>IF(28&gt;Ncoup,"",1/(1+YTM/Freq)^((28-1)+Wfrac))</f>
        <v/>
      </c>
      <c r="H46" s="31">
        <f>IF(28&gt;Ncoup,"",$E$46*$G$46)</f>
        <v/>
      </c>
      <c r="I46" s="37">
        <f>IF(28&gt;Ncoup,"",$E$46*((28-1)+Wfrac)*((28-1)+Wfrac+1)/(1+YTM/Freq)^((28-1)+Wfrac+2))</f>
        <v/>
      </c>
      <c r="J46" s="37">
        <f>IF(28&gt;Ncoup,"",$F$46*$H$46)</f>
        <v/>
      </c>
    </row>
    <row r="47">
      <c r="A47" s="20">
        <f>IF(29&gt;Ncoup,"",29)</f>
        <v/>
      </c>
      <c r="B47" s="36">
        <f>IF(29&gt;Ncoup,"",EDATE(Ncd,(12/Freq)*(29-1)))</f>
        <v/>
      </c>
      <c r="C47" s="31">
        <f>IF(29&gt;Ncoup,"",IF(IsZero=1,0,CouponRate/Freq*Face))</f>
        <v/>
      </c>
      <c r="D47" s="31">
        <f>IF(29&gt;Ncoup,"",IF(29=Ncoup,Face,0))</f>
        <v/>
      </c>
      <c r="E47" s="31">
        <f>IF(29&gt;Ncoup,"",$C$47+$D$47)</f>
        <v/>
      </c>
      <c r="F47" s="38">
        <f>IF(29&gt;Ncoup,"",((29-1)+Wfrac)/Freq)</f>
        <v/>
      </c>
      <c r="G47" s="37">
        <f>IF(29&gt;Ncoup,"",1/(1+YTM/Freq)^((29-1)+Wfrac))</f>
        <v/>
      </c>
      <c r="H47" s="31">
        <f>IF(29&gt;Ncoup,"",$E$47*$G$47)</f>
        <v/>
      </c>
      <c r="I47" s="37">
        <f>IF(29&gt;Ncoup,"",$E$47*((29-1)+Wfrac)*((29-1)+Wfrac+1)/(1+YTM/Freq)^((29-1)+Wfrac+2))</f>
        <v/>
      </c>
      <c r="J47" s="37">
        <f>IF(29&gt;Ncoup,"",$F$47*$H$47)</f>
        <v/>
      </c>
    </row>
    <row r="48">
      <c r="A48" s="20">
        <f>IF(30&gt;Ncoup,"",30)</f>
        <v/>
      </c>
      <c r="B48" s="36">
        <f>IF(30&gt;Ncoup,"",EDATE(Ncd,(12/Freq)*(30-1)))</f>
        <v/>
      </c>
      <c r="C48" s="31">
        <f>IF(30&gt;Ncoup,"",IF(IsZero=1,0,CouponRate/Freq*Face))</f>
        <v/>
      </c>
      <c r="D48" s="31">
        <f>IF(30&gt;Ncoup,"",IF(30=Ncoup,Face,0))</f>
        <v/>
      </c>
      <c r="E48" s="31">
        <f>IF(30&gt;Ncoup,"",$C$48+$D$48)</f>
        <v/>
      </c>
      <c r="F48" s="38">
        <f>IF(30&gt;Ncoup,"",((30-1)+Wfrac)/Freq)</f>
        <v/>
      </c>
      <c r="G48" s="37">
        <f>IF(30&gt;Ncoup,"",1/(1+YTM/Freq)^((30-1)+Wfrac))</f>
        <v/>
      </c>
      <c r="H48" s="31">
        <f>IF(30&gt;Ncoup,"",$E$48*$G$48)</f>
        <v/>
      </c>
      <c r="I48" s="37">
        <f>IF(30&gt;Ncoup,"",$E$48*((30-1)+Wfrac)*((30-1)+Wfrac+1)/(1+YTM/Freq)^((30-1)+Wfrac+2))</f>
        <v/>
      </c>
      <c r="J48" s="37">
        <f>IF(30&gt;Ncoup,"",$F$48*$H$48)</f>
        <v/>
      </c>
    </row>
    <row r="49">
      <c r="A49" s="20">
        <f>IF(31&gt;Ncoup,"",31)</f>
        <v/>
      </c>
      <c r="B49" s="36">
        <f>IF(31&gt;Ncoup,"",EDATE(Ncd,(12/Freq)*(31-1)))</f>
        <v/>
      </c>
      <c r="C49" s="31">
        <f>IF(31&gt;Ncoup,"",IF(IsZero=1,0,CouponRate/Freq*Face))</f>
        <v/>
      </c>
      <c r="D49" s="31">
        <f>IF(31&gt;Ncoup,"",IF(31=Ncoup,Face,0))</f>
        <v/>
      </c>
      <c r="E49" s="31">
        <f>IF(31&gt;Ncoup,"",$C$49+$D$49)</f>
        <v/>
      </c>
      <c r="F49" s="38">
        <f>IF(31&gt;Ncoup,"",((31-1)+Wfrac)/Freq)</f>
        <v/>
      </c>
      <c r="G49" s="37">
        <f>IF(31&gt;Ncoup,"",1/(1+YTM/Freq)^((31-1)+Wfrac))</f>
        <v/>
      </c>
      <c r="H49" s="31">
        <f>IF(31&gt;Ncoup,"",$E$49*$G$49)</f>
        <v/>
      </c>
      <c r="I49" s="37">
        <f>IF(31&gt;Ncoup,"",$E$49*((31-1)+Wfrac)*((31-1)+Wfrac+1)/(1+YTM/Freq)^((31-1)+Wfrac+2))</f>
        <v/>
      </c>
      <c r="J49" s="37">
        <f>IF(31&gt;Ncoup,"",$F$49*$H$49)</f>
        <v/>
      </c>
    </row>
    <row r="50">
      <c r="A50" s="20">
        <f>IF(32&gt;Ncoup,"",32)</f>
        <v/>
      </c>
      <c r="B50" s="36">
        <f>IF(32&gt;Ncoup,"",EDATE(Ncd,(12/Freq)*(32-1)))</f>
        <v/>
      </c>
      <c r="C50" s="31">
        <f>IF(32&gt;Ncoup,"",IF(IsZero=1,0,CouponRate/Freq*Face))</f>
        <v/>
      </c>
      <c r="D50" s="31">
        <f>IF(32&gt;Ncoup,"",IF(32=Ncoup,Face,0))</f>
        <v/>
      </c>
      <c r="E50" s="31">
        <f>IF(32&gt;Ncoup,"",$C$50+$D$50)</f>
        <v/>
      </c>
      <c r="F50" s="38">
        <f>IF(32&gt;Ncoup,"",((32-1)+Wfrac)/Freq)</f>
        <v/>
      </c>
      <c r="G50" s="37">
        <f>IF(32&gt;Ncoup,"",1/(1+YTM/Freq)^((32-1)+Wfrac))</f>
        <v/>
      </c>
      <c r="H50" s="31">
        <f>IF(32&gt;Ncoup,"",$E$50*$G$50)</f>
        <v/>
      </c>
      <c r="I50" s="37">
        <f>IF(32&gt;Ncoup,"",$E$50*((32-1)+Wfrac)*((32-1)+Wfrac+1)/(1+YTM/Freq)^((32-1)+Wfrac+2))</f>
        <v/>
      </c>
      <c r="J50" s="37">
        <f>IF(32&gt;Ncoup,"",$F$50*$H$50)</f>
        <v/>
      </c>
    </row>
    <row r="51">
      <c r="A51" s="20">
        <f>IF(33&gt;Ncoup,"",33)</f>
        <v/>
      </c>
      <c r="B51" s="36">
        <f>IF(33&gt;Ncoup,"",EDATE(Ncd,(12/Freq)*(33-1)))</f>
        <v/>
      </c>
      <c r="C51" s="31">
        <f>IF(33&gt;Ncoup,"",IF(IsZero=1,0,CouponRate/Freq*Face))</f>
        <v/>
      </c>
      <c r="D51" s="31">
        <f>IF(33&gt;Ncoup,"",IF(33=Ncoup,Face,0))</f>
        <v/>
      </c>
      <c r="E51" s="31">
        <f>IF(33&gt;Ncoup,"",$C$51+$D$51)</f>
        <v/>
      </c>
      <c r="F51" s="38">
        <f>IF(33&gt;Ncoup,"",((33-1)+Wfrac)/Freq)</f>
        <v/>
      </c>
      <c r="G51" s="37">
        <f>IF(33&gt;Ncoup,"",1/(1+YTM/Freq)^((33-1)+Wfrac))</f>
        <v/>
      </c>
      <c r="H51" s="31">
        <f>IF(33&gt;Ncoup,"",$E$51*$G$51)</f>
        <v/>
      </c>
      <c r="I51" s="37">
        <f>IF(33&gt;Ncoup,"",$E$51*((33-1)+Wfrac)*((33-1)+Wfrac+1)/(1+YTM/Freq)^((33-1)+Wfrac+2))</f>
        <v/>
      </c>
      <c r="J51" s="37">
        <f>IF(33&gt;Ncoup,"",$F$51*$H$51)</f>
        <v/>
      </c>
    </row>
    <row r="52">
      <c r="A52" s="20">
        <f>IF(34&gt;Ncoup,"",34)</f>
        <v/>
      </c>
      <c r="B52" s="36">
        <f>IF(34&gt;Ncoup,"",EDATE(Ncd,(12/Freq)*(34-1)))</f>
        <v/>
      </c>
      <c r="C52" s="31">
        <f>IF(34&gt;Ncoup,"",IF(IsZero=1,0,CouponRate/Freq*Face))</f>
        <v/>
      </c>
      <c r="D52" s="31">
        <f>IF(34&gt;Ncoup,"",IF(34=Ncoup,Face,0))</f>
        <v/>
      </c>
      <c r="E52" s="31">
        <f>IF(34&gt;Ncoup,"",$C$52+$D$52)</f>
        <v/>
      </c>
      <c r="F52" s="38">
        <f>IF(34&gt;Ncoup,"",((34-1)+Wfrac)/Freq)</f>
        <v/>
      </c>
      <c r="G52" s="37">
        <f>IF(34&gt;Ncoup,"",1/(1+YTM/Freq)^((34-1)+Wfrac))</f>
        <v/>
      </c>
      <c r="H52" s="31">
        <f>IF(34&gt;Ncoup,"",$E$52*$G$52)</f>
        <v/>
      </c>
      <c r="I52" s="37">
        <f>IF(34&gt;Ncoup,"",$E$52*((34-1)+Wfrac)*((34-1)+Wfrac+1)/(1+YTM/Freq)^((34-1)+Wfrac+2))</f>
        <v/>
      </c>
      <c r="J52" s="37">
        <f>IF(34&gt;Ncoup,"",$F$52*$H$52)</f>
        <v/>
      </c>
    </row>
    <row r="53">
      <c r="A53" s="20">
        <f>IF(35&gt;Ncoup,"",35)</f>
        <v/>
      </c>
      <c r="B53" s="36">
        <f>IF(35&gt;Ncoup,"",EDATE(Ncd,(12/Freq)*(35-1)))</f>
        <v/>
      </c>
      <c r="C53" s="31">
        <f>IF(35&gt;Ncoup,"",IF(IsZero=1,0,CouponRate/Freq*Face))</f>
        <v/>
      </c>
      <c r="D53" s="31">
        <f>IF(35&gt;Ncoup,"",IF(35=Ncoup,Face,0))</f>
        <v/>
      </c>
      <c r="E53" s="31">
        <f>IF(35&gt;Ncoup,"",$C$53+$D$53)</f>
        <v/>
      </c>
      <c r="F53" s="38">
        <f>IF(35&gt;Ncoup,"",((35-1)+Wfrac)/Freq)</f>
        <v/>
      </c>
      <c r="G53" s="37">
        <f>IF(35&gt;Ncoup,"",1/(1+YTM/Freq)^((35-1)+Wfrac))</f>
        <v/>
      </c>
      <c r="H53" s="31">
        <f>IF(35&gt;Ncoup,"",$E$53*$G$53)</f>
        <v/>
      </c>
      <c r="I53" s="37">
        <f>IF(35&gt;Ncoup,"",$E$53*((35-1)+Wfrac)*((35-1)+Wfrac+1)/(1+YTM/Freq)^((35-1)+Wfrac+2))</f>
        <v/>
      </c>
      <c r="J53" s="37">
        <f>IF(35&gt;Ncoup,"",$F$53*$H$53)</f>
        <v/>
      </c>
    </row>
    <row r="54">
      <c r="A54" s="20">
        <f>IF(36&gt;Ncoup,"",36)</f>
        <v/>
      </c>
      <c r="B54" s="36">
        <f>IF(36&gt;Ncoup,"",EDATE(Ncd,(12/Freq)*(36-1)))</f>
        <v/>
      </c>
      <c r="C54" s="31">
        <f>IF(36&gt;Ncoup,"",IF(IsZero=1,0,CouponRate/Freq*Face))</f>
        <v/>
      </c>
      <c r="D54" s="31">
        <f>IF(36&gt;Ncoup,"",IF(36=Ncoup,Face,0))</f>
        <v/>
      </c>
      <c r="E54" s="31">
        <f>IF(36&gt;Ncoup,"",$C$54+$D$54)</f>
        <v/>
      </c>
      <c r="F54" s="38">
        <f>IF(36&gt;Ncoup,"",((36-1)+Wfrac)/Freq)</f>
        <v/>
      </c>
      <c r="G54" s="37">
        <f>IF(36&gt;Ncoup,"",1/(1+YTM/Freq)^((36-1)+Wfrac))</f>
        <v/>
      </c>
      <c r="H54" s="31">
        <f>IF(36&gt;Ncoup,"",$E$54*$G$54)</f>
        <v/>
      </c>
      <c r="I54" s="37">
        <f>IF(36&gt;Ncoup,"",$E$54*((36-1)+Wfrac)*((36-1)+Wfrac+1)/(1+YTM/Freq)^((36-1)+Wfrac+2))</f>
        <v/>
      </c>
      <c r="J54" s="37">
        <f>IF(36&gt;Ncoup,"",$F$54*$H$54)</f>
        <v/>
      </c>
    </row>
    <row r="55">
      <c r="A55" s="20">
        <f>IF(37&gt;Ncoup,"",37)</f>
        <v/>
      </c>
      <c r="B55" s="36">
        <f>IF(37&gt;Ncoup,"",EDATE(Ncd,(12/Freq)*(37-1)))</f>
        <v/>
      </c>
      <c r="C55" s="31">
        <f>IF(37&gt;Ncoup,"",IF(IsZero=1,0,CouponRate/Freq*Face))</f>
        <v/>
      </c>
      <c r="D55" s="31">
        <f>IF(37&gt;Ncoup,"",IF(37=Ncoup,Face,0))</f>
        <v/>
      </c>
      <c r="E55" s="31">
        <f>IF(37&gt;Ncoup,"",$C$55+$D$55)</f>
        <v/>
      </c>
      <c r="F55" s="38">
        <f>IF(37&gt;Ncoup,"",((37-1)+Wfrac)/Freq)</f>
        <v/>
      </c>
      <c r="G55" s="37">
        <f>IF(37&gt;Ncoup,"",1/(1+YTM/Freq)^((37-1)+Wfrac))</f>
        <v/>
      </c>
      <c r="H55" s="31">
        <f>IF(37&gt;Ncoup,"",$E$55*$G$55)</f>
        <v/>
      </c>
      <c r="I55" s="37">
        <f>IF(37&gt;Ncoup,"",$E$55*((37-1)+Wfrac)*((37-1)+Wfrac+1)/(1+YTM/Freq)^((37-1)+Wfrac+2))</f>
        <v/>
      </c>
      <c r="J55" s="37">
        <f>IF(37&gt;Ncoup,"",$F$55*$H$55)</f>
        <v/>
      </c>
    </row>
    <row r="56">
      <c r="A56" s="20">
        <f>IF(38&gt;Ncoup,"",38)</f>
        <v/>
      </c>
      <c r="B56" s="36">
        <f>IF(38&gt;Ncoup,"",EDATE(Ncd,(12/Freq)*(38-1)))</f>
        <v/>
      </c>
      <c r="C56" s="31">
        <f>IF(38&gt;Ncoup,"",IF(IsZero=1,0,CouponRate/Freq*Face))</f>
        <v/>
      </c>
      <c r="D56" s="31">
        <f>IF(38&gt;Ncoup,"",IF(38=Ncoup,Face,0))</f>
        <v/>
      </c>
      <c r="E56" s="31">
        <f>IF(38&gt;Ncoup,"",$C$56+$D$56)</f>
        <v/>
      </c>
      <c r="F56" s="38">
        <f>IF(38&gt;Ncoup,"",((38-1)+Wfrac)/Freq)</f>
        <v/>
      </c>
      <c r="G56" s="37">
        <f>IF(38&gt;Ncoup,"",1/(1+YTM/Freq)^((38-1)+Wfrac))</f>
        <v/>
      </c>
      <c r="H56" s="31">
        <f>IF(38&gt;Ncoup,"",$E$56*$G$56)</f>
        <v/>
      </c>
      <c r="I56" s="37">
        <f>IF(38&gt;Ncoup,"",$E$56*((38-1)+Wfrac)*((38-1)+Wfrac+1)/(1+YTM/Freq)^((38-1)+Wfrac+2))</f>
        <v/>
      </c>
      <c r="J56" s="37">
        <f>IF(38&gt;Ncoup,"",$F$56*$H$56)</f>
        <v/>
      </c>
    </row>
    <row r="57">
      <c r="A57" s="20">
        <f>IF(39&gt;Ncoup,"",39)</f>
        <v/>
      </c>
      <c r="B57" s="36">
        <f>IF(39&gt;Ncoup,"",EDATE(Ncd,(12/Freq)*(39-1)))</f>
        <v/>
      </c>
      <c r="C57" s="31">
        <f>IF(39&gt;Ncoup,"",IF(IsZero=1,0,CouponRate/Freq*Face))</f>
        <v/>
      </c>
      <c r="D57" s="31">
        <f>IF(39&gt;Ncoup,"",IF(39=Ncoup,Face,0))</f>
        <v/>
      </c>
      <c r="E57" s="31">
        <f>IF(39&gt;Ncoup,"",$C$57+$D$57)</f>
        <v/>
      </c>
      <c r="F57" s="38">
        <f>IF(39&gt;Ncoup,"",((39-1)+Wfrac)/Freq)</f>
        <v/>
      </c>
      <c r="G57" s="37">
        <f>IF(39&gt;Ncoup,"",1/(1+YTM/Freq)^((39-1)+Wfrac))</f>
        <v/>
      </c>
      <c r="H57" s="31">
        <f>IF(39&gt;Ncoup,"",$E$57*$G$57)</f>
        <v/>
      </c>
      <c r="I57" s="37">
        <f>IF(39&gt;Ncoup,"",$E$57*((39-1)+Wfrac)*((39-1)+Wfrac+1)/(1+YTM/Freq)^((39-1)+Wfrac+2))</f>
        <v/>
      </c>
      <c r="J57" s="37">
        <f>IF(39&gt;Ncoup,"",$F$57*$H$57)</f>
        <v/>
      </c>
    </row>
    <row r="58">
      <c r="A58" s="20">
        <f>IF(40&gt;Ncoup,"",40)</f>
        <v/>
      </c>
      <c r="B58" s="36">
        <f>IF(40&gt;Ncoup,"",EDATE(Ncd,(12/Freq)*(40-1)))</f>
        <v/>
      </c>
      <c r="C58" s="31">
        <f>IF(40&gt;Ncoup,"",IF(IsZero=1,0,CouponRate/Freq*Face))</f>
        <v/>
      </c>
      <c r="D58" s="31">
        <f>IF(40&gt;Ncoup,"",IF(40=Ncoup,Face,0))</f>
        <v/>
      </c>
      <c r="E58" s="31">
        <f>IF(40&gt;Ncoup,"",$C$58+$D$58)</f>
        <v/>
      </c>
      <c r="F58" s="38">
        <f>IF(40&gt;Ncoup,"",((40-1)+Wfrac)/Freq)</f>
        <v/>
      </c>
      <c r="G58" s="37">
        <f>IF(40&gt;Ncoup,"",1/(1+YTM/Freq)^((40-1)+Wfrac))</f>
        <v/>
      </c>
      <c r="H58" s="31">
        <f>IF(40&gt;Ncoup,"",$E$58*$G$58)</f>
        <v/>
      </c>
      <c r="I58" s="37">
        <f>IF(40&gt;Ncoup,"",$E$58*((40-1)+Wfrac)*((40-1)+Wfrac+1)/(1+YTM/Freq)^((40-1)+Wfrac+2))</f>
        <v/>
      </c>
      <c r="J58" s="37">
        <f>IF(40&gt;Ncoup,"",$F$58*$H$58)</f>
        <v/>
      </c>
    </row>
    <row r="59">
      <c r="A59" s="20">
        <f>IF(41&gt;Ncoup,"",41)</f>
        <v/>
      </c>
      <c r="B59" s="36">
        <f>IF(41&gt;Ncoup,"",EDATE(Ncd,(12/Freq)*(41-1)))</f>
        <v/>
      </c>
      <c r="C59" s="31">
        <f>IF(41&gt;Ncoup,"",IF(IsZero=1,0,CouponRate/Freq*Face))</f>
        <v/>
      </c>
      <c r="D59" s="31">
        <f>IF(41&gt;Ncoup,"",IF(41=Ncoup,Face,0))</f>
        <v/>
      </c>
      <c r="E59" s="31">
        <f>IF(41&gt;Ncoup,"",$C$59+$D$59)</f>
        <v/>
      </c>
      <c r="F59" s="38">
        <f>IF(41&gt;Ncoup,"",((41-1)+Wfrac)/Freq)</f>
        <v/>
      </c>
      <c r="G59" s="37">
        <f>IF(41&gt;Ncoup,"",1/(1+YTM/Freq)^((41-1)+Wfrac))</f>
        <v/>
      </c>
      <c r="H59" s="31">
        <f>IF(41&gt;Ncoup,"",$E$59*$G$59)</f>
        <v/>
      </c>
      <c r="I59" s="37">
        <f>IF(41&gt;Ncoup,"",$E$59*((41-1)+Wfrac)*((41-1)+Wfrac+1)/(1+YTM/Freq)^((41-1)+Wfrac+2))</f>
        <v/>
      </c>
      <c r="J59" s="37">
        <f>IF(41&gt;Ncoup,"",$F$59*$H$59)</f>
        <v/>
      </c>
    </row>
    <row r="60">
      <c r="A60" s="20">
        <f>IF(42&gt;Ncoup,"",42)</f>
        <v/>
      </c>
      <c r="B60" s="36">
        <f>IF(42&gt;Ncoup,"",EDATE(Ncd,(12/Freq)*(42-1)))</f>
        <v/>
      </c>
      <c r="C60" s="31">
        <f>IF(42&gt;Ncoup,"",IF(IsZero=1,0,CouponRate/Freq*Face))</f>
        <v/>
      </c>
      <c r="D60" s="31">
        <f>IF(42&gt;Ncoup,"",IF(42=Ncoup,Face,0))</f>
        <v/>
      </c>
      <c r="E60" s="31">
        <f>IF(42&gt;Ncoup,"",$C$60+$D$60)</f>
        <v/>
      </c>
      <c r="F60" s="38">
        <f>IF(42&gt;Ncoup,"",((42-1)+Wfrac)/Freq)</f>
        <v/>
      </c>
      <c r="G60" s="37">
        <f>IF(42&gt;Ncoup,"",1/(1+YTM/Freq)^((42-1)+Wfrac))</f>
        <v/>
      </c>
      <c r="H60" s="31">
        <f>IF(42&gt;Ncoup,"",$E$60*$G$60)</f>
        <v/>
      </c>
      <c r="I60" s="37">
        <f>IF(42&gt;Ncoup,"",$E$60*((42-1)+Wfrac)*((42-1)+Wfrac+1)/(1+YTM/Freq)^((42-1)+Wfrac+2))</f>
        <v/>
      </c>
      <c r="J60" s="37">
        <f>IF(42&gt;Ncoup,"",$F$60*$H$60)</f>
        <v/>
      </c>
    </row>
    <row r="61">
      <c r="A61" s="20">
        <f>IF(43&gt;Ncoup,"",43)</f>
        <v/>
      </c>
      <c r="B61" s="36">
        <f>IF(43&gt;Ncoup,"",EDATE(Ncd,(12/Freq)*(43-1)))</f>
        <v/>
      </c>
      <c r="C61" s="31">
        <f>IF(43&gt;Ncoup,"",IF(IsZero=1,0,CouponRate/Freq*Face))</f>
        <v/>
      </c>
      <c r="D61" s="31">
        <f>IF(43&gt;Ncoup,"",IF(43=Ncoup,Face,0))</f>
        <v/>
      </c>
      <c r="E61" s="31">
        <f>IF(43&gt;Ncoup,"",$C$61+$D$61)</f>
        <v/>
      </c>
      <c r="F61" s="38">
        <f>IF(43&gt;Ncoup,"",((43-1)+Wfrac)/Freq)</f>
        <v/>
      </c>
      <c r="G61" s="37">
        <f>IF(43&gt;Ncoup,"",1/(1+YTM/Freq)^((43-1)+Wfrac))</f>
        <v/>
      </c>
      <c r="H61" s="31">
        <f>IF(43&gt;Ncoup,"",$E$61*$G$61)</f>
        <v/>
      </c>
      <c r="I61" s="37">
        <f>IF(43&gt;Ncoup,"",$E$61*((43-1)+Wfrac)*((43-1)+Wfrac+1)/(1+YTM/Freq)^((43-1)+Wfrac+2))</f>
        <v/>
      </c>
      <c r="J61" s="37">
        <f>IF(43&gt;Ncoup,"",$F$61*$H$61)</f>
        <v/>
      </c>
    </row>
    <row r="62">
      <c r="A62" s="20">
        <f>IF(44&gt;Ncoup,"",44)</f>
        <v/>
      </c>
      <c r="B62" s="36">
        <f>IF(44&gt;Ncoup,"",EDATE(Ncd,(12/Freq)*(44-1)))</f>
        <v/>
      </c>
      <c r="C62" s="31">
        <f>IF(44&gt;Ncoup,"",IF(IsZero=1,0,CouponRate/Freq*Face))</f>
        <v/>
      </c>
      <c r="D62" s="31">
        <f>IF(44&gt;Ncoup,"",IF(44=Ncoup,Face,0))</f>
        <v/>
      </c>
      <c r="E62" s="31">
        <f>IF(44&gt;Ncoup,"",$C$62+$D$62)</f>
        <v/>
      </c>
      <c r="F62" s="38">
        <f>IF(44&gt;Ncoup,"",((44-1)+Wfrac)/Freq)</f>
        <v/>
      </c>
      <c r="G62" s="37">
        <f>IF(44&gt;Ncoup,"",1/(1+YTM/Freq)^((44-1)+Wfrac))</f>
        <v/>
      </c>
      <c r="H62" s="31">
        <f>IF(44&gt;Ncoup,"",$E$62*$G$62)</f>
        <v/>
      </c>
      <c r="I62" s="37">
        <f>IF(44&gt;Ncoup,"",$E$62*((44-1)+Wfrac)*((44-1)+Wfrac+1)/(1+YTM/Freq)^((44-1)+Wfrac+2))</f>
        <v/>
      </c>
      <c r="J62" s="37">
        <f>IF(44&gt;Ncoup,"",$F$62*$H$62)</f>
        <v/>
      </c>
    </row>
    <row r="63">
      <c r="A63" s="20">
        <f>IF(45&gt;Ncoup,"",45)</f>
        <v/>
      </c>
      <c r="B63" s="36">
        <f>IF(45&gt;Ncoup,"",EDATE(Ncd,(12/Freq)*(45-1)))</f>
        <v/>
      </c>
      <c r="C63" s="31">
        <f>IF(45&gt;Ncoup,"",IF(IsZero=1,0,CouponRate/Freq*Face))</f>
        <v/>
      </c>
      <c r="D63" s="31">
        <f>IF(45&gt;Ncoup,"",IF(45=Ncoup,Face,0))</f>
        <v/>
      </c>
      <c r="E63" s="31">
        <f>IF(45&gt;Ncoup,"",$C$63+$D$63)</f>
        <v/>
      </c>
      <c r="F63" s="38">
        <f>IF(45&gt;Ncoup,"",((45-1)+Wfrac)/Freq)</f>
        <v/>
      </c>
      <c r="G63" s="37">
        <f>IF(45&gt;Ncoup,"",1/(1+YTM/Freq)^((45-1)+Wfrac))</f>
        <v/>
      </c>
      <c r="H63" s="31">
        <f>IF(45&gt;Ncoup,"",$E$63*$G$63)</f>
        <v/>
      </c>
      <c r="I63" s="37">
        <f>IF(45&gt;Ncoup,"",$E$63*((45-1)+Wfrac)*((45-1)+Wfrac+1)/(1+YTM/Freq)^((45-1)+Wfrac+2))</f>
        <v/>
      </c>
      <c r="J63" s="37">
        <f>IF(45&gt;Ncoup,"",$F$63*$H$63)</f>
        <v/>
      </c>
    </row>
    <row r="64">
      <c r="A64" s="20">
        <f>IF(46&gt;Ncoup,"",46)</f>
        <v/>
      </c>
      <c r="B64" s="36">
        <f>IF(46&gt;Ncoup,"",EDATE(Ncd,(12/Freq)*(46-1)))</f>
        <v/>
      </c>
      <c r="C64" s="31">
        <f>IF(46&gt;Ncoup,"",IF(IsZero=1,0,CouponRate/Freq*Face))</f>
        <v/>
      </c>
      <c r="D64" s="31">
        <f>IF(46&gt;Ncoup,"",IF(46=Ncoup,Face,0))</f>
        <v/>
      </c>
      <c r="E64" s="31">
        <f>IF(46&gt;Ncoup,"",$C$64+$D$64)</f>
        <v/>
      </c>
      <c r="F64" s="38">
        <f>IF(46&gt;Ncoup,"",((46-1)+Wfrac)/Freq)</f>
        <v/>
      </c>
      <c r="G64" s="37">
        <f>IF(46&gt;Ncoup,"",1/(1+YTM/Freq)^((46-1)+Wfrac))</f>
        <v/>
      </c>
      <c r="H64" s="31">
        <f>IF(46&gt;Ncoup,"",$E$64*$G$64)</f>
        <v/>
      </c>
      <c r="I64" s="37">
        <f>IF(46&gt;Ncoup,"",$E$64*((46-1)+Wfrac)*((46-1)+Wfrac+1)/(1+YTM/Freq)^((46-1)+Wfrac+2))</f>
        <v/>
      </c>
      <c r="J64" s="37">
        <f>IF(46&gt;Ncoup,"",$F$64*$H$64)</f>
        <v/>
      </c>
    </row>
    <row r="65">
      <c r="A65" s="20">
        <f>IF(47&gt;Ncoup,"",47)</f>
        <v/>
      </c>
      <c r="B65" s="36">
        <f>IF(47&gt;Ncoup,"",EDATE(Ncd,(12/Freq)*(47-1)))</f>
        <v/>
      </c>
      <c r="C65" s="31">
        <f>IF(47&gt;Ncoup,"",IF(IsZero=1,0,CouponRate/Freq*Face))</f>
        <v/>
      </c>
      <c r="D65" s="31">
        <f>IF(47&gt;Ncoup,"",IF(47=Ncoup,Face,0))</f>
        <v/>
      </c>
      <c r="E65" s="31">
        <f>IF(47&gt;Ncoup,"",$C$65+$D$65)</f>
        <v/>
      </c>
      <c r="F65" s="38">
        <f>IF(47&gt;Ncoup,"",((47-1)+Wfrac)/Freq)</f>
        <v/>
      </c>
      <c r="G65" s="37">
        <f>IF(47&gt;Ncoup,"",1/(1+YTM/Freq)^((47-1)+Wfrac))</f>
        <v/>
      </c>
      <c r="H65" s="31">
        <f>IF(47&gt;Ncoup,"",$E$65*$G$65)</f>
        <v/>
      </c>
      <c r="I65" s="37">
        <f>IF(47&gt;Ncoup,"",$E$65*((47-1)+Wfrac)*((47-1)+Wfrac+1)/(1+YTM/Freq)^((47-1)+Wfrac+2))</f>
        <v/>
      </c>
      <c r="J65" s="37">
        <f>IF(47&gt;Ncoup,"",$F$65*$H$65)</f>
        <v/>
      </c>
    </row>
    <row r="66">
      <c r="A66" s="20">
        <f>IF(48&gt;Ncoup,"",48)</f>
        <v/>
      </c>
      <c r="B66" s="36">
        <f>IF(48&gt;Ncoup,"",EDATE(Ncd,(12/Freq)*(48-1)))</f>
        <v/>
      </c>
      <c r="C66" s="31">
        <f>IF(48&gt;Ncoup,"",IF(IsZero=1,0,CouponRate/Freq*Face))</f>
        <v/>
      </c>
      <c r="D66" s="31">
        <f>IF(48&gt;Ncoup,"",IF(48=Ncoup,Face,0))</f>
        <v/>
      </c>
      <c r="E66" s="31">
        <f>IF(48&gt;Ncoup,"",$C$66+$D$66)</f>
        <v/>
      </c>
      <c r="F66" s="38">
        <f>IF(48&gt;Ncoup,"",((48-1)+Wfrac)/Freq)</f>
        <v/>
      </c>
      <c r="G66" s="37">
        <f>IF(48&gt;Ncoup,"",1/(1+YTM/Freq)^((48-1)+Wfrac))</f>
        <v/>
      </c>
      <c r="H66" s="31">
        <f>IF(48&gt;Ncoup,"",$E$66*$G$66)</f>
        <v/>
      </c>
      <c r="I66" s="37">
        <f>IF(48&gt;Ncoup,"",$E$66*((48-1)+Wfrac)*((48-1)+Wfrac+1)/(1+YTM/Freq)^((48-1)+Wfrac+2))</f>
        <v/>
      </c>
      <c r="J66" s="37">
        <f>IF(48&gt;Ncoup,"",$F$66*$H$66)</f>
        <v/>
      </c>
    </row>
    <row r="67">
      <c r="A67" s="20">
        <f>IF(49&gt;Ncoup,"",49)</f>
        <v/>
      </c>
      <c r="B67" s="36">
        <f>IF(49&gt;Ncoup,"",EDATE(Ncd,(12/Freq)*(49-1)))</f>
        <v/>
      </c>
      <c r="C67" s="31">
        <f>IF(49&gt;Ncoup,"",IF(IsZero=1,0,CouponRate/Freq*Face))</f>
        <v/>
      </c>
      <c r="D67" s="31">
        <f>IF(49&gt;Ncoup,"",IF(49=Ncoup,Face,0))</f>
        <v/>
      </c>
      <c r="E67" s="31">
        <f>IF(49&gt;Ncoup,"",$C$67+$D$67)</f>
        <v/>
      </c>
      <c r="F67" s="38">
        <f>IF(49&gt;Ncoup,"",((49-1)+Wfrac)/Freq)</f>
        <v/>
      </c>
      <c r="G67" s="37">
        <f>IF(49&gt;Ncoup,"",1/(1+YTM/Freq)^((49-1)+Wfrac))</f>
        <v/>
      </c>
      <c r="H67" s="31">
        <f>IF(49&gt;Ncoup,"",$E$67*$G$67)</f>
        <v/>
      </c>
      <c r="I67" s="37">
        <f>IF(49&gt;Ncoup,"",$E$67*((49-1)+Wfrac)*((49-1)+Wfrac+1)/(1+YTM/Freq)^((49-1)+Wfrac+2))</f>
        <v/>
      </c>
      <c r="J67" s="37">
        <f>IF(49&gt;Ncoup,"",$F$67*$H$67)</f>
        <v/>
      </c>
    </row>
    <row r="68">
      <c r="A68" s="20">
        <f>IF(50&gt;Ncoup,"",50)</f>
        <v/>
      </c>
      <c r="B68" s="36">
        <f>IF(50&gt;Ncoup,"",EDATE(Ncd,(12/Freq)*(50-1)))</f>
        <v/>
      </c>
      <c r="C68" s="31">
        <f>IF(50&gt;Ncoup,"",IF(IsZero=1,0,CouponRate/Freq*Face))</f>
        <v/>
      </c>
      <c r="D68" s="31">
        <f>IF(50&gt;Ncoup,"",IF(50=Ncoup,Face,0))</f>
        <v/>
      </c>
      <c r="E68" s="31">
        <f>IF(50&gt;Ncoup,"",$C$68+$D$68)</f>
        <v/>
      </c>
      <c r="F68" s="38">
        <f>IF(50&gt;Ncoup,"",((50-1)+Wfrac)/Freq)</f>
        <v/>
      </c>
      <c r="G68" s="37">
        <f>IF(50&gt;Ncoup,"",1/(1+YTM/Freq)^((50-1)+Wfrac))</f>
        <v/>
      </c>
      <c r="H68" s="31">
        <f>IF(50&gt;Ncoup,"",$E$68*$G$68)</f>
        <v/>
      </c>
      <c r="I68" s="37">
        <f>IF(50&gt;Ncoup,"",$E$68*((50-1)+Wfrac)*((50-1)+Wfrac+1)/(1+YTM/Freq)^((50-1)+Wfrac+2))</f>
        <v/>
      </c>
      <c r="J68" s="37">
        <f>IF(50&gt;Ncoup,"",$F$68*$H$68)</f>
        <v/>
      </c>
    </row>
    <row r="69">
      <c r="A69" s="20">
        <f>IF(51&gt;Ncoup,"",51)</f>
        <v/>
      </c>
      <c r="B69" s="36">
        <f>IF(51&gt;Ncoup,"",EDATE(Ncd,(12/Freq)*(51-1)))</f>
        <v/>
      </c>
      <c r="C69" s="31">
        <f>IF(51&gt;Ncoup,"",IF(IsZero=1,0,CouponRate/Freq*Face))</f>
        <v/>
      </c>
      <c r="D69" s="31">
        <f>IF(51&gt;Ncoup,"",IF(51=Ncoup,Face,0))</f>
        <v/>
      </c>
      <c r="E69" s="31">
        <f>IF(51&gt;Ncoup,"",$C$69+$D$69)</f>
        <v/>
      </c>
      <c r="F69" s="38">
        <f>IF(51&gt;Ncoup,"",((51-1)+Wfrac)/Freq)</f>
        <v/>
      </c>
      <c r="G69" s="37">
        <f>IF(51&gt;Ncoup,"",1/(1+YTM/Freq)^((51-1)+Wfrac))</f>
        <v/>
      </c>
      <c r="H69" s="31">
        <f>IF(51&gt;Ncoup,"",$E$69*$G$69)</f>
        <v/>
      </c>
      <c r="I69" s="37">
        <f>IF(51&gt;Ncoup,"",$E$69*((51-1)+Wfrac)*((51-1)+Wfrac+1)/(1+YTM/Freq)^((51-1)+Wfrac+2))</f>
        <v/>
      </c>
      <c r="J69" s="37">
        <f>IF(51&gt;Ncoup,"",$F$69*$H$69)</f>
        <v/>
      </c>
    </row>
    <row r="70">
      <c r="A70" s="20">
        <f>IF(52&gt;Ncoup,"",52)</f>
        <v/>
      </c>
      <c r="B70" s="36">
        <f>IF(52&gt;Ncoup,"",EDATE(Ncd,(12/Freq)*(52-1)))</f>
        <v/>
      </c>
      <c r="C70" s="31">
        <f>IF(52&gt;Ncoup,"",IF(IsZero=1,0,CouponRate/Freq*Face))</f>
        <v/>
      </c>
      <c r="D70" s="31">
        <f>IF(52&gt;Ncoup,"",IF(52=Ncoup,Face,0))</f>
        <v/>
      </c>
      <c r="E70" s="31">
        <f>IF(52&gt;Ncoup,"",$C$70+$D$70)</f>
        <v/>
      </c>
      <c r="F70" s="38">
        <f>IF(52&gt;Ncoup,"",((52-1)+Wfrac)/Freq)</f>
        <v/>
      </c>
      <c r="G70" s="37">
        <f>IF(52&gt;Ncoup,"",1/(1+YTM/Freq)^((52-1)+Wfrac))</f>
        <v/>
      </c>
      <c r="H70" s="31">
        <f>IF(52&gt;Ncoup,"",$E$70*$G$70)</f>
        <v/>
      </c>
      <c r="I70" s="37">
        <f>IF(52&gt;Ncoup,"",$E$70*((52-1)+Wfrac)*((52-1)+Wfrac+1)/(1+YTM/Freq)^((52-1)+Wfrac+2))</f>
        <v/>
      </c>
      <c r="J70" s="37">
        <f>IF(52&gt;Ncoup,"",$F$70*$H$70)</f>
        <v/>
      </c>
    </row>
    <row r="71">
      <c r="A71" s="20">
        <f>IF(53&gt;Ncoup,"",53)</f>
        <v/>
      </c>
      <c r="B71" s="36">
        <f>IF(53&gt;Ncoup,"",EDATE(Ncd,(12/Freq)*(53-1)))</f>
        <v/>
      </c>
      <c r="C71" s="31">
        <f>IF(53&gt;Ncoup,"",IF(IsZero=1,0,CouponRate/Freq*Face))</f>
        <v/>
      </c>
      <c r="D71" s="31">
        <f>IF(53&gt;Ncoup,"",IF(53=Ncoup,Face,0))</f>
        <v/>
      </c>
      <c r="E71" s="31">
        <f>IF(53&gt;Ncoup,"",$C$71+$D$71)</f>
        <v/>
      </c>
      <c r="F71" s="38">
        <f>IF(53&gt;Ncoup,"",((53-1)+Wfrac)/Freq)</f>
        <v/>
      </c>
      <c r="G71" s="37">
        <f>IF(53&gt;Ncoup,"",1/(1+YTM/Freq)^((53-1)+Wfrac))</f>
        <v/>
      </c>
      <c r="H71" s="31">
        <f>IF(53&gt;Ncoup,"",$E$71*$G$71)</f>
        <v/>
      </c>
      <c r="I71" s="37">
        <f>IF(53&gt;Ncoup,"",$E$71*((53-1)+Wfrac)*((53-1)+Wfrac+1)/(1+YTM/Freq)^((53-1)+Wfrac+2))</f>
        <v/>
      </c>
      <c r="J71" s="37">
        <f>IF(53&gt;Ncoup,"",$F$71*$H$71)</f>
        <v/>
      </c>
    </row>
    <row r="72">
      <c r="A72" s="20">
        <f>IF(54&gt;Ncoup,"",54)</f>
        <v/>
      </c>
      <c r="B72" s="36">
        <f>IF(54&gt;Ncoup,"",EDATE(Ncd,(12/Freq)*(54-1)))</f>
        <v/>
      </c>
      <c r="C72" s="31">
        <f>IF(54&gt;Ncoup,"",IF(IsZero=1,0,CouponRate/Freq*Face))</f>
        <v/>
      </c>
      <c r="D72" s="31">
        <f>IF(54&gt;Ncoup,"",IF(54=Ncoup,Face,0))</f>
        <v/>
      </c>
      <c r="E72" s="31">
        <f>IF(54&gt;Ncoup,"",$C$72+$D$72)</f>
        <v/>
      </c>
      <c r="F72" s="38">
        <f>IF(54&gt;Ncoup,"",((54-1)+Wfrac)/Freq)</f>
        <v/>
      </c>
      <c r="G72" s="37">
        <f>IF(54&gt;Ncoup,"",1/(1+YTM/Freq)^((54-1)+Wfrac))</f>
        <v/>
      </c>
      <c r="H72" s="31">
        <f>IF(54&gt;Ncoup,"",$E$72*$G$72)</f>
        <v/>
      </c>
      <c r="I72" s="37">
        <f>IF(54&gt;Ncoup,"",$E$72*((54-1)+Wfrac)*((54-1)+Wfrac+1)/(1+YTM/Freq)^((54-1)+Wfrac+2))</f>
        <v/>
      </c>
      <c r="J72" s="37">
        <f>IF(54&gt;Ncoup,"",$F$72*$H$72)</f>
        <v/>
      </c>
    </row>
    <row r="73">
      <c r="A73" s="20">
        <f>IF(55&gt;Ncoup,"",55)</f>
        <v/>
      </c>
      <c r="B73" s="36">
        <f>IF(55&gt;Ncoup,"",EDATE(Ncd,(12/Freq)*(55-1)))</f>
        <v/>
      </c>
      <c r="C73" s="31">
        <f>IF(55&gt;Ncoup,"",IF(IsZero=1,0,CouponRate/Freq*Face))</f>
        <v/>
      </c>
      <c r="D73" s="31">
        <f>IF(55&gt;Ncoup,"",IF(55=Ncoup,Face,0))</f>
        <v/>
      </c>
      <c r="E73" s="31">
        <f>IF(55&gt;Ncoup,"",$C$73+$D$73)</f>
        <v/>
      </c>
      <c r="F73" s="38">
        <f>IF(55&gt;Ncoup,"",((55-1)+Wfrac)/Freq)</f>
        <v/>
      </c>
      <c r="G73" s="37">
        <f>IF(55&gt;Ncoup,"",1/(1+YTM/Freq)^((55-1)+Wfrac))</f>
        <v/>
      </c>
      <c r="H73" s="31">
        <f>IF(55&gt;Ncoup,"",$E$73*$G$73)</f>
        <v/>
      </c>
      <c r="I73" s="37">
        <f>IF(55&gt;Ncoup,"",$E$73*((55-1)+Wfrac)*((55-1)+Wfrac+1)/(1+YTM/Freq)^((55-1)+Wfrac+2))</f>
        <v/>
      </c>
      <c r="J73" s="37">
        <f>IF(55&gt;Ncoup,"",$F$73*$H$73)</f>
        <v/>
      </c>
    </row>
    <row r="74">
      <c r="A74" s="20">
        <f>IF(56&gt;Ncoup,"",56)</f>
        <v/>
      </c>
      <c r="B74" s="36">
        <f>IF(56&gt;Ncoup,"",EDATE(Ncd,(12/Freq)*(56-1)))</f>
        <v/>
      </c>
      <c r="C74" s="31">
        <f>IF(56&gt;Ncoup,"",IF(IsZero=1,0,CouponRate/Freq*Face))</f>
        <v/>
      </c>
      <c r="D74" s="31">
        <f>IF(56&gt;Ncoup,"",IF(56=Ncoup,Face,0))</f>
        <v/>
      </c>
      <c r="E74" s="31">
        <f>IF(56&gt;Ncoup,"",$C$74+$D$74)</f>
        <v/>
      </c>
      <c r="F74" s="38">
        <f>IF(56&gt;Ncoup,"",((56-1)+Wfrac)/Freq)</f>
        <v/>
      </c>
      <c r="G74" s="37">
        <f>IF(56&gt;Ncoup,"",1/(1+YTM/Freq)^((56-1)+Wfrac))</f>
        <v/>
      </c>
      <c r="H74" s="31">
        <f>IF(56&gt;Ncoup,"",$E$74*$G$74)</f>
        <v/>
      </c>
      <c r="I74" s="37">
        <f>IF(56&gt;Ncoup,"",$E$74*((56-1)+Wfrac)*((56-1)+Wfrac+1)/(1+YTM/Freq)^((56-1)+Wfrac+2))</f>
        <v/>
      </c>
      <c r="J74" s="37">
        <f>IF(56&gt;Ncoup,"",$F$74*$H$74)</f>
        <v/>
      </c>
    </row>
    <row r="75">
      <c r="A75" s="20">
        <f>IF(57&gt;Ncoup,"",57)</f>
        <v/>
      </c>
      <c r="B75" s="36">
        <f>IF(57&gt;Ncoup,"",EDATE(Ncd,(12/Freq)*(57-1)))</f>
        <v/>
      </c>
      <c r="C75" s="31">
        <f>IF(57&gt;Ncoup,"",IF(IsZero=1,0,CouponRate/Freq*Face))</f>
        <v/>
      </c>
      <c r="D75" s="31">
        <f>IF(57&gt;Ncoup,"",IF(57=Ncoup,Face,0))</f>
        <v/>
      </c>
      <c r="E75" s="31">
        <f>IF(57&gt;Ncoup,"",$C$75+$D$75)</f>
        <v/>
      </c>
      <c r="F75" s="38">
        <f>IF(57&gt;Ncoup,"",((57-1)+Wfrac)/Freq)</f>
        <v/>
      </c>
      <c r="G75" s="37">
        <f>IF(57&gt;Ncoup,"",1/(1+YTM/Freq)^((57-1)+Wfrac))</f>
        <v/>
      </c>
      <c r="H75" s="31">
        <f>IF(57&gt;Ncoup,"",$E$75*$G$75)</f>
        <v/>
      </c>
      <c r="I75" s="37">
        <f>IF(57&gt;Ncoup,"",$E$75*((57-1)+Wfrac)*((57-1)+Wfrac+1)/(1+YTM/Freq)^((57-1)+Wfrac+2))</f>
        <v/>
      </c>
      <c r="J75" s="37">
        <f>IF(57&gt;Ncoup,"",$F$75*$H$75)</f>
        <v/>
      </c>
    </row>
    <row r="76">
      <c r="A76" s="20">
        <f>IF(58&gt;Ncoup,"",58)</f>
        <v/>
      </c>
      <c r="B76" s="36">
        <f>IF(58&gt;Ncoup,"",EDATE(Ncd,(12/Freq)*(58-1)))</f>
        <v/>
      </c>
      <c r="C76" s="31">
        <f>IF(58&gt;Ncoup,"",IF(IsZero=1,0,CouponRate/Freq*Face))</f>
        <v/>
      </c>
      <c r="D76" s="31">
        <f>IF(58&gt;Ncoup,"",IF(58=Ncoup,Face,0))</f>
        <v/>
      </c>
      <c r="E76" s="31">
        <f>IF(58&gt;Ncoup,"",$C$76+$D$76)</f>
        <v/>
      </c>
      <c r="F76" s="38">
        <f>IF(58&gt;Ncoup,"",((58-1)+Wfrac)/Freq)</f>
        <v/>
      </c>
      <c r="G76" s="37">
        <f>IF(58&gt;Ncoup,"",1/(1+YTM/Freq)^((58-1)+Wfrac))</f>
        <v/>
      </c>
      <c r="H76" s="31">
        <f>IF(58&gt;Ncoup,"",$E$76*$G$76)</f>
        <v/>
      </c>
      <c r="I76" s="37">
        <f>IF(58&gt;Ncoup,"",$E$76*((58-1)+Wfrac)*((58-1)+Wfrac+1)/(1+YTM/Freq)^((58-1)+Wfrac+2))</f>
        <v/>
      </c>
      <c r="J76" s="37">
        <f>IF(58&gt;Ncoup,"",$F$76*$H$76)</f>
        <v/>
      </c>
    </row>
    <row r="77">
      <c r="A77" s="20">
        <f>IF(59&gt;Ncoup,"",59)</f>
        <v/>
      </c>
      <c r="B77" s="36">
        <f>IF(59&gt;Ncoup,"",EDATE(Ncd,(12/Freq)*(59-1)))</f>
        <v/>
      </c>
      <c r="C77" s="31">
        <f>IF(59&gt;Ncoup,"",IF(IsZero=1,0,CouponRate/Freq*Face))</f>
        <v/>
      </c>
      <c r="D77" s="31">
        <f>IF(59&gt;Ncoup,"",IF(59=Ncoup,Face,0))</f>
        <v/>
      </c>
      <c r="E77" s="31">
        <f>IF(59&gt;Ncoup,"",$C$77+$D$77)</f>
        <v/>
      </c>
      <c r="F77" s="38">
        <f>IF(59&gt;Ncoup,"",((59-1)+Wfrac)/Freq)</f>
        <v/>
      </c>
      <c r="G77" s="37">
        <f>IF(59&gt;Ncoup,"",1/(1+YTM/Freq)^((59-1)+Wfrac))</f>
        <v/>
      </c>
      <c r="H77" s="31">
        <f>IF(59&gt;Ncoup,"",$E$77*$G$77)</f>
        <v/>
      </c>
      <c r="I77" s="37">
        <f>IF(59&gt;Ncoup,"",$E$77*((59-1)+Wfrac)*((59-1)+Wfrac+1)/(1+YTM/Freq)^((59-1)+Wfrac+2))</f>
        <v/>
      </c>
      <c r="J77" s="37">
        <f>IF(59&gt;Ncoup,"",$F$77*$H$77)</f>
        <v/>
      </c>
    </row>
    <row r="78">
      <c r="A78" s="20">
        <f>IF(60&gt;Ncoup,"",60)</f>
        <v/>
      </c>
      <c r="B78" s="36">
        <f>IF(60&gt;Ncoup,"",EDATE(Ncd,(12/Freq)*(60-1)))</f>
        <v/>
      </c>
      <c r="C78" s="31">
        <f>IF(60&gt;Ncoup,"",IF(IsZero=1,0,CouponRate/Freq*Face))</f>
        <v/>
      </c>
      <c r="D78" s="31">
        <f>IF(60&gt;Ncoup,"",IF(60=Ncoup,Face,0))</f>
        <v/>
      </c>
      <c r="E78" s="31">
        <f>IF(60&gt;Ncoup,"",$C$78+$D$78)</f>
        <v/>
      </c>
      <c r="F78" s="38">
        <f>IF(60&gt;Ncoup,"",((60-1)+Wfrac)/Freq)</f>
        <v/>
      </c>
      <c r="G78" s="37">
        <f>IF(60&gt;Ncoup,"",1/(1+YTM/Freq)^((60-1)+Wfrac))</f>
        <v/>
      </c>
      <c r="H78" s="31">
        <f>IF(60&gt;Ncoup,"",$E$78*$G$78)</f>
        <v/>
      </c>
      <c r="I78" s="37">
        <f>IF(60&gt;Ncoup,"",$E$78*((60-1)+Wfrac)*((60-1)+Wfrac+1)/(1+YTM/Freq)^((60-1)+Wfrac+2))</f>
        <v/>
      </c>
      <c r="J78" s="37">
        <f>IF(60&gt;Ncoup,"",$F$78*$H$78)</f>
        <v/>
      </c>
    </row>
    <row r="79">
      <c r="A79" s="20">
        <f>IF(61&gt;Ncoup,"",61)</f>
        <v/>
      </c>
      <c r="B79" s="36">
        <f>IF(61&gt;Ncoup,"",EDATE(Ncd,(12/Freq)*(61-1)))</f>
        <v/>
      </c>
      <c r="C79" s="31">
        <f>IF(61&gt;Ncoup,"",IF(IsZero=1,0,CouponRate/Freq*Face))</f>
        <v/>
      </c>
      <c r="D79" s="31">
        <f>IF(61&gt;Ncoup,"",IF(61=Ncoup,Face,0))</f>
        <v/>
      </c>
      <c r="E79" s="31">
        <f>IF(61&gt;Ncoup,"",$C$79+$D$79)</f>
        <v/>
      </c>
      <c r="F79" s="38">
        <f>IF(61&gt;Ncoup,"",((61-1)+Wfrac)/Freq)</f>
        <v/>
      </c>
      <c r="G79" s="37">
        <f>IF(61&gt;Ncoup,"",1/(1+YTM/Freq)^((61-1)+Wfrac))</f>
        <v/>
      </c>
      <c r="H79" s="31">
        <f>IF(61&gt;Ncoup,"",$E$79*$G$79)</f>
        <v/>
      </c>
      <c r="I79" s="37">
        <f>IF(61&gt;Ncoup,"",$E$79*((61-1)+Wfrac)*((61-1)+Wfrac+1)/(1+YTM/Freq)^((61-1)+Wfrac+2))</f>
        <v/>
      </c>
      <c r="J79" s="37">
        <f>IF(61&gt;Ncoup,"",$F$79*$H$79)</f>
        <v/>
      </c>
    </row>
    <row r="80">
      <c r="A80" s="20">
        <f>IF(62&gt;Ncoup,"",62)</f>
        <v/>
      </c>
      <c r="B80" s="36">
        <f>IF(62&gt;Ncoup,"",EDATE(Ncd,(12/Freq)*(62-1)))</f>
        <v/>
      </c>
      <c r="C80" s="31">
        <f>IF(62&gt;Ncoup,"",IF(IsZero=1,0,CouponRate/Freq*Face))</f>
        <v/>
      </c>
      <c r="D80" s="31">
        <f>IF(62&gt;Ncoup,"",IF(62=Ncoup,Face,0))</f>
        <v/>
      </c>
      <c r="E80" s="31">
        <f>IF(62&gt;Ncoup,"",$C$80+$D$80)</f>
        <v/>
      </c>
      <c r="F80" s="38">
        <f>IF(62&gt;Ncoup,"",((62-1)+Wfrac)/Freq)</f>
        <v/>
      </c>
      <c r="G80" s="37">
        <f>IF(62&gt;Ncoup,"",1/(1+YTM/Freq)^((62-1)+Wfrac))</f>
        <v/>
      </c>
      <c r="H80" s="31">
        <f>IF(62&gt;Ncoup,"",$E$80*$G$80)</f>
        <v/>
      </c>
      <c r="I80" s="37">
        <f>IF(62&gt;Ncoup,"",$E$80*((62-1)+Wfrac)*((62-1)+Wfrac+1)/(1+YTM/Freq)^((62-1)+Wfrac+2))</f>
        <v/>
      </c>
      <c r="J80" s="37">
        <f>IF(62&gt;Ncoup,"",$F$80*$H$80)</f>
        <v/>
      </c>
    </row>
    <row r="81">
      <c r="A81" s="39" t="inlineStr">
        <is>
          <t>Totals</t>
        </is>
      </c>
      <c r="C81" s="40">
        <f>SUM(C19:C80)</f>
        <v/>
      </c>
      <c r="D81" s="40">
        <f>SUM(D19:D80)</f>
        <v/>
      </c>
      <c r="E81" s="40">
        <f>SUM(E19:E80)</f>
        <v/>
      </c>
      <c r="H81" s="40">
        <f>SUM(H19:H80)</f>
        <v/>
      </c>
    </row>
    <row r="83" ht="18" customHeight="1">
      <c r="A83" s="12" t="inlineStr">
        <is>
          <t>From the schedule (auto)</t>
        </is>
      </c>
    </row>
    <row r="84">
      <c r="A84" s="7" t="inlineStr">
        <is>
          <t>Sum of PV  =  Dirty price</t>
        </is>
      </c>
      <c r="B84" s="27">
        <f>SUM(H19:H80)</f>
        <v/>
      </c>
      <c r="D84" s="11" t="inlineStr">
        <is>
          <t>Should equal the Dirty price on the Price &amp; Yield sheet (checked in Quality Check).</t>
        </is>
      </c>
    </row>
    <row r="85">
      <c r="A85" s="7" t="inlineStr">
        <is>
          <t>Macaulay duration (schedule)</t>
        </is>
      </c>
      <c r="B85" s="41">
        <f>SUM(J19:J80)/SUM(H19:H80)</f>
        <v/>
      </c>
    </row>
    <row r="86">
      <c r="A86" s="7" t="inlineStr">
        <is>
          <t>Convexity (schedule)</t>
        </is>
      </c>
      <c r="B86" s="42">
        <f>SUM(I19:I80)/(SUM(H19:H80)*Freq^2)</f>
        <v/>
      </c>
      <c r="D86" s="11" t="inlineStr">
        <is>
          <t>Excel has no convexity function, so it is computed from the schedule.</t>
        </is>
      </c>
    </row>
  </sheetData>
  <mergeCells count="13">
    <mergeCell ref="D14:J14"/>
    <mergeCell ref="A1:J1"/>
    <mergeCell ref="D84:J84"/>
    <mergeCell ref="A8:J8"/>
    <mergeCell ref="A9:J9"/>
    <mergeCell ref="A3:J3"/>
    <mergeCell ref="A83:J83"/>
    <mergeCell ref="D16:J16"/>
    <mergeCell ref="A7:J7"/>
    <mergeCell ref="D86:J86"/>
    <mergeCell ref="A2:J2"/>
    <mergeCell ref="A10:J10"/>
    <mergeCell ref="A13:J13"/>
  </mergeCells>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s>
  <pageMargins left="0.75" right="0.75" top="1" bottom="1" header="0.5" footer="0.5"/>
  <pageSetup orientation="landscape" fitToHeight="0" fitToWidth="1"/>
  <headerFooter>
    <oddHeader/>
    <oddFooter>&amp;R&amp;A  -  page &amp;P of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tabColor rgb="001F7A3D"/>
    <outlinePr summaryBelow="1" summaryRight="1"/>
    <pageSetUpPr fitToPage="1"/>
  </sheetPr>
  <dimension ref="A1:F32"/>
  <sheetViews>
    <sheetView showGridLines="0" workbookViewId="0">
      <pane ySplit="5" topLeftCell="A6" activePane="bottomLeft" state="frozen"/>
      <selection pane="bottomLeft" activeCell="A1" sqref="A1"/>
    </sheetView>
  </sheetViews>
  <sheetFormatPr baseColWidth="8" defaultRowHeight="15"/>
  <cols>
    <col width="26" customWidth="1" min="1" max="1"/>
    <col width="13" customWidth="1" min="2" max="2"/>
    <col width="8" customWidth="1" min="3" max="3"/>
    <col width="14" customWidth="1" min="4" max="4"/>
    <col width="14" customWidth="1" min="5" max="5"/>
    <col width="14" customWidth="1" min="6" max="6"/>
  </cols>
  <sheetData>
    <row r="1" ht="28" customHeight="1">
      <c r="A1" s="1" t="inlineStr">
        <is>
          <t>VALUATION SUMMARY</t>
        </is>
      </c>
    </row>
    <row r="2">
      <c r="A2" s="2" t="inlineStr">
        <is>
          <t>The key valuation numbers, with plain-English interpretation</t>
        </is>
      </c>
    </row>
    <row r="3">
      <c r="A3" s="3" t="inlineStr">
        <is>
          <t>Government Bond Analyzer  -  v1.0</t>
        </is>
      </c>
    </row>
    <row r="5">
      <c r="A5" s="4" t="inlineStr">
        <is>
          <t>Inputs</t>
        </is>
      </c>
      <c r="B5" s="4" t="inlineStr">
        <is>
          <t>Price &amp; Yield</t>
        </is>
      </c>
      <c r="C5" s="4" t="inlineStr">
        <is>
          <t>Cash Flows</t>
        </is>
      </c>
      <c r="D5" s="4" t="inlineStr">
        <is>
          <t>Valuation Summary</t>
        </is>
      </c>
      <c r="E5" s="4" t="inlineStr">
        <is>
          <t>Duration &amp; DV01</t>
        </is>
      </c>
      <c r="F5" s="4" t="inlineStr">
        <is>
          <t>Rate Shock</t>
        </is>
      </c>
    </row>
    <row r="6">
      <c r="A6" s="4" t="inlineStr">
        <is>
          <t>Yield Curve</t>
        </is>
      </c>
      <c r="B6" s="4" t="inlineStr">
        <is>
          <t>Investment Attractiveness</t>
        </is>
      </c>
      <c r="C6" s="4" t="inlineStr">
        <is>
          <t>Recommendation</t>
        </is>
      </c>
      <c r="D6" s="4" t="inlineStr">
        <is>
          <t>Explanations</t>
        </is>
      </c>
      <c r="E6" s="4" t="inlineStr">
        <is>
          <t>Quality Check</t>
        </is>
      </c>
      <c r="F6" s="4" t="inlineStr">
        <is>
          <t>Limitations</t>
        </is>
      </c>
    </row>
    <row r="7" ht="18" customHeight="1">
      <c r="A7" s="12" t="inlineStr">
        <is>
          <t>Price &amp; yield</t>
        </is>
      </c>
    </row>
    <row r="8">
      <c r="A8" s="7" t="inlineStr">
        <is>
          <t>Clean price</t>
        </is>
      </c>
      <c r="B8" s="26">
        <f>MktClean</f>
        <v/>
      </c>
    </row>
    <row r="9">
      <c r="A9" s="7" t="inlineStr">
        <is>
          <t>Dirty price</t>
        </is>
      </c>
      <c r="B9" s="26">
        <f>Dirty</f>
        <v/>
      </c>
    </row>
    <row r="10">
      <c r="A10" s="7" t="inlineStr">
        <is>
          <t>Accrued interest</t>
        </is>
      </c>
      <c r="B10" s="26">
        <f>Accrued</f>
        <v/>
      </c>
    </row>
    <row r="11">
      <c r="A11" s="7" t="inlineStr">
        <is>
          <t>Yield to maturity</t>
        </is>
      </c>
      <c r="B11" s="43">
        <f>YTM</f>
        <v/>
      </c>
    </row>
    <row r="12">
      <c r="A12" s="7" t="inlineStr">
        <is>
          <t>Current yield</t>
        </is>
      </c>
      <c r="B12" s="44">
        <f>CurrentYield</f>
        <v/>
      </c>
    </row>
    <row r="13">
      <c r="A13" s="7" t="inlineStr">
        <is>
          <t>Coupon rate</t>
        </is>
      </c>
      <c r="B13" s="44">
        <f>CouponRate</f>
        <v/>
      </c>
    </row>
    <row r="15" ht="18" customHeight="1">
      <c r="A15" s="12" t="inlineStr">
        <is>
          <t>Spread &amp; structure</t>
        </is>
      </c>
    </row>
    <row r="16">
      <c r="A16" s="7" t="inlineStr">
        <is>
          <t>Benchmark yield</t>
        </is>
      </c>
      <c r="B16" s="44">
        <f>BenchYield</f>
        <v/>
      </c>
    </row>
    <row r="17">
      <c r="A17" s="7" t="inlineStr">
        <is>
          <t>Spread over benchmark</t>
        </is>
      </c>
      <c r="B17" s="28">
        <f>YTM-BenchYield</f>
        <v/>
      </c>
      <c r="C17" s="25" t="n"/>
    </row>
    <row r="18">
      <c r="A18" s="7" t="inlineStr">
        <is>
          <t>Spread (basis points)</t>
        </is>
      </c>
      <c r="B18" s="45">
        <f>Spread*10000</f>
        <v/>
      </c>
    </row>
    <row r="19" ht="16" customHeight="1">
      <c r="A19" s="5" t="inlineStr">
        <is>
          <t>Explanation / Interpretation</t>
        </is>
      </c>
    </row>
    <row r="20" ht="37" customHeight="1">
      <c r="A20" s="6" t="inlineStr">
        <is>
          <t>Spread = bond yield minus the benchmark government yield of similar maturity. For government bonds, small differences can come from maturity, liquidity, the specific issue, market pricing, or (for non-US sovereigns) country-specific risk. A positive spread means you earn a little more than the benchmark.</t>
        </is>
      </c>
    </row>
    <row r="22">
      <c r="A22" s="7" t="inlineStr">
        <is>
          <t>Premium / discount to par</t>
        </is>
      </c>
      <c r="B22" s="26">
        <f>PremDisc</f>
        <v/>
      </c>
    </row>
    <row r="23" ht="16" customHeight="1">
      <c r="A23" s="5" t="inlineStr">
        <is>
          <t>Explanation / Interpretation</t>
        </is>
      </c>
    </row>
    <row r="24" ht="25" customHeight="1">
      <c r="A24" s="6" t="inlineStr">
        <is>
          <t>If the coupon rate is ABOVE the yield, the price should generally be ABOVE par (a premium). If the coupon is BELOW the yield, the price should be BELOW par (a discount). If they are close, the price should be near par.</t>
        </is>
      </c>
    </row>
    <row r="26">
      <c r="A26" s="7" t="inlineStr">
        <is>
          <t>Years to maturity</t>
        </is>
      </c>
      <c r="B26" s="46">
        <f>YearsToMat</f>
        <v/>
      </c>
    </row>
    <row r="27" ht="16" customHeight="1">
      <c r="A27" s="5" t="inlineStr">
        <is>
          <t>Explanation / Interpretation</t>
        </is>
      </c>
    </row>
    <row r="28" ht="25" customHeight="1">
      <c r="A28" s="6" t="inlineStr">
        <is>
          <t>Years to maturity is roughly how long until you get your principal back. LONGER maturity usually means HIGHER sensitivity to interest-rate moves (bigger price swings when yields change).</t>
        </is>
      </c>
    </row>
    <row r="30">
      <c r="A30" s="7" t="inlineStr">
        <is>
          <t>Remaining coupon payments</t>
        </is>
      </c>
      <c r="B30" s="47">
        <f>IF(IsZero=1,0,Ncoup)</f>
        <v/>
      </c>
    </row>
    <row r="31" ht="16" customHeight="1">
      <c r="A31" s="5" t="inlineStr">
        <is>
          <t>Explanation / Interpretation</t>
        </is>
      </c>
    </row>
    <row r="32" ht="25" customHeight="1">
      <c r="A32" s="6" t="inlineStr">
        <is>
          <t>This is how many coupon payments are left before maturity. A zero-coupon bond has none - you only receive the principal at the end.</t>
        </is>
      </c>
    </row>
  </sheetData>
  <mergeCells count="25">
    <mergeCell ref="B16:C16"/>
    <mergeCell ref="A27:F27"/>
    <mergeCell ref="B22:C22"/>
    <mergeCell ref="A3:F3"/>
    <mergeCell ref="B18:C18"/>
    <mergeCell ref="B12:C12"/>
    <mergeCell ref="A2:F2"/>
    <mergeCell ref="B11:C11"/>
    <mergeCell ref="A23:F23"/>
    <mergeCell ref="A32:F32"/>
    <mergeCell ref="B17:C17"/>
    <mergeCell ref="A20:F20"/>
    <mergeCell ref="B8:C8"/>
    <mergeCell ref="B13:C13"/>
    <mergeCell ref="A28:F28"/>
    <mergeCell ref="A19:F19"/>
    <mergeCell ref="B10:C10"/>
    <mergeCell ref="A31:F31"/>
    <mergeCell ref="B9:C9"/>
    <mergeCell ref="A15:F15"/>
    <mergeCell ref="A24:F24"/>
    <mergeCell ref="B30:C30"/>
    <mergeCell ref="A1:F1"/>
    <mergeCell ref="B26:C26"/>
    <mergeCell ref="A7:F7"/>
  </mergeCells>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s>
  <pageMargins left="0.75" right="0.75" top="1" bottom="1" header="0.5" footer="0.5"/>
  <pageSetup orientation="landscape" fitToHeight="0" fitToWidth="1"/>
  <headerFooter>
    <oddHeader/>
    <oddFooter>&amp;R&amp;A  -  page &amp;P of &amp;N</oddFooter>
    <evenHeader/>
    <evenFooter/>
    <firstHeader/>
    <firstFooter/>
  </headerFooter>
</worksheet>
</file>

<file path=xl/worksheets/sheet5.xml><?xml version="1.0" encoding="utf-8"?>
<worksheet xmlns="http://schemas.openxmlformats.org/spreadsheetml/2006/main">
  <sheetPr>
    <tabColor rgb="002E5984"/>
    <outlinePr summaryBelow="1" summaryRight="1"/>
    <pageSetUpPr fitToPage="1"/>
  </sheetPr>
  <dimension ref="A1:F26"/>
  <sheetViews>
    <sheetView showGridLines="0" workbookViewId="0">
      <pane ySplit="5" topLeftCell="A6" activePane="bottomLeft" state="frozen"/>
      <selection pane="bottomLeft" activeCell="A1" sqref="A1"/>
    </sheetView>
  </sheetViews>
  <sheetFormatPr baseColWidth="8" defaultRowHeight="15"/>
  <cols>
    <col width="26" customWidth="1" min="1" max="1"/>
    <col width="13" customWidth="1" min="2" max="2"/>
    <col width="8" customWidth="1" min="3" max="3"/>
    <col width="14" customWidth="1" min="4" max="4"/>
    <col width="14" customWidth="1" min="5" max="5"/>
    <col width="14" customWidth="1" min="6" max="6"/>
  </cols>
  <sheetData>
    <row r="1" ht="28" customHeight="1">
      <c r="A1" s="1" t="inlineStr">
        <is>
          <t>DURATION / DV01 / CONVEXITY</t>
        </is>
      </c>
    </row>
    <row r="2">
      <c r="A2" s="2" t="inlineStr">
        <is>
          <t>How sensitive the bond is to interest-rate moves</t>
        </is>
      </c>
    </row>
    <row r="3">
      <c r="A3" s="3" t="inlineStr">
        <is>
          <t>Government Bond Analyzer  -  v1.0</t>
        </is>
      </c>
    </row>
    <row r="5">
      <c r="A5" s="4" t="inlineStr">
        <is>
          <t>Inputs</t>
        </is>
      </c>
      <c r="B5" s="4" t="inlineStr">
        <is>
          <t>Price &amp; Yield</t>
        </is>
      </c>
      <c r="C5" s="4" t="inlineStr">
        <is>
          <t>Cash Flows</t>
        </is>
      </c>
      <c r="D5" s="4" t="inlineStr">
        <is>
          <t>Valuation Summary</t>
        </is>
      </c>
      <c r="E5" s="4" t="inlineStr">
        <is>
          <t>Duration &amp; DV01</t>
        </is>
      </c>
      <c r="F5" s="4" t="inlineStr">
        <is>
          <t>Rate Shock</t>
        </is>
      </c>
    </row>
    <row r="6">
      <c r="A6" s="4" t="inlineStr">
        <is>
          <t>Yield Curve</t>
        </is>
      </c>
      <c r="B6" s="4" t="inlineStr">
        <is>
          <t>Investment Attractiveness</t>
        </is>
      </c>
      <c r="C6" s="4" t="inlineStr">
        <is>
          <t>Recommendation</t>
        </is>
      </c>
      <c r="D6" s="4" t="inlineStr">
        <is>
          <t>Explanations</t>
        </is>
      </c>
      <c r="E6" s="4" t="inlineStr">
        <is>
          <t>Quality Check</t>
        </is>
      </c>
      <c r="F6" s="4" t="inlineStr">
        <is>
          <t>Limitations</t>
        </is>
      </c>
    </row>
    <row r="7" ht="18" customHeight="1">
      <c r="A7" s="12" t="inlineStr">
        <is>
          <t>Sensitivity measures</t>
        </is>
      </c>
    </row>
    <row r="8">
      <c r="A8" s="7" t="inlineStr">
        <is>
          <t>Macaulay duration</t>
        </is>
      </c>
      <c r="B8" s="41">
        <f>IF(IsZero=1,YearsToMat,DURATION(Settle,Maturity,CouponRate,YTM,Freq,Basis))</f>
        <v/>
      </c>
      <c r="C8" s="25" t="n"/>
    </row>
    <row r="9" ht="16" customHeight="1">
      <c r="A9" s="5" t="inlineStr">
        <is>
          <t>Explanation / Interpretation</t>
        </is>
      </c>
    </row>
    <row r="10" ht="37" customHeight="1">
      <c r="A10" s="6" t="inlineStr">
        <is>
          <t>Macaulay duration is the weighted average time to receive the bond's cash flows. For a zero-coupon bond it is close to the time to maturity, because all the cash arrives at the end. For a coupon bond it is usually shorter than maturity, because some cash is received earlier through coupons.</t>
        </is>
      </c>
    </row>
    <row r="11" ht="14" customHeight="1">
      <c r="A11" s="6" t="inlineStr">
        <is>
          <t>Interpretation: a HIGHER Macaulay duration means the investor waits longer, on average, to get their money.</t>
        </is>
      </c>
    </row>
    <row r="13">
      <c r="A13" s="7" t="inlineStr">
        <is>
          <t>Modified duration</t>
        </is>
      </c>
      <c r="B13" s="42">
        <f>IF(IsZero=1,YearsToMat/(1+YTM),MDURATION(Settle,Maturity,CouponRate,YTM,Freq,Basis))</f>
        <v/>
      </c>
      <c r="C13" s="25" t="n"/>
    </row>
    <row r="14" ht="16" customHeight="1">
      <c r="A14" s="5" t="inlineStr">
        <is>
          <t>Explanation / Interpretation</t>
        </is>
      </c>
    </row>
    <row r="15" ht="25" customHeight="1">
      <c r="A15" s="6" t="inlineStr">
        <is>
          <t>Modified duration estimates the percentage price change for a 1% move in yield. If modified duration is 5, then a 1% rise in yield would reduce the price by around 5%, before convexity.</t>
        </is>
      </c>
    </row>
    <row r="16" ht="14" customHeight="1">
      <c r="A16" s="6" t="inlineStr">
        <is>
          <t>Interpretation: HIGHER modified duration = HIGHER interest-rate risk; LOWER = lower rate risk.</t>
        </is>
      </c>
    </row>
    <row r="18">
      <c r="A18" s="7" t="inlineStr">
        <is>
          <t>DV01 (per 100 face)</t>
        </is>
      </c>
      <c r="B18" s="48">
        <f>ModDur*Dirty*0.0001</f>
        <v/>
      </c>
      <c r="C18" s="25" t="n"/>
    </row>
    <row r="19" ht="16" customHeight="1">
      <c r="A19" s="5" t="inlineStr">
        <is>
          <t>Explanation / Interpretation</t>
        </is>
      </c>
    </row>
    <row r="20" ht="37" customHeight="1">
      <c r="A20" s="6" t="inlineStr">
        <is>
          <t>DV01 shows the approximate money price change for a 1 basis-point move in yield (1 bp = 0.01%). If DV01 is 45, a 1 bp rise in yield reduces the value by about 45, and a 1 bp fall increases it by about 45. (Here it is per 100 of face; scale by your position size for a money amount.)</t>
        </is>
      </c>
    </row>
    <row r="21" ht="14" customHeight="1">
      <c r="A21" s="6" t="inlineStr">
        <is>
          <t>Interpretation: DV01 turns rate risk into money terms. HIGHER DV01 = bigger profit/loss for small yield moves.</t>
        </is>
      </c>
    </row>
    <row r="23">
      <c r="A23" s="7" t="inlineStr">
        <is>
          <t>Convexity</t>
        </is>
      </c>
      <c r="B23" s="49">
        <f>Convexity</f>
        <v/>
      </c>
    </row>
    <row r="24" ht="16" customHeight="1">
      <c r="A24" s="5" t="inlineStr">
        <is>
          <t>Explanation / Interpretation</t>
        </is>
      </c>
    </row>
    <row r="25" ht="25" customHeight="1">
      <c r="A25" s="6" t="inlineStr">
        <is>
          <t>Convexity measures how the bond's price sensitivity itself changes when yields move. Duration gives a straight-line estimate, but bond prices move in a curved way; convexity improves the estimate, especially for larger yield moves.</t>
        </is>
      </c>
    </row>
    <row r="26" ht="25" customHeight="1">
      <c r="A26" s="6" t="inlineStr">
        <is>
          <t>Interpretation: for normal fixed-rate government bonds convexity is POSITIVE, which is good for you - the bond gains slightly MORE when yields fall and loses slightly LESS when yields rise than duration alone says.</t>
        </is>
      </c>
    </row>
  </sheetData>
  <mergeCells count="20">
    <mergeCell ref="A16:F16"/>
    <mergeCell ref="A3:F3"/>
    <mergeCell ref="B18:C18"/>
    <mergeCell ref="A21:F21"/>
    <mergeCell ref="A26:F26"/>
    <mergeCell ref="A2:F2"/>
    <mergeCell ref="A14:F14"/>
    <mergeCell ref="B23:C23"/>
    <mergeCell ref="A20:F20"/>
    <mergeCell ref="B8:C8"/>
    <mergeCell ref="B13:C13"/>
    <mergeCell ref="A10:F10"/>
    <mergeCell ref="A19:F19"/>
    <mergeCell ref="A9:F9"/>
    <mergeCell ref="A15:F15"/>
    <mergeCell ref="A24:F24"/>
    <mergeCell ref="A11:F11"/>
    <mergeCell ref="A1:F1"/>
    <mergeCell ref="A7:F7"/>
    <mergeCell ref="A25:F25"/>
  </mergeCells>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s>
  <pageMargins left="0.75" right="0.75" top="1" bottom="1" header="0.5" footer="0.5"/>
  <pageSetup orientation="landscape" fitToHeight="0" fitToWidth="1"/>
  <headerFooter>
    <oddHeader/>
    <oddFooter>&amp;R&amp;A  -  page &amp;P of &amp;N</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tabColor rgb="00C0641F"/>
    <outlinePr summaryBelow="1" summaryRight="1"/>
    <pageSetUpPr fitToPage="1"/>
  </sheetPr>
  <dimension ref="A1:H26"/>
  <sheetViews>
    <sheetView showGridLines="0" workbookViewId="0">
      <pane ySplit="5" topLeftCell="A6" activePane="bottomLeft" state="frozen"/>
      <selection pane="bottomLeft" activeCell="A1" sqref="A1"/>
    </sheetView>
  </sheetViews>
  <sheetFormatPr baseColWidth="8" defaultRowHeight="15"/>
  <cols>
    <col width="20" customWidth="1" min="1" max="1"/>
    <col width="11" customWidth="1" min="2" max="2"/>
    <col width="11" customWidth="1" min="3" max="3"/>
    <col width="12" customWidth="1" min="4" max="4"/>
    <col width="15" customWidth="1" min="5" max="5"/>
    <col width="16" customWidth="1" min="6" max="6"/>
    <col width="11" customWidth="1" min="7" max="7"/>
    <col width="30" customWidth="1" min="8" max="8"/>
  </cols>
  <sheetData>
    <row r="1" ht="28" customHeight="1">
      <c r="A1" s="1" t="inlineStr">
        <is>
          <t>RATE SHOCK ANALYSIS</t>
        </is>
      </c>
    </row>
    <row r="2">
      <c r="A2" s="2" t="inlineStr">
        <is>
          <t>What happens to the price if yields move up or down</t>
        </is>
      </c>
    </row>
    <row r="3">
      <c r="A3" s="3" t="inlineStr">
        <is>
          <t>Government Bond Analyzer  -  v1.0</t>
        </is>
      </c>
    </row>
    <row r="5">
      <c r="A5" s="4" t="inlineStr">
        <is>
          <t>Inputs</t>
        </is>
      </c>
      <c r="B5" s="4" t="inlineStr">
        <is>
          <t>Price &amp; Yield</t>
        </is>
      </c>
      <c r="C5" s="4" t="inlineStr">
        <is>
          <t>Cash Flows</t>
        </is>
      </c>
      <c r="D5" s="4" t="inlineStr">
        <is>
          <t>Valuation Summary</t>
        </is>
      </c>
      <c r="E5" s="4" t="inlineStr">
        <is>
          <t>Duration &amp; DV01</t>
        </is>
      </c>
      <c r="F5" s="4" t="inlineStr">
        <is>
          <t>Rate Shock</t>
        </is>
      </c>
    </row>
    <row r="6">
      <c r="A6" s="4" t="inlineStr">
        <is>
          <t>Yield Curve</t>
        </is>
      </c>
      <c r="B6" s="4" t="inlineStr">
        <is>
          <t>Investment Attractiveness</t>
        </is>
      </c>
      <c r="C6" s="4" t="inlineStr">
        <is>
          <t>Recommendation</t>
        </is>
      </c>
      <c r="D6" s="4" t="inlineStr">
        <is>
          <t>Explanations</t>
        </is>
      </c>
      <c r="E6" s="4" t="inlineStr">
        <is>
          <t>Quality Check</t>
        </is>
      </c>
      <c r="F6" s="4" t="inlineStr">
        <is>
          <t>Limitations</t>
        </is>
      </c>
    </row>
    <row r="7" ht="16" customHeight="1">
      <c r="A7" s="5" t="inlineStr">
        <is>
          <t>How to read this sheet</t>
        </is>
      </c>
    </row>
    <row r="8" ht="25" customHeight="1">
      <c r="A8" s="6" t="inlineStr">
        <is>
          <t>This table is the bond's interest-rate sensitivity in action. If yields RISE, the price usually FALLS; if yields FALL, the price RISES. Longer-duration bonds move more.</t>
        </is>
      </c>
    </row>
    <row r="9" ht="25" customHeight="1">
      <c r="A9" s="6" t="inlineStr">
        <is>
          <t>'Duration only' is the straight-line estimate; 'duration + convexity' adds the curve correction and is more accurate for bigger moves.</t>
        </is>
      </c>
    </row>
    <row r="12" ht="26" customHeight="1">
      <c r="A12" s="33" t="inlineStr">
        <is>
          <t>Scenario</t>
        </is>
      </c>
      <c r="B12" s="33" t="inlineStr">
        <is>
          <t>Yield shock</t>
        </is>
      </c>
      <c r="C12" s="33" t="inlineStr">
        <is>
          <t>New yield</t>
        </is>
      </c>
      <c r="D12" s="33" t="inlineStr">
        <is>
          <t>Price chg
(duration)</t>
        </is>
      </c>
      <c r="E12" s="33" t="inlineStr">
        <is>
          <t>Price chg
(dur + convexity)</t>
        </is>
      </c>
      <c r="F12" s="33" t="inlineStr">
        <is>
          <t>Est. new clean price</t>
        </is>
      </c>
      <c r="G12" s="33" t="inlineStr">
        <is>
          <t>Gain / loss
(%)</t>
        </is>
      </c>
      <c r="H12" s="32" t="inlineStr">
        <is>
          <t>Interpretation</t>
        </is>
      </c>
    </row>
    <row r="13">
      <c r="A13" s="34" t="inlineStr">
        <is>
          <t>Yield falls 100 bps</t>
        </is>
      </c>
      <c r="B13" s="50" t="inlineStr">
        <is>
          <t>-100 bps</t>
        </is>
      </c>
      <c r="C13" s="35">
        <f>YTM+-0.01</f>
        <v/>
      </c>
      <c r="D13" s="31">
        <f>-ModDur*(-0.01)*CleanPrice</f>
        <v/>
      </c>
      <c r="E13" s="31">
        <f>(-ModDur*(-0.01)+0.5*Convexity*(-0.01)^2)*CleanPrice</f>
        <v/>
      </c>
      <c r="F13" s="27">
        <f>CleanPrice+$E$13</f>
        <v/>
      </c>
      <c r="G13" s="21">
        <f>IFERROR($E$13/CleanPrice,0)</f>
        <v/>
      </c>
      <c r="H13" s="9">
        <f>IF(-100&lt;0,"Yields fall -&gt; price rises (gain)",IF(-100&gt;0,"Yields rise -&gt; price falls (loss)","No change"))</f>
        <v/>
      </c>
    </row>
    <row r="14">
      <c r="A14" s="34" t="inlineStr">
        <is>
          <t>Yield falls 50 bps</t>
        </is>
      </c>
      <c r="B14" s="50" t="inlineStr">
        <is>
          <t>-50 bps</t>
        </is>
      </c>
      <c r="C14" s="35">
        <f>YTM+-0.005</f>
        <v/>
      </c>
      <c r="D14" s="31">
        <f>-ModDur*(-0.005)*CleanPrice</f>
        <v/>
      </c>
      <c r="E14" s="31">
        <f>(-ModDur*(-0.005)+0.5*Convexity*(-0.005)^2)*CleanPrice</f>
        <v/>
      </c>
      <c r="F14" s="27">
        <f>CleanPrice+$E$14</f>
        <v/>
      </c>
      <c r="G14" s="21">
        <f>IFERROR($E$14/CleanPrice,0)</f>
        <v/>
      </c>
      <c r="H14" s="9">
        <f>IF(-50&lt;0,"Yields fall -&gt; price rises (gain)",IF(-50&gt;0,"Yields rise -&gt; price falls (loss)","No change"))</f>
        <v/>
      </c>
    </row>
    <row r="15">
      <c r="A15" s="34" t="inlineStr">
        <is>
          <t>Yield falls 25 bps</t>
        </is>
      </c>
      <c r="B15" s="50" t="inlineStr">
        <is>
          <t>-25 bps</t>
        </is>
      </c>
      <c r="C15" s="35">
        <f>YTM+-0.0025</f>
        <v/>
      </c>
      <c r="D15" s="31">
        <f>-ModDur*(-0.0025)*CleanPrice</f>
        <v/>
      </c>
      <c r="E15" s="31">
        <f>(-ModDur*(-0.0025)+0.5*Convexity*(-0.0025)^2)*CleanPrice</f>
        <v/>
      </c>
      <c r="F15" s="27">
        <f>CleanPrice+$E$15</f>
        <v/>
      </c>
      <c r="G15" s="21">
        <f>IFERROR($E$15/CleanPrice,0)</f>
        <v/>
      </c>
      <c r="H15" s="9">
        <f>IF(-25&lt;0,"Yields fall -&gt; price rises (gain)",IF(-25&gt;0,"Yields rise -&gt; price falls (loss)","No change"))</f>
        <v/>
      </c>
    </row>
    <row r="16">
      <c r="A16" s="7" t="inlineStr">
        <is>
          <t>No change</t>
        </is>
      </c>
      <c r="B16" s="50" t="inlineStr">
        <is>
          <t>0 bps</t>
        </is>
      </c>
      <c r="C16" s="35">
        <f>YTM+0.0</f>
        <v/>
      </c>
      <c r="D16" s="31">
        <f>-ModDur*(0.0)*CleanPrice</f>
        <v/>
      </c>
      <c r="E16" s="31">
        <f>(-ModDur*(0.0)+0.5*Convexity*(0.0)^2)*CleanPrice</f>
        <v/>
      </c>
      <c r="F16" s="27">
        <f>CleanPrice+$E$16</f>
        <v/>
      </c>
      <c r="G16" s="21">
        <f>IFERROR($E$16/CleanPrice,0)</f>
        <v/>
      </c>
      <c r="H16" s="9">
        <f>IF(0&lt;0,"Yields fall -&gt; price rises (gain)",IF(0&gt;0,"Yields rise -&gt; price falls (loss)","No change"))</f>
        <v/>
      </c>
    </row>
    <row r="17">
      <c r="A17" s="34" t="inlineStr">
        <is>
          <t>Yield rises 25 bps</t>
        </is>
      </c>
      <c r="B17" s="50" t="inlineStr">
        <is>
          <t>+25 bps</t>
        </is>
      </c>
      <c r="C17" s="35">
        <f>YTM+0.0025</f>
        <v/>
      </c>
      <c r="D17" s="31">
        <f>-ModDur*(0.0025)*CleanPrice</f>
        <v/>
      </c>
      <c r="E17" s="31">
        <f>(-ModDur*(0.0025)+0.5*Convexity*(0.0025)^2)*CleanPrice</f>
        <v/>
      </c>
      <c r="F17" s="27">
        <f>CleanPrice+$E$17</f>
        <v/>
      </c>
      <c r="G17" s="21">
        <f>IFERROR($E$17/CleanPrice,0)</f>
        <v/>
      </c>
      <c r="H17" s="9">
        <f>IF(25&lt;0,"Yields fall -&gt; price rises (gain)",IF(25&gt;0,"Yields rise -&gt; price falls (loss)","No change"))</f>
        <v/>
      </c>
    </row>
    <row r="18">
      <c r="A18" s="34" t="inlineStr">
        <is>
          <t>Yield rises 50 bps</t>
        </is>
      </c>
      <c r="B18" s="50" t="inlineStr">
        <is>
          <t>+50 bps</t>
        </is>
      </c>
      <c r="C18" s="35">
        <f>YTM+0.005</f>
        <v/>
      </c>
      <c r="D18" s="31">
        <f>-ModDur*(0.005)*CleanPrice</f>
        <v/>
      </c>
      <c r="E18" s="31">
        <f>(-ModDur*(0.005)+0.5*Convexity*(0.005)^2)*CleanPrice</f>
        <v/>
      </c>
      <c r="F18" s="27">
        <f>CleanPrice+$E$18</f>
        <v/>
      </c>
      <c r="G18" s="21">
        <f>IFERROR($E$18/CleanPrice,0)</f>
        <v/>
      </c>
      <c r="H18" s="9">
        <f>IF(50&lt;0,"Yields fall -&gt; price rises (gain)",IF(50&gt;0,"Yields rise -&gt; price falls (loss)","No change"))</f>
        <v/>
      </c>
    </row>
    <row r="19">
      <c r="A19" s="34" t="inlineStr">
        <is>
          <t>Yield rises 100 bps</t>
        </is>
      </c>
      <c r="B19" s="50" t="inlineStr">
        <is>
          <t>+100 bps</t>
        </is>
      </c>
      <c r="C19" s="35">
        <f>YTM+0.01</f>
        <v/>
      </c>
      <c r="D19" s="31">
        <f>-ModDur*(0.01)*CleanPrice</f>
        <v/>
      </c>
      <c r="E19" s="31">
        <f>(-ModDur*(0.01)+0.5*Convexity*(0.01)^2)*CleanPrice</f>
        <v/>
      </c>
      <c r="F19" s="27">
        <f>CleanPrice+$E$19</f>
        <v/>
      </c>
      <c r="G19" s="21">
        <f>IFERROR($E$19/CleanPrice,0)</f>
        <v/>
      </c>
      <c r="H19" s="9">
        <f>IF(100&lt;0,"Yields fall -&gt; price rises (gain)",IF(100&gt;0,"Yields rise -&gt; price falls (loss)","No change"))</f>
        <v/>
      </c>
    </row>
    <row r="21" ht="18" customHeight="1">
      <c r="A21" s="12" t="inlineStr">
        <is>
          <t>Conclusion</t>
        </is>
      </c>
    </row>
    <row r="22">
      <c r="A22" s="7" t="inlineStr">
        <is>
          <t>Biggest upside</t>
        </is>
      </c>
      <c r="B22" s="9">
        <f>"Yields fall 100 bps -&gt; price about "&amp;TEXT($F$13,"0.00")&amp;" (+"&amp;TEXT($G$13,"0.0%")&amp;")"</f>
        <v/>
      </c>
    </row>
    <row r="23">
      <c r="A23" s="7" t="inlineStr">
        <is>
          <t>Biggest downside</t>
        </is>
      </c>
      <c r="B23" s="9">
        <f>"Yields rise 100 bps -&gt; price about "&amp;TEXT($F$19,"0.00")&amp;" ("&amp;TEXT($G$19,"0.0%")&amp;")"</f>
        <v/>
      </c>
    </row>
    <row r="24">
      <c r="A24" s="7" t="inlineStr">
        <is>
          <t>Main risk</t>
        </is>
      </c>
      <c r="B24" s="9">
        <f>IF(ModDur&gt;7,"Rising yields - this is a longer-duration bond, so a yield rise hurts the price a lot.","Rising yields would lower the price, but the duration here is moderate.")</f>
        <v/>
      </c>
    </row>
    <row r="25" ht="16" customHeight="1">
      <c r="A25" s="5" t="inlineStr">
        <is>
          <t>Explanation / Interpretation</t>
        </is>
      </c>
    </row>
    <row r="26" ht="25" customHeight="1">
      <c r="A26" s="6" t="inlineStr">
        <is>
          <t>How to read it: the '+100 bps' row is your downside if rates rise; the '-100 bps' row is your upside if rates fall. Notice the gain on a fall is slightly bigger than the loss on an equal rise - that is positive convexity.</t>
        </is>
      </c>
    </row>
  </sheetData>
  <mergeCells count="12">
    <mergeCell ref="A9:H9"/>
    <mergeCell ref="B22:H22"/>
    <mergeCell ref="A3:H3"/>
    <mergeCell ref="A21:H21"/>
    <mergeCell ref="A26:H26"/>
    <mergeCell ref="A7:H7"/>
    <mergeCell ref="A25:H25"/>
    <mergeCell ref="A2:H2"/>
    <mergeCell ref="B24:H24"/>
    <mergeCell ref="A1:H1"/>
    <mergeCell ref="A8:H8"/>
    <mergeCell ref="B23:H23"/>
  </mergeCells>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s>
  <pageMargins left="0.75" right="0.75" top="1" bottom="1" header="0.5" footer="0.5"/>
  <pageSetup orientation="landscape" fitToHeight="0" fitToWidth="1"/>
  <headerFooter>
    <oddHeader/>
    <oddFooter>&amp;R&amp;A  -  page &amp;P of &amp;N</oddFooter>
    <evenHeader/>
    <evenFooter/>
    <firstHeader/>
    <firstFooter/>
  </headerFooter>
</worksheet>
</file>

<file path=xl/worksheets/sheet7.xml><?xml version="1.0" encoding="utf-8"?>
<worksheet xmlns="http://schemas.openxmlformats.org/spreadsheetml/2006/main">
  <sheetPr>
    <tabColor rgb="002E5984"/>
    <outlinePr summaryBelow="1" summaryRight="1"/>
    <pageSetUpPr fitToPage="1"/>
  </sheetPr>
  <dimension ref="A1:F30"/>
  <sheetViews>
    <sheetView showGridLines="0" workbookViewId="0">
      <pane ySplit="5" topLeftCell="A6" activePane="bottomLeft" state="frozen"/>
      <selection pane="bottomLeft"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s>
  <sheetData>
    <row r="1" ht="28" customHeight="1">
      <c r="A1" s="1" t="inlineStr">
        <is>
          <t>YIELD CURVE / BENCHMARK CONTEXT</t>
        </is>
      </c>
    </row>
    <row r="2">
      <c r="A2" s="2" t="inlineStr">
        <is>
          <t>Where this bond sits on the government yield curve</t>
        </is>
      </c>
    </row>
    <row r="3">
      <c r="A3" s="3" t="inlineStr">
        <is>
          <t>Government Bond Analyzer  -  v1.0</t>
        </is>
      </c>
    </row>
    <row r="5">
      <c r="A5" s="4" t="inlineStr">
        <is>
          <t>Inputs</t>
        </is>
      </c>
      <c r="B5" s="4" t="inlineStr">
        <is>
          <t>Price &amp; Yield</t>
        </is>
      </c>
      <c r="C5" s="4" t="inlineStr">
        <is>
          <t>Cash Flows</t>
        </is>
      </c>
      <c r="D5" s="4" t="inlineStr">
        <is>
          <t>Valuation Summary</t>
        </is>
      </c>
      <c r="E5" s="4" t="inlineStr">
        <is>
          <t>Duration &amp; DV01</t>
        </is>
      </c>
      <c r="F5" s="4" t="inlineStr">
        <is>
          <t>Rate Shock</t>
        </is>
      </c>
    </row>
    <row r="6">
      <c r="A6" s="4" t="inlineStr">
        <is>
          <t>Yield Curve</t>
        </is>
      </c>
      <c r="B6" s="4" t="inlineStr">
        <is>
          <t>Investment Attractiveness</t>
        </is>
      </c>
      <c r="C6" s="4" t="inlineStr">
        <is>
          <t>Recommendation</t>
        </is>
      </c>
      <c r="D6" s="4" t="inlineStr">
        <is>
          <t>Explanations</t>
        </is>
      </c>
      <c r="E6" s="4" t="inlineStr">
        <is>
          <t>Quality Check</t>
        </is>
      </c>
      <c r="F6" s="4" t="inlineStr">
        <is>
          <t>Limitations</t>
        </is>
      </c>
    </row>
    <row r="7" ht="16" customHeight="1">
      <c r="A7" s="5" t="inlineStr">
        <is>
          <t>How to read this sheet</t>
        </is>
      </c>
    </row>
    <row r="8" ht="25" customHeight="1">
      <c r="A8" s="6" t="inlineStr">
        <is>
          <t>The yield curve shows government bond yields across different maturities. It helps you see whether longer bonds pay more (normal) and where your bond sits versus other maturities.</t>
        </is>
      </c>
    </row>
    <row r="9" ht="14" customHeight="1">
      <c r="A9" s="6" t="inlineStr">
        <is>
          <t>Enter the current government yields in the yellow cells; the chart and the read below update automatically.</t>
        </is>
      </c>
    </row>
    <row r="12" ht="18" customHeight="1">
      <c r="A12" s="12" t="inlineStr">
        <is>
          <t>Government yields</t>
        </is>
      </c>
    </row>
    <row r="13">
      <c r="A13" s="32" t="inlineStr">
        <is>
          <t>Tenor</t>
        </is>
      </c>
      <c r="B13" s="33" t="inlineStr">
        <is>
          <t>Yield</t>
        </is>
      </c>
    </row>
    <row r="14">
      <c r="A14" s="7" t="inlineStr">
        <is>
          <t>3-month</t>
        </is>
      </c>
      <c r="B14" s="17" t="n"/>
    </row>
    <row r="15">
      <c r="A15" s="7" t="inlineStr">
        <is>
          <t>2-year</t>
        </is>
      </c>
      <c r="B15" s="17" t="n"/>
    </row>
    <row r="16">
      <c r="A16" s="7" t="inlineStr">
        <is>
          <t>5-year</t>
        </is>
      </c>
      <c r="B16" s="17" t="n"/>
    </row>
    <row r="17">
      <c r="A17" s="7" t="inlineStr">
        <is>
          <t>10-year</t>
        </is>
      </c>
      <c r="B17" s="17" t="n"/>
    </row>
    <row r="18">
      <c r="A18" s="7" t="inlineStr">
        <is>
          <t>30-year</t>
        </is>
      </c>
      <c r="B18" s="17" t="n"/>
    </row>
    <row r="20" ht="18" customHeight="1">
      <c r="A20" s="12" t="inlineStr">
        <is>
          <t>Where this bond sits</t>
        </is>
      </c>
    </row>
    <row r="21">
      <c r="A21" s="7" t="inlineStr">
        <is>
          <t>Years to maturity</t>
        </is>
      </c>
      <c r="B21" s="46">
        <f>YearsToMat</f>
        <v/>
      </c>
    </row>
    <row r="22">
      <c r="A22" s="7" t="inlineStr">
        <is>
          <t>Maturity bucket</t>
        </is>
      </c>
      <c r="B22" s="10">
        <f>IF(YearsToMat&lt;=3,"Short-term",IF(YearsToMat&lt;=10,"Intermediate-term","Long-term"))</f>
        <v/>
      </c>
      <c r="C22" s="25" t="n"/>
    </row>
    <row r="23">
      <c r="A23" s="7" t="inlineStr">
        <is>
          <t>Curve slope (10y - 2y)</t>
        </is>
      </c>
      <c r="B23" s="45">
        <f>(Y10Y-Y2Y)*10000</f>
        <v/>
      </c>
    </row>
    <row r="24">
      <c r="A24" s="7" t="inlineStr">
        <is>
          <t>Curve shape</t>
        </is>
      </c>
      <c r="B24" s="10">
        <f>IF(N(Y10Y)=0,"Enter curve yields above",IF(Y10Y-Y2Y&gt;0.001,"Normal",IF(Y10Y-Y2Y&lt;-0.001,"Inverted","Flat")))</f>
        <v/>
      </c>
      <c r="C24" s="24" t="n"/>
      <c r="D24" s="25" t="n"/>
    </row>
    <row r="26" ht="16" customHeight="1">
      <c r="A26" s="5" t="inlineStr">
        <is>
          <t>Explanation / Interpretation</t>
        </is>
      </c>
    </row>
    <row r="27" ht="25" customHeight="1">
      <c r="A27" s="6" t="inlineStr">
        <is>
          <t>NORMAL curve: long-term yields are higher than short-term yields - investors demand more yield to lend for longer. This is the usual, healthy shape.</t>
        </is>
      </c>
    </row>
    <row r="28" ht="25" customHeight="1">
      <c r="A28" s="6" t="inlineStr">
        <is>
          <t>INVERTED curve: short-term yields are higher than long-term yields. It can happen when markets expect future rate cuts or slower growth, and is watched as a possible recession signal.</t>
        </is>
      </c>
    </row>
    <row r="29" ht="14" customHeight="1">
      <c r="A29" s="6" t="inlineStr">
        <is>
          <t>FLAT curve: short and long yields are close - often a sign of uncertainty or a turning point in rate expectations.</t>
        </is>
      </c>
    </row>
    <row r="30" ht="25" customHeight="1">
      <c r="A30" s="6" t="inlineStr">
        <is>
          <t>For this bond: a longer maturity sits further right on the curve and carries more interest-rate risk; a short bill sits at the left with little rate risk.</t>
        </is>
      </c>
    </row>
  </sheetData>
  <mergeCells count="15">
    <mergeCell ref="A2:F2"/>
    <mergeCell ref="A28:F28"/>
    <mergeCell ref="A1:F1"/>
    <mergeCell ref="A9:F9"/>
    <mergeCell ref="A27:F27"/>
    <mergeCell ref="A8:F8"/>
    <mergeCell ref="A26:F26"/>
    <mergeCell ref="B22:C22"/>
    <mergeCell ref="A29:F29"/>
    <mergeCell ref="A12:F12"/>
    <mergeCell ref="A3:F3"/>
    <mergeCell ref="A30:F30"/>
    <mergeCell ref="A20:F20"/>
    <mergeCell ref="B24:D24"/>
    <mergeCell ref="A7:F7"/>
  </mergeCells>
  <conditionalFormatting sqref="B24">
    <cfRule type="expression" priority="1" dxfId="0" stopIfTrue="1">
      <formula>OR(ISNUMBER(SEARCH("PASS",B24)),ISNUMBER(SEARCH("OK",B24)),ISNUMBER(SEARCH("Low",B24)),ISNUMBER(SEARCH("Normal",B24)),ISNUMBER(SEARCH("Buy",B24)),ISNUMBER(SEARCH("Short",B24)),ISNUMBER(SEARCH("Yes",B24)),ISNUMBER(SEARCH("Within",B24)),ISNUMBER(SEARCH("Attractive",B24)),ISNUMBER(SEARCH("Cheap",B24)),ISNUMBER(SEARCH("Upside",B24)))</formula>
    </cfRule>
    <cfRule type="expression" priority="2" dxfId="1" stopIfTrue="1">
      <formula>OR(ISNUMBER(SEARCH("WARNING",B24)),ISNUMBER(SEARCH("WARN",B24)),ISNUMBER(SEARCH("Medium",B24)),ISNUMBER(SEARCH("Flat",B24)),ISNUMBER(SEARCH("Hold",B24)),ISNUMBER(SEARCH("Intermediate",B24)),ISNUMBER(SEARCH("Review",B24)),ISNUMBER(SEARCH("Fair",B24)),ISNUMBER(SEARCH("Neutral",B24)))</formula>
    </cfRule>
    <cfRule type="expression" priority="3" dxfId="2" stopIfTrue="1">
      <formula>OR(ISNUMBER(SEARCH("FAIL",B24)),ISNUMBER(SEARCH("High",B24)),ISNUMBER(SEARCH("Inverted",B24)),ISNUMBER(SEARCH("Avoid",B24)),ISNUMBER(SEARCH("Long",B24)),ISNUMBER(SEARCH("Negative",B24)),ISNUMBER(SEARCH("Expensive",B24)),ISNUMBER(SEARCH("Not Attractive",B24)),ISNUMBER(SEARCH("Downside",B24)))</formula>
    </cfRule>
  </conditionalFormatting>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s>
  <pageMargins left="0.75" right="0.75" top="1" bottom="1" header="0.5" footer="0.5"/>
  <pageSetup orientation="landscape" fitToHeight="0" fitToWidth="1"/>
  <headerFooter>
    <oddHeader/>
    <oddFooter>&amp;R&amp;A  -  page &amp;P of &amp;N</oddFooter>
    <evenHeader/>
    <evenFooter/>
    <firstHeader/>
    <firstFooter/>
  </headerFooter>
  <drawing xmlns:r="http://schemas.openxmlformats.org/officeDocument/2006/relationships" r:id="rId13"/>
</worksheet>
</file>

<file path=xl/worksheets/sheet8.xml><?xml version="1.0" encoding="utf-8"?>
<worksheet xmlns="http://schemas.openxmlformats.org/spreadsheetml/2006/main">
  <sheetPr>
    <tabColor rgb="001F3A5F"/>
    <outlinePr summaryBelow="1" summaryRight="1"/>
    <pageSetUpPr fitToPage="1"/>
  </sheetPr>
  <dimension ref="A1:F36"/>
  <sheetViews>
    <sheetView showGridLines="0" workbookViewId="0">
      <pane ySplit="5" topLeftCell="A6" activePane="bottomLeft" state="frozen"/>
      <selection pane="bottomLeft" activeCell="A1" sqref="A1"/>
    </sheetView>
  </sheetViews>
  <sheetFormatPr baseColWidth="8" defaultRowHeight="15"/>
  <cols>
    <col width="24" customWidth="1" min="1" max="1"/>
    <col width="14" customWidth="1" min="2" max="2"/>
    <col width="8" customWidth="1" min="3" max="3"/>
    <col width="13" customWidth="1" min="4" max="4"/>
    <col width="13" customWidth="1" min="5" max="5"/>
    <col width="13" customWidth="1" min="6" max="6"/>
  </cols>
  <sheetData>
    <row r="1" ht="28" customHeight="1">
      <c r="A1" s="1" t="inlineStr">
        <is>
          <t>INVESTMENT ATTRACTIVENESS</t>
        </is>
      </c>
    </row>
    <row r="2">
      <c r="A2" s="2" t="inlineStr">
        <is>
          <t>Is this bond a good investment? A simple, transparent view</t>
        </is>
      </c>
    </row>
    <row r="3">
      <c r="A3" s="3" t="inlineStr">
        <is>
          <t>Government Bond Analyzer  -  v1.0</t>
        </is>
      </c>
    </row>
    <row r="5">
      <c r="A5" s="4" t="inlineStr">
        <is>
          <t>Inputs</t>
        </is>
      </c>
      <c r="B5" s="4" t="inlineStr">
        <is>
          <t>Price &amp; Yield</t>
        </is>
      </c>
      <c r="C5" s="4" t="inlineStr">
        <is>
          <t>Cash Flows</t>
        </is>
      </c>
      <c r="D5" s="4" t="inlineStr">
        <is>
          <t>Valuation Summary</t>
        </is>
      </c>
      <c r="E5" s="4" t="inlineStr">
        <is>
          <t>Duration &amp; DV01</t>
        </is>
      </c>
      <c r="F5" s="4" t="inlineStr">
        <is>
          <t>Rate Shock</t>
        </is>
      </c>
    </row>
    <row r="6">
      <c r="A6" s="4" t="inlineStr">
        <is>
          <t>Yield Curve</t>
        </is>
      </c>
      <c r="B6" s="4" t="inlineStr">
        <is>
          <t>Investment Attractiveness</t>
        </is>
      </c>
      <c r="C6" s="4" t="inlineStr">
        <is>
          <t>Recommendation</t>
        </is>
      </c>
      <c r="D6" s="4" t="inlineStr">
        <is>
          <t>Explanations</t>
        </is>
      </c>
      <c r="E6" s="4" t="inlineStr">
        <is>
          <t>Quality Check</t>
        </is>
      </c>
      <c r="F6" s="4" t="inlineStr">
        <is>
          <t>Limitations</t>
        </is>
      </c>
    </row>
    <row r="7" ht="16" customHeight="1">
      <c r="A7" s="5" t="inlineStr">
        <is>
          <t>How to read this sheet</t>
        </is>
      </c>
    </row>
    <row r="8" ht="37" customHeight="1">
      <c r="A8" s="6" t="inlineStr">
        <is>
          <t>This is a SIMPLE framework - not a guarantee. It scores the bond only on its yield, duration risk, price sensitivity (DV01), curve position and how well it fits your rate outlook. It helps you judge whether the yield is worth the interest-rate risk. It cannot know your personal situation.</t>
        </is>
      </c>
    </row>
    <row r="11">
      <c r="A11" s="32" t="inlineStr">
        <is>
          <t>Category</t>
        </is>
      </c>
      <c r="B11" s="33" t="inlineStr">
        <is>
          <t>Score</t>
        </is>
      </c>
      <c r="C11" s="33" t="inlineStr">
        <is>
          <t>Max</t>
        </is>
      </c>
      <c r="D11" s="32" t="inlineStr">
        <is>
          <t>How it is scored</t>
        </is>
      </c>
    </row>
    <row r="12">
      <c r="A12" s="7" t="inlineStr">
        <is>
          <t>Yield attractiveness</t>
        </is>
      </c>
      <c r="B12" s="20">
        <f>IF(YTM&gt;=0.045,3,IF(YTM&gt;=0.035,2,IF(YTM&gt;=0.025,1,0)))</f>
        <v/>
      </c>
      <c r="C12" s="11" t="inlineStr">
        <is>
          <t>/ 3</t>
        </is>
      </c>
      <c r="D12" s="11" t="inlineStr">
        <is>
          <t>3 if YTM &gt;= 4.5%, 2 if &gt;= 3.5%, 1 if &gt;= 2.5%, else 0 (more yield = more income).</t>
        </is>
      </c>
    </row>
    <row r="13">
      <c r="A13" s="7" t="inlineStr">
        <is>
          <t>Duration risk</t>
        </is>
      </c>
      <c r="B13" s="20">
        <f>IF(ModDur&lt;=3,3,IF(ModDur&lt;=7,2,IF(ModDur&lt;=12,1,0)))</f>
        <v/>
      </c>
      <c r="C13" s="11" t="inlineStr">
        <is>
          <t>/ 3</t>
        </is>
      </c>
      <c r="D13" s="11" t="inlineStr">
        <is>
          <t>Lower duration scores higher (less rate risk): 3 if &lt;= 3, 2 if &lt;= 7, 1 if &lt;= 12, else 0.</t>
        </is>
      </c>
    </row>
    <row r="14">
      <c r="A14" s="7" t="inlineStr">
        <is>
          <t>Price sensitivity (DV01)</t>
        </is>
      </c>
      <c r="B14" s="20">
        <f>IF(DV01&lt;=0.03,2,IF(DV01&lt;=0.08,1,0))</f>
        <v/>
      </c>
      <c r="C14" s="11" t="inlineStr">
        <is>
          <t>/ 2</t>
        </is>
      </c>
      <c r="D14" s="11" t="inlineStr">
        <is>
          <t>Lower DV01 = smaller price move per 1 bp: 2 if &lt;= 0.03, 1 if &lt;= 0.08, else 0.</t>
        </is>
      </c>
    </row>
    <row r="15">
      <c r="A15" s="7" t="inlineStr">
        <is>
          <t>Yield curve context</t>
        </is>
      </c>
      <c r="B15" s="20">
        <f>IF(N(Y10Y)=0,0,IF(Y10Y&gt;Y2Y,1,0))</f>
        <v/>
      </c>
      <c r="C15" s="11" t="inlineStr">
        <is>
          <t>/ 1</t>
        </is>
      </c>
      <c r="D15" s="11" t="inlineStr">
        <is>
          <t>1 if the curve is normal/upward (positive roll-down); 0 if flat/inverted or no curve entered.</t>
        </is>
      </c>
    </row>
    <row r="16">
      <c r="A16" s="7" t="inlineStr">
        <is>
          <t>Rate outlook fit</t>
        </is>
      </c>
      <c r="B16" s="20">
        <f>IF(RateOutlook="Yields Rise",IF(ModDur&lt;=4,1,0),IF(RateOutlook="Yields Fall",IF(ModDur&gt;=7,1,0),IF(YTM&gt;=BenchYield,1,0)))</f>
        <v/>
      </c>
      <c r="C16" s="11" t="inlineStr">
        <is>
          <t>/ 1</t>
        </is>
      </c>
      <c r="D16" s="11" t="inlineStr">
        <is>
          <t>Rise -&gt; short duration scores; Fall -&gt; long duration scores; Stable -&gt; carry (yield &gt;= benchmark) scores.</t>
        </is>
      </c>
    </row>
    <row r="17">
      <c r="A17" s="39" t="inlineStr">
        <is>
          <t>TOTAL SCORE</t>
        </is>
      </c>
      <c r="B17" s="51">
        <f>SUM(B12:B16)</f>
        <v/>
      </c>
      <c r="C17" s="52" t="inlineStr">
        <is>
          <t>/ 10</t>
        </is>
      </c>
      <c r="D17" s="11" t="inlineStr">
        <is>
          <t>8-10 = Attractive,  5-7 = Neutral,  0-4 = Not Attractive.</t>
        </is>
      </c>
    </row>
    <row r="19" ht="16" customHeight="1">
      <c r="A19" s="5" t="inlineStr">
        <is>
          <t>Explanation / Interpretation</t>
        </is>
      </c>
    </row>
    <row r="20" ht="37" customHeight="1">
      <c r="A20" s="6" t="inlineStr">
        <is>
          <t>The score adds points for a good yield, low duration/rate risk, low price sensitivity, a helpful curve, and a fit with your rate outlook. A higher score means the yield looks more worth the risk - but it is a starting point, not a personal recommendation.</t>
        </is>
      </c>
    </row>
    <row r="22" ht="18" customHeight="1">
      <c r="A22" s="12" t="inlineStr">
        <is>
          <t>Result</t>
        </is>
      </c>
    </row>
    <row r="23">
      <c r="A23" s="7" t="inlineStr">
        <is>
          <t>Model suggests</t>
        </is>
      </c>
      <c r="B23" s="53">
        <f>IF(AttractScore&gt;=8,"Attractive",IF(AttractScore&gt;=5,"Neutral","Not Attractive"))</f>
        <v/>
      </c>
      <c r="C23" s="54" t="n"/>
      <c r="D23" s="9">
        <f>"Score "&amp;AttractScore&amp;" / 10"</f>
        <v/>
      </c>
    </row>
    <row r="24" ht="24" customHeight="1">
      <c r="A24" s="7" t="inlineStr">
        <is>
          <t>Key supporting factor</t>
        </is>
      </c>
      <c r="B24" s="9">
        <f>IF(YTM&gt;=0.04,"Yield of "&amp;TEXT(YTM,"0.00%")&amp;" gives reasonable income for a government bond.",IF(ModDur&lt;=3,"Low rate risk - modified duration is only "&amp;TEXT(ModDur,"0.0")&amp;".","Simple, default-free government bond exposure."))</f>
        <v/>
      </c>
    </row>
    <row r="25" ht="24" customHeight="1">
      <c r="A25" s="7" t="inlineStr">
        <is>
          <t>Key risk</t>
        </is>
      </c>
      <c r="B25" s="9">
        <f>IF(ModDur&gt;7,"High duration ("&amp;TEXT(ModDur,"0.0")&amp;") - the price falls a lot if yields rise.",IF(YTM&lt;0.03,"Low yield - limited income for the interest-rate risk taken.",IF(AND(N(Y10Y)&gt;0,Y10Y&lt;Y2Y),"Inverted curve - a possible macro / recession signal.","Interest-rate risk - the price moves opposite to yields.")))</f>
        <v/>
      </c>
    </row>
    <row r="27" ht="18" customHeight="1">
      <c r="A27" s="12" t="inlineStr">
        <is>
          <t>Analyst override &amp; final view</t>
        </is>
      </c>
    </row>
    <row r="28">
      <c r="A28" s="7" t="inlineStr">
        <is>
          <t>Analyst override</t>
        </is>
      </c>
      <c r="C28" s="13" t="inlineStr">
        <is>
          <t>Use model view</t>
        </is>
      </c>
      <c r="D28" s="14" t="n"/>
      <c r="E28" s="11" t="inlineStr">
        <is>
          <t>Override the model if you disagree.</t>
        </is>
      </c>
    </row>
    <row r="29">
      <c r="A29" s="7" t="inlineStr">
        <is>
          <t>Final investment view</t>
        </is>
      </c>
      <c r="B29" s="53">
        <f>IF(AnalystOverride="Use model view",ModelView,AnalystOverride)</f>
        <v/>
      </c>
      <c r="C29" s="54" t="n"/>
    </row>
    <row r="31" ht="20" customHeight="1">
      <c r="A31" s="7" t="inlineStr">
        <is>
          <t>Final output</t>
        </is>
      </c>
      <c r="B31" s="10">
        <f>"Based on this simple framework, this bond currently appears: "&amp;FinalView&amp;"."</f>
        <v/>
      </c>
      <c r="C31" s="24" t="n"/>
      <c r="D31" s="24" t="n"/>
      <c r="E31" s="24" t="n"/>
      <c r="F31" s="25" t="n"/>
    </row>
    <row r="33" ht="28" customHeight="1">
      <c r="A33" s="7" t="inlineStr">
        <is>
          <t>Final analyst comment</t>
        </is>
      </c>
      <c r="B33" s="13" t="inlineStr"/>
      <c r="C33" s="55" t="n"/>
      <c r="D33" s="55" t="n"/>
      <c r="E33" s="55" t="n"/>
      <c r="F33" s="14" t="n"/>
    </row>
    <row r="35" ht="16" customHeight="1">
      <c r="A35" s="5" t="inlineStr">
        <is>
          <t>Important</t>
        </is>
      </c>
    </row>
    <row r="36" ht="37" customHeight="1">
      <c r="A36" s="6" t="inlineStr">
        <is>
          <t>Reminder: the attractiveness score is a simple, transparent framework, not a guarantee that the bond is a good investment. A bond can be right for one investor and wrong for another depending on horizon, cash needs and rate views. The final view above is editable - set it to whatever your judgement says.</t>
        </is>
      </c>
    </row>
  </sheetData>
  <mergeCells count="26">
    <mergeCell ref="D13:F13"/>
    <mergeCell ref="B25:F25"/>
    <mergeCell ref="A27:F27"/>
    <mergeCell ref="D17:F17"/>
    <mergeCell ref="B31:F31"/>
    <mergeCell ref="A3:F3"/>
    <mergeCell ref="D16:F16"/>
    <mergeCell ref="A2:F2"/>
    <mergeCell ref="A8:F8"/>
    <mergeCell ref="D12:F12"/>
    <mergeCell ref="B23:C23"/>
    <mergeCell ref="A22:F22"/>
    <mergeCell ref="E28:F28"/>
    <mergeCell ref="A35:F35"/>
    <mergeCell ref="A20:F20"/>
    <mergeCell ref="D15:F15"/>
    <mergeCell ref="D14:F14"/>
    <mergeCell ref="B29:C29"/>
    <mergeCell ref="A19:F19"/>
    <mergeCell ref="D23:F23"/>
    <mergeCell ref="B24:F24"/>
    <mergeCell ref="A36:F36"/>
    <mergeCell ref="B33:F33"/>
    <mergeCell ref="A1:F1"/>
    <mergeCell ref="C28:D28"/>
    <mergeCell ref="A7:F7"/>
  </mergeCells>
  <conditionalFormatting sqref="B23">
    <cfRule type="cellIs" priority="1" operator="equal" dxfId="0">
      <formula>"Attractive"</formula>
    </cfRule>
    <cfRule type="cellIs" priority="2" operator="equal" dxfId="1">
      <formula>"Neutral"</formula>
    </cfRule>
    <cfRule type="cellIs" priority="3" operator="equal" dxfId="2">
      <formula>"Not Attractive"</formula>
    </cfRule>
  </conditionalFormatting>
  <conditionalFormatting sqref="B29">
    <cfRule type="cellIs" priority="4" operator="equal" dxfId="0">
      <formula>"Attractive"</formula>
    </cfRule>
    <cfRule type="cellIs" priority="5" operator="equal" dxfId="1">
      <formula>"Neutral"</formula>
    </cfRule>
    <cfRule type="cellIs" priority="6" operator="equal" dxfId="2">
      <formula>"Not Attractive"</formula>
    </cfRule>
  </conditionalFormatting>
  <dataValidations count="1">
    <dataValidation sqref="C28" showDropDown="0" showInputMessage="0" showErrorMessage="1" allowBlank="1" type="list">
      <formula1>"Use model view,Attractive,Neutral,Not Attractive"</formula1>
    </dataValidation>
  </dataValidations>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s>
  <pageMargins left="0.75" right="0.75" top="1" bottom="1" header="0.5" footer="0.5"/>
  <pageSetup orientation="landscape" fitToHeight="0" fitToWidth="1"/>
  <headerFooter>
    <oddHeader/>
    <oddFooter>&amp;R&amp;A  -  page &amp;P of &amp;N</oddFooter>
    <evenHeader/>
    <evenFooter/>
    <firstHeader/>
    <firstFooter/>
  </headerFooter>
</worksheet>
</file>

<file path=xl/worksheets/sheet9.xml><?xml version="1.0" encoding="utf-8"?>
<worksheet xmlns="http://schemas.openxmlformats.org/spreadsheetml/2006/main">
  <sheetPr>
    <tabColor rgb="001F3A5F"/>
    <outlinePr summaryBelow="1" summaryRight="1"/>
    <pageSetUpPr fitToPage="1"/>
  </sheetPr>
  <dimension ref="A1:F29"/>
  <sheetViews>
    <sheetView showGridLines="0" workbookViewId="0">
      <pane ySplit="5" topLeftCell="A6" activePane="bottomLeft" state="frozen"/>
      <selection pane="bottomLeft" activeCell="A1" sqref="A1"/>
    </sheetView>
  </sheetViews>
  <sheetFormatPr baseColWidth="8" defaultRowHeight="15"/>
  <cols>
    <col width="22" customWidth="1" min="1" max="1"/>
    <col width="14" customWidth="1" min="2" max="2"/>
    <col width="8" customWidth="1" min="3" max="3"/>
    <col width="20" customWidth="1" min="4" max="4"/>
    <col width="14" customWidth="1" min="5" max="5"/>
    <col width="12" customWidth="1" min="6" max="6"/>
  </cols>
  <sheetData>
    <row r="1" ht="28" customHeight="1">
      <c r="A1" s="1" t="inlineStr">
        <is>
          <t>RECOMMENDATION SUMMARY</t>
        </is>
      </c>
    </row>
    <row r="2">
      <c r="A2" s="2" t="inlineStr">
        <is>
          <t>One-page view of the bond and the analyst's call</t>
        </is>
      </c>
    </row>
    <row r="3">
      <c r="A3" s="3" t="inlineStr">
        <is>
          <t>Government Bond Analyzer  -  v1.0</t>
        </is>
      </c>
    </row>
    <row r="5">
      <c r="A5" s="4" t="inlineStr">
        <is>
          <t>Inputs</t>
        </is>
      </c>
      <c r="B5" s="4" t="inlineStr">
        <is>
          <t>Price &amp; Yield</t>
        </is>
      </c>
      <c r="C5" s="4" t="inlineStr">
        <is>
          <t>Cash Flows</t>
        </is>
      </c>
      <c r="D5" s="4" t="inlineStr">
        <is>
          <t>Valuation Summary</t>
        </is>
      </c>
      <c r="E5" s="4" t="inlineStr">
        <is>
          <t>Duration &amp; DV01</t>
        </is>
      </c>
      <c r="F5" s="4" t="inlineStr">
        <is>
          <t>Rate Shock</t>
        </is>
      </c>
    </row>
    <row r="6">
      <c r="A6" s="4" t="inlineStr">
        <is>
          <t>Yield Curve</t>
        </is>
      </c>
      <c r="B6" s="4" t="inlineStr">
        <is>
          <t>Investment Attractiveness</t>
        </is>
      </c>
      <c r="C6" s="4" t="inlineStr">
        <is>
          <t>Recommendation</t>
        </is>
      </c>
      <c r="D6" s="4" t="inlineStr">
        <is>
          <t>Explanations</t>
        </is>
      </c>
      <c r="E6" s="4" t="inlineStr">
        <is>
          <t>Quality Check</t>
        </is>
      </c>
      <c r="F6" s="4" t="inlineStr">
        <is>
          <t>Limitations</t>
        </is>
      </c>
    </row>
    <row r="7">
      <c r="A7" s="7" t="inlineStr">
        <is>
          <t>Final recommendation</t>
        </is>
      </c>
      <c r="C7" s="8" t="inlineStr">
        <is>
          <t>Hold</t>
        </is>
      </c>
      <c r="D7" s="14" t="n"/>
      <c r="E7" s="11" t="inlineStr">
        <is>
          <t>Manual - your trading call.</t>
        </is>
      </c>
    </row>
    <row r="8">
      <c r="A8" s="7" t="inlineStr">
        <is>
          <t>Investment attractiveness</t>
        </is>
      </c>
      <c r="C8" s="53">
        <f>FinalView</f>
        <v/>
      </c>
      <c r="D8" s="54" t="n"/>
      <c r="E8" s="11" t="inlineStr">
        <is>
          <t>From the Investment Attractiveness sheet.</t>
        </is>
      </c>
    </row>
    <row r="10" ht="18" customHeight="1">
      <c r="A10" s="12" t="inlineStr">
        <is>
          <t>Bond &amp; pricing</t>
        </is>
      </c>
      <c r="D10" s="12" t="inlineStr">
        <is>
          <t>Risk &amp; context</t>
        </is>
      </c>
    </row>
    <row r="11">
      <c r="A11" s="7" t="inlineStr">
        <is>
          <t>Bond name</t>
        </is>
      </c>
      <c r="B11" s="56">
        <f>BondName</f>
        <v/>
      </c>
      <c r="D11" s="7" t="inlineStr">
        <is>
          <t>Macaulay duration</t>
        </is>
      </c>
      <c r="E11" s="46">
        <f>MacDur</f>
        <v/>
      </c>
    </row>
    <row r="12">
      <c r="A12" s="7" t="inlineStr">
        <is>
          <t>Issuer</t>
        </is>
      </c>
      <c r="B12" s="56">
        <f>Issuer</f>
        <v/>
      </c>
      <c r="D12" s="7" t="inlineStr">
        <is>
          <t>Modified duration</t>
        </is>
      </c>
      <c r="E12" s="49">
        <f>ModDur</f>
        <v/>
      </c>
    </row>
    <row r="13">
      <c r="A13" s="7" t="inlineStr">
        <is>
          <t>Currency</t>
        </is>
      </c>
      <c r="B13" s="56">
        <f>Ccy</f>
        <v/>
      </c>
      <c r="D13" s="7" t="inlineStr">
        <is>
          <t>Convexity</t>
        </is>
      </c>
      <c r="E13" s="49">
        <f>Convexity</f>
        <v/>
      </c>
    </row>
    <row r="14">
      <c r="A14" s="7" t="inlineStr">
        <is>
          <t>Maturity</t>
        </is>
      </c>
      <c r="B14" s="57">
        <f>Maturity</f>
        <v/>
      </c>
      <c r="D14" s="7" t="inlineStr">
        <is>
          <t>DV01 (per 100)</t>
        </is>
      </c>
      <c r="E14" s="58">
        <f>DV01</f>
        <v/>
      </c>
    </row>
    <row r="15">
      <c r="A15" s="7" t="inlineStr">
        <is>
          <t>Coupon rate</t>
        </is>
      </c>
      <c r="B15" s="44">
        <f>CouponRate</f>
        <v/>
      </c>
      <c r="D15" s="7" t="inlineStr">
        <is>
          <t>Price if +100 bps</t>
        </is>
      </c>
      <c r="E15" s="26">
        <f>CleanPrice+(-ModDur*0.01+0.5*Convexity*0.01^2)*CleanPrice</f>
        <v/>
      </c>
    </row>
    <row r="16">
      <c r="A16" s="7" t="inlineStr">
        <is>
          <t>Clean price</t>
        </is>
      </c>
      <c r="B16" s="26">
        <f>MktClean</f>
        <v/>
      </c>
      <c r="D16" s="7" t="inlineStr">
        <is>
          <t>Yield curve view</t>
        </is>
      </c>
      <c r="E16" s="56">
        <f>CurveShape</f>
        <v/>
      </c>
    </row>
    <row r="17">
      <c r="A17" s="7" t="inlineStr">
        <is>
          <t>Dirty price</t>
        </is>
      </c>
      <c r="B17" s="26">
        <f>Dirty</f>
        <v/>
      </c>
      <c r="D17" s="7" t="inlineStr">
        <is>
          <t>Maturity bucket</t>
        </is>
      </c>
      <c r="E17" s="56">
        <f>IF(YearsToMat&lt;=3,"Short-term",IF(YearsToMat&lt;=10,"Intermediate-term","Long-term"))</f>
        <v/>
      </c>
    </row>
    <row r="18">
      <c r="A18" s="7" t="inlineStr">
        <is>
          <t>Yield to maturity</t>
        </is>
      </c>
      <c r="B18" s="43">
        <f>YTM</f>
        <v/>
      </c>
      <c r="D18" s="7" t="inlineStr">
        <is>
          <t>Attractiveness score</t>
        </is>
      </c>
      <c r="E18" s="56">
        <f>AttractScore&amp;" / 10"</f>
        <v/>
      </c>
    </row>
    <row r="19">
      <c r="A19" s="7" t="inlineStr">
        <is>
          <t>Current yield</t>
        </is>
      </c>
      <c r="B19" s="44">
        <f>CurrentYield</f>
        <v/>
      </c>
    </row>
    <row r="20">
      <c r="A20" s="7" t="inlineStr">
        <is>
          <t>Spread (bps)</t>
        </is>
      </c>
      <c r="B20" s="59">
        <f>SpreadBps</f>
        <v/>
      </c>
    </row>
    <row r="22" ht="18" customHeight="1">
      <c r="A22" s="12" t="inlineStr">
        <is>
          <t>Positives, risks &amp; comment</t>
        </is>
      </c>
    </row>
    <row r="23" ht="24" customHeight="1">
      <c r="A23" s="7" t="inlineStr">
        <is>
          <t>Main positive factor</t>
        </is>
      </c>
      <c r="B23" s="9">
        <f>IF(YTM&gt;=BenchYield,"Yield of "&amp;TEXT(YTM,"0.00%")&amp;" is at or above the benchmark - decent income.","Simple, liquid, default-free government bond exposure.")</f>
        <v/>
      </c>
    </row>
    <row r="24" ht="24" customHeight="1">
      <c r="A24" s="7" t="inlineStr">
        <is>
          <t>Main risk</t>
        </is>
      </c>
      <c r="B24" s="9">
        <f>IF(ModDur&gt;7,"High duration - price is very sensitive to rising yields.","Interest-rate risk - the price falls if yields rise.")</f>
        <v/>
      </c>
    </row>
    <row r="25" ht="28" customHeight="1">
      <c r="A25" s="7" t="inlineStr">
        <is>
          <t>Final analyst comment</t>
        </is>
      </c>
      <c r="B25" s="13" t="inlineStr"/>
      <c r="C25" s="55" t="n"/>
      <c r="D25" s="55" t="n"/>
      <c r="E25" s="55" t="n"/>
      <c r="F25" s="14" t="n"/>
    </row>
    <row r="27" ht="16" customHeight="1">
      <c r="A27" s="5" t="inlineStr">
        <is>
          <t>How to read Buy / Hold / Avoid</t>
        </is>
      </c>
    </row>
    <row r="28" ht="25" customHeight="1">
      <c r="A28" s="6" t="inlineStr">
        <is>
          <t>BUY = the bond looks attractive on the model and your view. HOLD = acceptable, but not clearly attractive. AVOID = the return does not look like enough for the interest-rate risk.</t>
        </is>
      </c>
    </row>
    <row r="29" ht="14" customHeight="1">
      <c r="A29" s="6" t="inlineStr">
        <is>
          <t>The Buy / Hold / Avoid call is deliberately left as YOUR manual input - the model informs it but does not make it.</t>
        </is>
      </c>
    </row>
  </sheetData>
  <mergeCells count="16">
    <mergeCell ref="A10:C10"/>
    <mergeCell ref="A2:F2"/>
    <mergeCell ref="A28:F28"/>
    <mergeCell ref="C7:D7"/>
    <mergeCell ref="B24:F24"/>
    <mergeCell ref="E7:F7"/>
    <mergeCell ref="A1:F1"/>
    <mergeCell ref="B25:F25"/>
    <mergeCell ref="A29:F29"/>
    <mergeCell ref="A27:F27"/>
    <mergeCell ref="A22:F22"/>
    <mergeCell ref="B23:F23"/>
    <mergeCell ref="A3:F3"/>
    <mergeCell ref="E8:F8"/>
    <mergeCell ref="C8:D8"/>
    <mergeCell ref="D10:F10"/>
  </mergeCells>
  <conditionalFormatting sqref="C8">
    <cfRule type="cellIs" priority="1" operator="equal" dxfId="0">
      <formula>"Attractive"</formula>
    </cfRule>
    <cfRule type="cellIs" priority="2" operator="equal" dxfId="1">
      <formula>"Neutral"</formula>
    </cfRule>
    <cfRule type="cellIs" priority="3" operator="equal" dxfId="2">
      <formula>"Not Attractive"</formula>
    </cfRule>
  </conditionalFormatting>
  <dataValidations count="1">
    <dataValidation sqref="C7" showDropDown="0" showInputMessage="0" showErrorMessage="1" allowBlank="1" type="list">
      <formula1>"Buy,Hold,Avoid"</formula1>
    </dataValidation>
  </dataValidations>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s>
  <pageMargins left="0.75" right="0.75" top="1" bottom="1" header="0.5" footer="0.5"/>
  <pageSetup orientation="landscape" fitToHeight="0" fitToWidth="1"/>
  <headerFooter>
    <oddHeader/>
    <oddFooter>&amp;R&amp;A  -  page &amp;P of &amp;N</oddFooter>
    <evenHeader/>
    <evenFooter/>
    <firstHeader/>
    <firstFooter/>
  </headerFooter>
</worksheet>
</file>

<file path=xl/worksheets/sheet10.xml><?xml version="1.0" encoding="utf-8"?>
<worksheet xmlns="http://schemas.openxmlformats.org/spreadsheetml/2006/main">
  <sheetPr>
    <tabColor rgb="006B7986"/>
    <outlinePr summaryBelow="1" summaryRight="1"/>
    <pageSetUpPr fitToPage="1"/>
  </sheetPr>
  <dimension ref="A1:J149"/>
  <sheetViews>
    <sheetView showGridLines="0" workbookViewId="0">
      <pane ySplit="5" topLeftCell="A6" activePane="bottomLeft" state="frozen"/>
      <selection pane="bottomLeft" activeCell="A1" sqref="A1"/>
    </sheetView>
  </sheetViews>
  <sheetFormatPr baseColWidth="8" defaultRowHeight="15"/>
  <cols>
    <col width="1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ht="28" customHeight="1">
      <c r="A1" s="1" t="inlineStr">
        <is>
          <t>EXPLANATIONS</t>
        </is>
      </c>
    </row>
    <row r="2">
      <c r="A2" s="2" t="inlineStr">
        <is>
          <t>Every concept in plain English - for a beginner government bond analyst</t>
        </is>
      </c>
    </row>
    <row r="3">
      <c r="A3" s="3" t="inlineStr">
        <is>
          <t>Government Bond Analyzer  -  v1.0</t>
        </is>
      </c>
    </row>
    <row r="5">
      <c r="A5" s="4" t="inlineStr">
        <is>
          <t>Inputs</t>
        </is>
      </c>
      <c r="B5" s="4" t="inlineStr">
        <is>
          <t>Price &amp; Yield</t>
        </is>
      </c>
      <c r="C5" s="4" t="inlineStr">
        <is>
          <t>Cash Flows</t>
        </is>
      </c>
      <c r="D5" s="4" t="inlineStr">
        <is>
          <t>Valuation Summary</t>
        </is>
      </c>
      <c r="E5" s="4" t="inlineStr">
        <is>
          <t>Duration &amp; DV01</t>
        </is>
      </c>
      <c r="F5" s="4" t="inlineStr">
        <is>
          <t>Rate Shock</t>
        </is>
      </c>
    </row>
    <row r="6">
      <c r="A6" s="4" t="inlineStr">
        <is>
          <t>Yield Curve</t>
        </is>
      </c>
      <c r="B6" s="4" t="inlineStr">
        <is>
          <t>Investment Attractiveness</t>
        </is>
      </c>
      <c r="C6" s="4" t="inlineStr">
        <is>
          <t>Recommendation</t>
        </is>
      </c>
      <c r="D6" s="4" t="inlineStr">
        <is>
          <t>Explanations</t>
        </is>
      </c>
      <c r="E6" s="4" t="inlineStr">
        <is>
          <t>Quality Check</t>
        </is>
      </c>
      <c r="F6" s="4" t="inlineStr">
        <is>
          <t>Limitations</t>
        </is>
      </c>
    </row>
    <row r="7" ht="16" customHeight="1">
      <c r="A7" s="5" t="inlineStr">
        <is>
          <t>How to read this sheet</t>
        </is>
      </c>
    </row>
    <row r="8" ht="25" customHeight="1">
      <c r="A8" s="6" t="inlineStr">
        <is>
          <t>Read this once and you can understand every number in the workbook. For each idea you get the formula, a simple explanation, why it matters, how to read it, and a quick example.</t>
        </is>
      </c>
    </row>
    <row r="11" ht="18" customHeight="1">
      <c r="A11" s="12" t="inlineStr">
        <is>
          <t>Clean price</t>
        </is>
      </c>
    </row>
    <row r="12" ht="15" customHeight="1">
      <c r="A12" s="60" t="inlineStr">
        <is>
          <t>Formula</t>
        </is>
      </c>
      <c r="B12" s="9" t="inlineStr">
        <is>
          <t>The quoted market price (per 100 face)</t>
        </is>
      </c>
    </row>
    <row r="13" ht="15" customHeight="1">
      <c r="A13" s="60" t="inlineStr">
        <is>
          <t>In plain English</t>
        </is>
      </c>
      <c r="B13" s="11" t="inlineStr">
        <is>
          <t>The price you see quoted. It leaves out the interest that has built up since the last coupon.</t>
        </is>
      </c>
    </row>
    <row r="14" ht="15" customHeight="1">
      <c r="A14" s="60" t="inlineStr">
        <is>
          <t>Why it matters</t>
        </is>
      </c>
      <c r="B14" s="11" t="inlineStr">
        <is>
          <t>It is what you compare across bonds and what screens show.</t>
        </is>
      </c>
    </row>
    <row r="15" ht="15" customHeight="1">
      <c r="A15" s="60" t="inlineStr">
        <is>
          <t>How to interpret</t>
        </is>
      </c>
      <c r="B15" s="11" t="inlineStr">
        <is>
          <t>Above 100 = premium; below 100 = discount.</t>
        </is>
      </c>
    </row>
    <row r="16" ht="15" customHeight="1">
      <c r="A16" s="60" t="inlineStr">
        <is>
          <t>Example</t>
        </is>
      </c>
      <c r="B16" s="11" t="inlineStr">
        <is>
          <t>A note quoted at 96.50 has a clean price of 96.50.</t>
        </is>
      </c>
    </row>
    <row r="18" ht="18" customHeight="1">
      <c r="A18" s="12" t="inlineStr">
        <is>
          <t>Dirty price</t>
        </is>
      </c>
    </row>
    <row r="19" ht="15" customHeight="1">
      <c r="A19" s="60" t="inlineStr">
        <is>
          <t>Formula</t>
        </is>
      </c>
      <c r="B19" s="9" t="inlineStr">
        <is>
          <t>Dirty price = clean price + accrued interest</t>
        </is>
      </c>
    </row>
    <row r="20" ht="15" customHeight="1">
      <c r="A20" s="60" t="inlineStr">
        <is>
          <t>In plain English</t>
        </is>
      </c>
      <c r="B20" s="11" t="inlineStr">
        <is>
          <t>The actual cash you pay, because it includes the accrued interest owed to the seller.</t>
        </is>
      </c>
    </row>
    <row r="21" ht="15" customHeight="1">
      <c r="A21" s="60" t="inlineStr">
        <is>
          <t>Why it matters</t>
        </is>
      </c>
      <c r="B21" s="11" t="inlineStr">
        <is>
          <t>It is the true cost of buying the bond.</t>
        </is>
      </c>
    </row>
    <row r="22" ht="15" customHeight="1">
      <c r="A22" s="60" t="inlineStr">
        <is>
          <t>How to interpret</t>
        </is>
      </c>
      <c r="B22" s="11" t="inlineStr">
        <is>
          <t>Always a bit above the clean price between coupons.</t>
        </is>
      </c>
    </row>
    <row r="23" ht="15" customHeight="1">
      <c r="A23" s="60" t="inlineStr">
        <is>
          <t>Example</t>
        </is>
      </c>
      <c r="B23" s="11" t="inlineStr">
        <is>
          <t>Clean 96.50 + accrued 0.36 = dirty 96.86.</t>
        </is>
      </c>
    </row>
    <row r="25" ht="18" customHeight="1">
      <c r="A25" s="12" t="inlineStr">
        <is>
          <t>Accrued interest</t>
        </is>
      </c>
    </row>
    <row r="26" ht="15" customHeight="1">
      <c r="A26" s="60" t="inlineStr">
        <is>
          <t>Formula</t>
        </is>
      </c>
      <c r="B26" s="9" t="inlineStr">
        <is>
          <t>(days since last coupon / days in period) x periodic coupon</t>
        </is>
      </c>
    </row>
    <row r="27" ht="15" customHeight="1">
      <c r="A27" s="60" t="inlineStr">
        <is>
          <t>In plain English</t>
        </is>
      </c>
      <c r="B27" s="11" t="inlineStr">
        <is>
          <t>The slice of the next coupon the seller has already earned and you pay back.</t>
        </is>
      </c>
    </row>
    <row r="28" ht="15" customHeight="1">
      <c r="A28" s="60" t="inlineStr">
        <is>
          <t>Why it matters</t>
        </is>
      </c>
      <c r="B28" s="11" t="inlineStr">
        <is>
          <t>It explains why you pay more than the quoted price; it is zero for a bill.</t>
        </is>
      </c>
    </row>
    <row r="29" ht="15" customHeight="1">
      <c r="A29" s="60" t="inlineStr">
        <is>
          <t>How to interpret</t>
        </is>
      </c>
      <c r="B29" s="11" t="inlineStr">
        <is>
          <t>Grows daily, resets to zero right after each coupon.</t>
        </is>
      </c>
    </row>
    <row r="30" ht="15" customHeight="1">
      <c r="A30" s="60" t="inlineStr">
        <is>
          <t>Example</t>
        </is>
      </c>
      <c r="B30" s="11" t="inlineStr">
        <is>
          <t>Halfway through a period on a 4% coupon: about 1.0 per 100.</t>
        </is>
      </c>
    </row>
    <row r="32" ht="18" customHeight="1">
      <c r="A32" s="12" t="inlineStr">
        <is>
          <t>Yield to maturity (YTM)</t>
        </is>
      </c>
    </row>
    <row r="33" ht="15" customHeight="1">
      <c r="A33" s="60" t="inlineStr">
        <is>
          <t>Formula</t>
        </is>
      </c>
      <c r="B33" s="9" t="inlineStr">
        <is>
          <t>The rate that makes PV of cash flows = price</t>
        </is>
      </c>
    </row>
    <row r="34" ht="15" customHeight="1">
      <c r="A34" s="60" t="inlineStr">
        <is>
          <t>In plain English</t>
        </is>
      </c>
      <c r="B34" s="11" t="inlineStr">
        <is>
          <t>The annual return you earn if you hold to maturity and receive all payments.</t>
        </is>
      </c>
    </row>
    <row r="35" ht="15" customHeight="1">
      <c r="A35" s="60" t="inlineStr">
        <is>
          <t>Why it matters</t>
        </is>
      </c>
      <c r="B35" s="11" t="inlineStr">
        <is>
          <t>It is the single best summary of the return you lock in today.</t>
        </is>
      </c>
    </row>
    <row r="36" ht="15" customHeight="1">
      <c r="A36" s="60" t="inlineStr">
        <is>
          <t>How to interpret</t>
        </is>
      </c>
      <c r="B36" s="11" t="inlineStr">
        <is>
          <t>Higher price -&gt; lower YTM; lower price -&gt; higher YTM.</t>
        </is>
      </c>
    </row>
    <row r="37" ht="15" customHeight="1">
      <c r="A37" s="60" t="inlineStr">
        <is>
          <t>Example</t>
        </is>
      </c>
      <c r="B37" s="11" t="inlineStr">
        <is>
          <t>A bond at a discount has a YTM above its coupon.</t>
        </is>
      </c>
    </row>
    <row r="39" ht="18" customHeight="1">
      <c r="A39" s="12" t="inlineStr">
        <is>
          <t>Current yield</t>
        </is>
      </c>
    </row>
    <row r="40" ht="15" customHeight="1">
      <c r="A40" s="60" t="inlineStr">
        <is>
          <t>Formula</t>
        </is>
      </c>
      <c r="B40" s="9" t="inlineStr">
        <is>
          <t>Annual coupon / clean price</t>
        </is>
      </c>
    </row>
    <row r="41" ht="15" customHeight="1">
      <c r="A41" s="60" t="inlineStr">
        <is>
          <t>In plain English</t>
        </is>
      </c>
      <c r="B41" s="11" t="inlineStr">
        <is>
          <t>Just the coupon divided by the price - a quick income snapshot.</t>
        </is>
      </c>
    </row>
    <row r="42" ht="15" customHeight="1">
      <c r="A42" s="60" t="inlineStr">
        <is>
          <t>Why it matters</t>
        </is>
      </c>
      <c r="B42" s="11" t="inlineStr">
        <is>
          <t>It shows cash income but ignores gain/loss to maturity.</t>
        </is>
      </c>
    </row>
    <row r="43" ht="15" customHeight="1">
      <c r="A43" s="60" t="inlineStr">
        <is>
          <t>How to interpret</t>
        </is>
      </c>
      <c r="B43" s="11" t="inlineStr">
        <is>
          <t>Only a rough guide; YTM is fuller. N/A for a zero-coupon bond.</t>
        </is>
      </c>
    </row>
    <row r="44" ht="15" customHeight="1">
      <c r="A44" s="60" t="inlineStr">
        <is>
          <t>Example</t>
        </is>
      </c>
      <c r="B44" s="11" t="inlineStr">
        <is>
          <t>4% coupon at 96.50 -&gt; current yield ~4.15%.</t>
        </is>
      </c>
    </row>
    <row r="46" ht="18" customHeight="1">
      <c r="A46" s="12" t="inlineStr">
        <is>
          <t>Premium / discount to par</t>
        </is>
      </c>
    </row>
    <row r="47" ht="15" customHeight="1">
      <c r="A47" s="60" t="inlineStr">
        <is>
          <t>Formula</t>
        </is>
      </c>
      <c r="B47" s="9" t="inlineStr">
        <is>
          <t>Clean price - 100</t>
        </is>
      </c>
    </row>
    <row r="48" ht="15" customHeight="1">
      <c r="A48" s="60" t="inlineStr">
        <is>
          <t>In plain English</t>
        </is>
      </c>
      <c r="B48" s="11" t="inlineStr">
        <is>
          <t>Whether the bond trades above par (premium) or below par (discount).</t>
        </is>
      </c>
    </row>
    <row r="49" ht="15" customHeight="1">
      <c r="A49" s="60" t="inlineStr">
        <is>
          <t>Why it matters</t>
        </is>
      </c>
      <c r="B49" s="11" t="inlineStr">
        <is>
          <t>It tells you at a glance if the coupon is above or below market yields.</t>
        </is>
      </c>
    </row>
    <row r="50" ht="15" customHeight="1">
      <c r="A50" s="60" t="inlineStr">
        <is>
          <t>How to interpret</t>
        </is>
      </c>
      <c r="B50" s="11" t="inlineStr">
        <is>
          <t>Coupon above yield -&gt; premium; coupon below yield -&gt; discount.</t>
        </is>
      </c>
    </row>
    <row r="51" ht="15" customHeight="1">
      <c r="A51" s="60" t="inlineStr">
        <is>
          <t>Example</t>
        </is>
      </c>
      <c r="B51" s="11" t="inlineStr">
        <is>
          <t>Price 96.50 = a 3.50-point discount.</t>
        </is>
      </c>
    </row>
    <row r="53" ht="18" customHeight="1">
      <c r="A53" s="12" t="inlineStr">
        <is>
          <t>Price-yield relationship</t>
        </is>
      </c>
    </row>
    <row r="54" ht="15" customHeight="1">
      <c r="A54" s="60" t="inlineStr">
        <is>
          <t>Formula</t>
        </is>
      </c>
      <c r="B54" s="9" t="inlineStr">
        <is>
          <t>Price and yield move in opposite directions</t>
        </is>
      </c>
    </row>
    <row r="55" ht="15" customHeight="1">
      <c r="A55" s="60" t="inlineStr">
        <is>
          <t>In plain English</t>
        </is>
      </c>
      <c r="B55" s="11" t="inlineStr">
        <is>
          <t>When the market yield goes up, the bond's price goes down, and vice versa.</t>
        </is>
      </c>
    </row>
    <row r="56" ht="15" customHeight="1">
      <c r="A56" s="60" t="inlineStr">
        <is>
          <t>Why it matters</t>
        </is>
      </c>
      <c r="B56" s="11" t="inlineStr">
        <is>
          <t>It is the core of bond risk - it is why rising rates hurt bond prices.</t>
        </is>
      </c>
    </row>
    <row r="57" ht="15" customHeight="1">
      <c r="A57" s="60" t="inlineStr">
        <is>
          <t>How to interpret</t>
        </is>
      </c>
      <c r="B57" s="11" t="inlineStr">
        <is>
          <t>Rising yields = falling prices; falling yields = rising prices.</t>
        </is>
      </c>
    </row>
    <row r="58" ht="15" customHeight="1">
      <c r="A58" s="60" t="inlineStr">
        <is>
          <t>Example</t>
        </is>
      </c>
      <c r="B58" s="11" t="inlineStr">
        <is>
          <t>If your bond's yield rises 1%, a 7-duration bond loses about 7%.</t>
        </is>
      </c>
    </row>
    <row r="60" ht="18" customHeight="1">
      <c r="A60" s="12" t="inlineStr">
        <is>
          <t>Macaulay duration</t>
        </is>
      </c>
    </row>
    <row r="61" ht="15" customHeight="1">
      <c r="A61" s="60" t="inlineStr">
        <is>
          <t>Formula</t>
        </is>
      </c>
      <c r="B61" s="9" t="inlineStr">
        <is>
          <t>sum(time x PV) / sum(PV)</t>
        </is>
      </c>
    </row>
    <row r="62" ht="25" customHeight="1">
      <c r="A62" s="60" t="inlineStr">
        <is>
          <t>In plain English</t>
        </is>
      </c>
      <c r="B62" s="11" t="inlineStr">
        <is>
          <t>The weighted-average time to receive the bond's cash flows. For a zero it is close to the time to maturity; for a coupon bond it is a bit shorter than maturity because coupons come earlier.</t>
        </is>
      </c>
    </row>
    <row r="63" ht="15" customHeight="1">
      <c r="A63" s="60" t="inlineStr">
        <is>
          <t>Why it matters</t>
        </is>
      </c>
      <c r="B63" s="11" t="inlineStr">
        <is>
          <t>It is the base of interest-rate risk and a sense of how long your money is tied up.</t>
        </is>
      </c>
    </row>
    <row r="64" ht="15" customHeight="1">
      <c r="A64" s="60" t="inlineStr">
        <is>
          <t>How to interpret</t>
        </is>
      </c>
      <c r="B64" s="11" t="inlineStr">
        <is>
          <t>Measured in years; longer = cash is, on average, further away.</t>
        </is>
      </c>
    </row>
    <row r="65" ht="15" customHeight="1">
      <c r="A65" s="60" t="inlineStr">
        <is>
          <t>Example</t>
        </is>
      </c>
      <c r="B65" s="11" t="inlineStr">
        <is>
          <t>A 10-year note might have a Macaulay duration of ~7.5 years.</t>
        </is>
      </c>
    </row>
    <row r="67" ht="18" customHeight="1">
      <c r="A67" s="12" t="inlineStr">
        <is>
          <t>Modified duration</t>
        </is>
      </c>
    </row>
    <row r="68" ht="15" customHeight="1">
      <c r="A68" s="60" t="inlineStr">
        <is>
          <t>Formula</t>
        </is>
      </c>
      <c r="B68" s="9" t="inlineStr">
        <is>
          <t>Macaulay duration / (1 + yield/frequency)</t>
        </is>
      </c>
    </row>
    <row r="69" ht="25" customHeight="1">
      <c r="A69" s="60" t="inlineStr">
        <is>
          <t>In plain English</t>
        </is>
      </c>
      <c r="B69" s="11" t="inlineStr">
        <is>
          <t>The approximate % price change for a 1% (100 bps) move in yield. If it is 5, a 1% yield rise cuts the price ~5%.</t>
        </is>
      </c>
    </row>
    <row r="70" ht="15" customHeight="1">
      <c r="A70" s="60" t="inlineStr">
        <is>
          <t>Why it matters</t>
        </is>
      </c>
      <c r="B70" s="11" t="inlineStr">
        <is>
          <t>It is the main interest-rate risk number.</t>
        </is>
      </c>
    </row>
    <row r="71" ht="15" customHeight="1">
      <c r="A71" s="60" t="inlineStr">
        <is>
          <t>How to interpret</t>
        </is>
      </c>
      <c r="B71" s="11" t="inlineStr">
        <is>
          <t>Bigger = more price risk; longer bonds have larger modified duration.</t>
        </is>
      </c>
    </row>
    <row r="72" ht="15" customHeight="1">
      <c r="A72" s="60" t="inlineStr">
        <is>
          <t>Example</t>
        </is>
      </c>
      <c r="B72" s="11" t="inlineStr">
        <is>
          <t>Modified duration 7.4 -&gt; a 1% yield rise cuts the price ~7.4%.</t>
        </is>
      </c>
    </row>
    <row r="74" ht="18" customHeight="1">
      <c r="A74" s="12" t="inlineStr">
        <is>
          <t>Convexity</t>
        </is>
      </c>
    </row>
    <row r="75" ht="15" customHeight="1">
      <c r="A75" s="60" t="inlineStr">
        <is>
          <t>Formula</t>
        </is>
      </c>
      <c r="B75" s="9" t="inlineStr">
        <is>
          <t>sum(CF x t x (t+1)/(1+y/f)^(t+2)) / (price x f^2)</t>
        </is>
      </c>
    </row>
    <row r="76" ht="25" customHeight="1">
      <c r="A76" s="60" t="inlineStr">
        <is>
          <t>In plain English</t>
        </is>
      </c>
      <c r="B76" s="11" t="inlineStr">
        <is>
          <t>How the bond's sensitivity itself changes as yields move. Duration is a straight line; prices curve, and convexity captures the curve.</t>
        </is>
      </c>
    </row>
    <row r="77" ht="15" customHeight="1">
      <c r="A77" s="60" t="inlineStr">
        <is>
          <t>Why it matters</t>
        </is>
      </c>
      <c r="B77" s="11" t="inlineStr">
        <is>
          <t>It makes price-change estimates more accurate for bigger moves and is a small plus for you.</t>
        </is>
      </c>
    </row>
    <row r="78" ht="15" customHeight="1">
      <c r="A78" s="60" t="inlineStr">
        <is>
          <t>How to interpret</t>
        </is>
      </c>
      <c r="B78" s="11" t="inlineStr">
        <is>
          <t>Positive for normal bonds; helps on rallies, cushions sell-offs.</t>
        </is>
      </c>
    </row>
    <row r="79" ht="15" customHeight="1">
      <c r="A79" s="60" t="inlineStr">
        <is>
          <t>Example</t>
        </is>
      </c>
      <c r="B79" s="11" t="inlineStr">
        <is>
          <t>On +/-100 bps, the gain on the rally beats the loss on the sell-off a little.</t>
        </is>
      </c>
    </row>
    <row r="81" ht="18" customHeight="1">
      <c r="A81" s="12" t="inlineStr">
        <is>
          <t>DV01</t>
        </is>
      </c>
    </row>
    <row r="82" ht="15" customHeight="1">
      <c r="A82" s="60" t="inlineStr">
        <is>
          <t>Formula</t>
        </is>
      </c>
      <c r="B82" s="9" t="inlineStr">
        <is>
          <t>Modified duration x dirty price x 0.0001</t>
        </is>
      </c>
    </row>
    <row r="83" ht="25" customHeight="1">
      <c r="A83" s="60" t="inlineStr">
        <is>
          <t>In plain English</t>
        </is>
      </c>
      <c r="B83" s="11" t="inlineStr">
        <is>
          <t>The money price change for a 1 basis-point (0.01%) yield move. If DV01 is 45, a 1 bp move changes the value by about 45.</t>
        </is>
      </c>
    </row>
    <row r="84" ht="15" customHeight="1">
      <c r="A84" s="60" t="inlineStr">
        <is>
          <t>Why it matters</t>
        </is>
      </c>
      <c r="B84" s="11" t="inlineStr">
        <is>
          <t>It turns rate risk into money terms - useful for sizing and hedging.</t>
        </is>
      </c>
    </row>
    <row r="85" ht="15" customHeight="1">
      <c r="A85" s="60" t="inlineStr">
        <is>
          <t>How to interpret</t>
        </is>
      </c>
      <c r="B85" s="11" t="inlineStr">
        <is>
          <t>Quoted positive; bigger DV01 = bigger P&amp;L per basis point.</t>
        </is>
      </c>
    </row>
    <row r="86" ht="15" customHeight="1">
      <c r="A86" s="60" t="inlineStr">
        <is>
          <t>Example</t>
        </is>
      </c>
      <c r="B86" s="11" t="inlineStr">
        <is>
          <t>DV01 0.07 per 100 -&gt; ~0.07 price move per 1 bp.</t>
        </is>
      </c>
    </row>
    <row r="88" ht="18" customHeight="1">
      <c r="A88" s="12" t="inlineStr">
        <is>
          <t>Rate shock analysis</t>
        </is>
      </c>
    </row>
    <row r="89" ht="15" customHeight="1">
      <c r="A89" s="60" t="inlineStr">
        <is>
          <t>Formula</t>
        </is>
      </c>
      <c r="B89" s="9" t="inlineStr">
        <is>
          <t>price change ~ -Modified x (dy) + 0.5 x convexity x (dy)^2</t>
        </is>
      </c>
    </row>
    <row r="90" ht="25" customHeight="1">
      <c r="A90" s="60" t="inlineStr">
        <is>
          <t>In plain English</t>
        </is>
      </c>
      <c r="B90" s="11" t="inlineStr">
        <is>
          <t>A what-if that estimates the price if the yield jumps up or down by a set amount, using duration plus convexity.</t>
        </is>
      </c>
    </row>
    <row r="91" ht="15" customHeight="1">
      <c r="A91" s="60" t="inlineStr">
        <is>
          <t>Why it matters</t>
        </is>
      </c>
      <c r="B91" s="11" t="inlineStr">
        <is>
          <t>It stress-tests the bond so you see the downside if rates rise and the upside if they fall.</t>
        </is>
      </c>
    </row>
    <row r="92" ht="15" customHeight="1">
      <c r="A92" s="60" t="inlineStr">
        <is>
          <t>How to interpret</t>
        </is>
      </c>
      <c r="B92" s="11" t="inlineStr">
        <is>
          <t>Yields up -&gt; price down; longer duration -&gt; bigger move.</t>
        </is>
      </c>
    </row>
    <row r="93" ht="15" customHeight="1">
      <c r="A93" s="60" t="inlineStr">
        <is>
          <t>Example</t>
        </is>
      </c>
      <c r="B93" s="11" t="inlineStr">
        <is>
          <t>+100 bps on a 7.4-duration bond: roughly -7% from duration, softened by convexity.</t>
        </is>
      </c>
    </row>
    <row r="95" ht="18" customHeight="1">
      <c r="A95" s="12" t="inlineStr">
        <is>
          <t>Yield curve</t>
        </is>
      </c>
    </row>
    <row r="96" ht="15" customHeight="1">
      <c r="A96" s="60" t="inlineStr">
        <is>
          <t>Formula</t>
        </is>
      </c>
      <c r="B96" s="9" t="inlineStr">
        <is>
          <t>Government yields plotted by maturity</t>
        </is>
      </c>
    </row>
    <row r="97" ht="25" customHeight="1">
      <c r="A97" s="60" t="inlineStr">
        <is>
          <t>In plain English</t>
        </is>
      </c>
      <c r="B97" s="11" t="inlineStr">
        <is>
          <t>The yield curve shows government bond yields across different maturities - the map of rates over time.</t>
        </is>
      </c>
    </row>
    <row r="98" ht="15" customHeight="1">
      <c r="A98" s="60" t="inlineStr">
        <is>
          <t>Why it matters</t>
        </is>
      </c>
      <c r="B98" s="11" t="inlineStr">
        <is>
          <t>It shows whether longer bonds pay more and where your bond sits.</t>
        </is>
      </c>
    </row>
    <row r="99" ht="15" customHeight="1">
      <c r="A99" s="60" t="inlineStr">
        <is>
          <t>How to interpret</t>
        </is>
      </c>
      <c r="B99" s="11" t="inlineStr">
        <is>
          <t>Compare short vs long yields to read its shape.</t>
        </is>
      </c>
    </row>
    <row r="100" ht="15" customHeight="1">
      <c r="A100" s="60" t="inlineStr">
        <is>
          <t>Example</t>
        </is>
      </c>
      <c r="B100" s="11" t="inlineStr">
        <is>
          <t>2y at 4.1% and 10y at 4.5% -&gt; an upward (normal) curve.</t>
        </is>
      </c>
    </row>
    <row r="102" ht="18" customHeight="1">
      <c r="A102" s="12" t="inlineStr">
        <is>
          <t>Normal yield curve</t>
        </is>
      </c>
    </row>
    <row r="103" ht="15" customHeight="1">
      <c r="A103" s="60" t="inlineStr">
        <is>
          <t>Formula</t>
        </is>
      </c>
      <c r="B103" s="9" t="inlineStr">
        <is>
          <t>Long-term yields higher than short-term yields</t>
        </is>
      </c>
    </row>
    <row r="104" ht="15" customHeight="1">
      <c r="A104" s="60" t="inlineStr">
        <is>
          <t>In plain English</t>
        </is>
      </c>
      <c r="B104" s="11" t="inlineStr">
        <is>
          <t>A normal curve slopes up: you are paid more to lend for longer.</t>
        </is>
      </c>
    </row>
    <row r="105" ht="15" customHeight="1">
      <c r="A105" s="60" t="inlineStr">
        <is>
          <t>Why it matters</t>
        </is>
      </c>
      <c r="B105" s="11" t="inlineStr">
        <is>
          <t>It is the usual, healthy shape and means positive term premium.</t>
        </is>
      </c>
    </row>
    <row r="106" ht="15" customHeight="1">
      <c r="A106" s="60" t="inlineStr">
        <is>
          <t>How to interpret</t>
        </is>
      </c>
      <c r="B106" s="11" t="inlineStr">
        <is>
          <t>Upward-sloping = normal.</t>
        </is>
      </c>
    </row>
    <row r="107" ht="15" customHeight="1">
      <c r="A107" s="60" t="inlineStr">
        <is>
          <t>Example</t>
        </is>
      </c>
      <c r="B107" s="11" t="inlineStr">
        <is>
          <t>3m 4.3%, 2y 4.1%... no; normal example: 2y 4.0%, 10y 4.6%.</t>
        </is>
      </c>
    </row>
    <row r="109" ht="18" customHeight="1">
      <c r="A109" s="12" t="inlineStr">
        <is>
          <t>Inverted yield curve</t>
        </is>
      </c>
    </row>
    <row r="110" ht="15" customHeight="1">
      <c r="A110" s="60" t="inlineStr">
        <is>
          <t>Formula</t>
        </is>
      </c>
      <c r="B110" s="9" t="inlineStr">
        <is>
          <t>Short-term yields higher than long-term yields</t>
        </is>
      </c>
    </row>
    <row r="111" ht="15" customHeight="1">
      <c r="A111" s="60" t="inlineStr">
        <is>
          <t>In plain English</t>
        </is>
      </c>
      <c r="B111" s="11" t="inlineStr">
        <is>
          <t>An inverted curve slopes down - short maturities yield more than long ones.</t>
        </is>
      </c>
    </row>
    <row r="112" ht="15" customHeight="1">
      <c r="A112" s="60" t="inlineStr">
        <is>
          <t>Why it matters</t>
        </is>
      </c>
      <c r="B112" s="11" t="inlineStr">
        <is>
          <t>It is watched because inversions have often preceded recessions.</t>
        </is>
      </c>
    </row>
    <row r="113" ht="15" customHeight="1">
      <c r="A113" s="60" t="inlineStr">
        <is>
          <t>How to interpret</t>
        </is>
      </c>
      <c r="B113" s="11" t="inlineStr">
        <is>
          <t>Downward-sloping can signal expected rate cuts / a slowdown.</t>
        </is>
      </c>
    </row>
    <row r="114" ht="15" customHeight="1">
      <c r="A114" s="60" t="inlineStr">
        <is>
          <t>Example</t>
        </is>
      </c>
      <c r="B114" s="11" t="inlineStr">
        <is>
          <t>2y 4.6% and 10y 4.3% -&gt; inverted by 30 bps.</t>
        </is>
      </c>
    </row>
    <row r="116" ht="18" customHeight="1">
      <c r="A116" s="12" t="inlineStr">
        <is>
          <t>Flat yield curve</t>
        </is>
      </c>
    </row>
    <row r="117" ht="15" customHeight="1">
      <c r="A117" s="60" t="inlineStr">
        <is>
          <t>Formula</t>
        </is>
      </c>
      <c r="B117" s="9" t="inlineStr">
        <is>
          <t>Short and long yields are close together</t>
        </is>
      </c>
    </row>
    <row r="118" ht="15" customHeight="1">
      <c r="A118" s="60" t="inlineStr">
        <is>
          <t>In plain English</t>
        </is>
      </c>
      <c r="B118" s="11" t="inlineStr">
        <is>
          <t>A flat curve means short-term and long-term yields are about the same.</t>
        </is>
      </c>
    </row>
    <row r="119" ht="15" customHeight="1">
      <c r="A119" s="60" t="inlineStr">
        <is>
          <t>Why it matters</t>
        </is>
      </c>
      <c r="B119" s="11" t="inlineStr">
        <is>
          <t>It often signals uncertainty or a turning point in rate expectations.</t>
        </is>
      </c>
    </row>
    <row r="120" ht="15" customHeight="1">
      <c r="A120" s="60" t="inlineStr">
        <is>
          <t>How to interpret</t>
        </is>
      </c>
      <c r="B120" s="11" t="inlineStr">
        <is>
          <t>Roughly level across maturities = flat.</t>
        </is>
      </c>
    </row>
    <row r="121" ht="15" customHeight="1">
      <c r="A121" s="60" t="inlineStr">
        <is>
          <t>Example</t>
        </is>
      </c>
      <c r="B121" s="11" t="inlineStr">
        <is>
          <t>2y 4.3% and 10y 4.35% -&gt; basically flat.</t>
        </is>
      </c>
    </row>
    <row r="123" ht="18" customHeight="1">
      <c r="A123" s="12" t="inlineStr">
        <is>
          <t>Benchmark yield</t>
        </is>
      </c>
    </row>
    <row r="124" ht="15" customHeight="1">
      <c r="A124" s="60" t="inlineStr">
        <is>
          <t>Formula</t>
        </is>
      </c>
      <c r="B124" s="9" t="inlineStr">
        <is>
          <t>The yield of a similar-maturity government bond</t>
        </is>
      </c>
    </row>
    <row r="125" ht="25" customHeight="1">
      <c r="A125" s="60" t="inlineStr">
        <is>
          <t>In plain English</t>
        </is>
      </c>
      <c r="B125" s="11" t="inlineStr">
        <is>
          <t>The reference yield for a bond of similar maturity - usually the most recent (on-the-run) issue.</t>
        </is>
      </c>
    </row>
    <row r="126" ht="15" customHeight="1">
      <c r="A126" s="60" t="inlineStr">
        <is>
          <t>Why it matters</t>
        </is>
      </c>
      <c r="B126" s="11" t="inlineStr">
        <is>
          <t>It is the yardstick for judging whether your bond's yield is high, low or fair.</t>
        </is>
      </c>
    </row>
    <row r="127" ht="15" customHeight="1">
      <c r="A127" s="60" t="inlineStr">
        <is>
          <t>How to interpret</t>
        </is>
      </c>
      <c r="B127" s="11" t="inlineStr">
        <is>
          <t>Compare your YTM to it to see if you are paid more or less.</t>
        </is>
      </c>
    </row>
    <row r="128" ht="15" customHeight="1">
      <c r="A128" s="60" t="inlineStr">
        <is>
          <t>Example</t>
        </is>
      </c>
      <c r="B128" s="11" t="inlineStr">
        <is>
          <t>10y benchmark 4.30%, your note 4.48% -&gt; 18 bps more.</t>
        </is>
      </c>
    </row>
    <row r="130" ht="18" customHeight="1">
      <c r="A130" s="12" t="inlineStr">
        <is>
          <t>Spread over benchmark</t>
        </is>
      </c>
    </row>
    <row r="131" ht="15" customHeight="1">
      <c r="A131" s="60" t="inlineStr">
        <is>
          <t>Formula</t>
        </is>
      </c>
      <c r="B131" s="9" t="inlineStr">
        <is>
          <t>Spread = YTM - benchmark yield</t>
        </is>
      </c>
    </row>
    <row r="132" ht="15" customHeight="1">
      <c r="A132" s="60" t="inlineStr">
        <is>
          <t>In plain English</t>
        </is>
      </c>
      <c r="B132" s="11" t="inlineStr">
        <is>
          <t>The extra yield your bond offers over a similar-maturity benchmark.</t>
        </is>
      </c>
    </row>
    <row r="133" ht="15" customHeight="1">
      <c r="A133" s="60" t="inlineStr">
        <is>
          <t>Why it matters</t>
        </is>
      </c>
      <c r="B133" s="11" t="inlineStr">
        <is>
          <t>For governments it is usually small; a positive spread can mean the bond is a touch cheap.</t>
        </is>
      </c>
    </row>
    <row r="134" ht="15" customHeight="1">
      <c r="A134" s="60" t="inlineStr">
        <is>
          <t>How to interpret</t>
        </is>
      </c>
      <c r="B134" s="11" t="inlineStr">
        <is>
          <t>Positive = you earn more than the benchmark; negative = less.</t>
        </is>
      </c>
    </row>
    <row r="135" ht="15" customHeight="1">
      <c r="A135" s="60" t="inlineStr">
        <is>
          <t>Example</t>
        </is>
      </c>
      <c r="B135" s="11" t="inlineStr">
        <is>
          <t>A +18 bps spread = 0.18% more yield than the benchmark.</t>
        </is>
      </c>
    </row>
    <row r="137" ht="18" customHeight="1">
      <c r="A137" s="12" t="inlineStr">
        <is>
          <t>Investment attractiveness</t>
        </is>
      </c>
    </row>
    <row r="138" ht="15" customHeight="1">
      <c r="A138" s="60" t="inlineStr">
        <is>
          <t>Formula</t>
        </is>
      </c>
      <c r="B138" s="9" t="inlineStr">
        <is>
          <t>A simple score out of 10 across 5 categories</t>
        </is>
      </c>
    </row>
    <row r="139" ht="25" customHeight="1">
      <c r="A139" s="60" t="inlineStr">
        <is>
          <t>In plain English</t>
        </is>
      </c>
      <c r="B139" s="11" t="inlineStr">
        <is>
          <t>A transparent score that adds points for yield, low duration risk, low DV01, a helpful curve, and fit with your rate outlook.</t>
        </is>
      </c>
    </row>
    <row r="140" ht="25" customHeight="1">
      <c r="A140" s="60" t="inlineStr">
        <is>
          <t>Why it matters</t>
        </is>
      </c>
      <c r="B140" s="11" t="inlineStr">
        <is>
          <t>It gives a consistent first read on whether the yield is worth the risk - without pretending to know you.</t>
        </is>
      </c>
    </row>
    <row r="141" ht="15" customHeight="1">
      <c r="A141" s="60" t="inlineStr">
        <is>
          <t>How to interpret</t>
        </is>
      </c>
      <c r="B141" s="11" t="inlineStr">
        <is>
          <t>8-10 = Attractive, 5-7 = Neutral, 0-4 = Not Attractive; the analyst can override it.</t>
        </is>
      </c>
    </row>
    <row r="142" ht="15" customHeight="1">
      <c r="A142" s="60" t="inlineStr">
        <is>
          <t>Example</t>
        </is>
      </c>
      <c r="B142" s="11" t="inlineStr">
        <is>
          <t>8/10 (good yield, moderate duration) -&gt; 'Attractive'.</t>
        </is>
      </c>
    </row>
    <row r="144" ht="18" customHeight="1">
      <c r="A144" s="12" t="inlineStr">
        <is>
          <t>Buy / Hold / Avoid recommendation</t>
        </is>
      </c>
    </row>
    <row r="145" ht="15" customHeight="1">
      <c r="A145" s="60" t="inlineStr">
        <is>
          <t>Formula</t>
        </is>
      </c>
      <c r="B145" s="9" t="inlineStr">
        <is>
          <t>A manual analyst decision</t>
        </is>
      </c>
    </row>
    <row r="146" ht="25" customHeight="1">
      <c r="A146" s="60" t="inlineStr">
        <is>
          <t>In plain English</t>
        </is>
      </c>
      <c r="B146" s="11" t="inlineStr">
        <is>
          <t>The final trading call. The model gives hints and a score, but you make the Buy/Hold/Avoid decision.</t>
        </is>
      </c>
    </row>
    <row r="147" ht="15" customHeight="1">
      <c r="A147" s="60" t="inlineStr">
        <is>
          <t>Why it matters</t>
        </is>
      </c>
      <c r="B147" s="11" t="inlineStr">
        <is>
          <t>It keeps a human in the loop - the model informs, it does not decide.</t>
        </is>
      </c>
    </row>
    <row r="148" ht="15" customHeight="1">
      <c r="A148" s="60" t="inlineStr">
        <is>
          <t>How to interpret</t>
        </is>
      </c>
      <c r="B148" s="11" t="inlineStr">
        <is>
          <t>Buy = attractive; Hold = acceptable; Avoid = not enough return for the risk.</t>
        </is>
      </c>
    </row>
    <row r="149" ht="15" customHeight="1">
      <c r="A149" s="60" t="inlineStr">
        <is>
          <t>Example</t>
        </is>
      </c>
      <c r="B149" s="11" t="inlineStr">
        <is>
          <t>Attractive score + you expect yields to fall -&gt; you might lean Buy; you still choose.</t>
        </is>
      </c>
    </row>
  </sheetData>
  <mergeCells count="125">
    <mergeCell ref="B61:J61"/>
    <mergeCell ref="B14:J14"/>
    <mergeCell ref="B23:J23"/>
    <mergeCell ref="B13:J13"/>
    <mergeCell ref="B69:J69"/>
    <mergeCell ref="B78:J78"/>
    <mergeCell ref="B112:J112"/>
    <mergeCell ref="A130:J130"/>
    <mergeCell ref="B127:J127"/>
    <mergeCell ref="B40:J40"/>
    <mergeCell ref="B49:J49"/>
    <mergeCell ref="B55:J55"/>
    <mergeCell ref="B64:J64"/>
    <mergeCell ref="B33:J33"/>
    <mergeCell ref="B104:J104"/>
    <mergeCell ref="B51:J51"/>
    <mergeCell ref="B63:J63"/>
    <mergeCell ref="B26:J26"/>
    <mergeCell ref="B41:J41"/>
    <mergeCell ref="B35:J35"/>
    <mergeCell ref="B106:J106"/>
    <mergeCell ref="B16:J16"/>
    <mergeCell ref="B138:J138"/>
    <mergeCell ref="B90:J90"/>
    <mergeCell ref="A3:J3"/>
    <mergeCell ref="B131:J131"/>
    <mergeCell ref="B27:J27"/>
    <mergeCell ref="B140:J140"/>
    <mergeCell ref="A95:J95"/>
    <mergeCell ref="A32:J32"/>
    <mergeCell ref="B117:J117"/>
    <mergeCell ref="B132:J132"/>
    <mergeCell ref="A81:J81"/>
    <mergeCell ref="B119:J119"/>
    <mergeCell ref="B29:J29"/>
    <mergeCell ref="B103:J103"/>
    <mergeCell ref="B37:J37"/>
    <mergeCell ref="A67:J67"/>
    <mergeCell ref="B84:J84"/>
    <mergeCell ref="B118:J118"/>
    <mergeCell ref="A60:J60"/>
    <mergeCell ref="B15:J15"/>
    <mergeCell ref="B142:J142"/>
    <mergeCell ref="A123:J123"/>
    <mergeCell ref="B89:J89"/>
    <mergeCell ref="B79:J79"/>
    <mergeCell ref="A7:J7"/>
    <mergeCell ref="B97:J97"/>
    <mergeCell ref="A25:J25"/>
    <mergeCell ref="B54:J54"/>
    <mergeCell ref="B72:J72"/>
    <mergeCell ref="B134:J134"/>
    <mergeCell ref="B121:J121"/>
    <mergeCell ref="A18:J18"/>
    <mergeCell ref="B56:J56"/>
    <mergeCell ref="B71:J71"/>
    <mergeCell ref="B105:J105"/>
    <mergeCell ref="A2:J2"/>
    <mergeCell ref="B43:J43"/>
    <mergeCell ref="B58:J58"/>
    <mergeCell ref="B120:J120"/>
    <mergeCell ref="B98:J98"/>
    <mergeCell ref="B42:J42"/>
    <mergeCell ref="B107:J107"/>
    <mergeCell ref="A144:J144"/>
    <mergeCell ref="B57:J57"/>
    <mergeCell ref="B148:J148"/>
    <mergeCell ref="B44:J44"/>
    <mergeCell ref="B19:J19"/>
    <mergeCell ref="B34:J34"/>
    <mergeCell ref="B28:J28"/>
    <mergeCell ref="B99:J99"/>
    <mergeCell ref="B83:J83"/>
    <mergeCell ref="B92:J92"/>
    <mergeCell ref="B30:J30"/>
    <mergeCell ref="B124:J124"/>
    <mergeCell ref="B20:J20"/>
    <mergeCell ref="B133:J133"/>
    <mergeCell ref="A88:J88"/>
    <mergeCell ref="B85:J85"/>
    <mergeCell ref="B126:J126"/>
    <mergeCell ref="B75:J75"/>
    <mergeCell ref="B135:J135"/>
    <mergeCell ref="A137:J137"/>
    <mergeCell ref="B47:J47"/>
    <mergeCell ref="B62:J62"/>
    <mergeCell ref="B125:J125"/>
    <mergeCell ref="A74:J74"/>
    <mergeCell ref="B96:J96"/>
    <mergeCell ref="B70:J70"/>
    <mergeCell ref="B48:J48"/>
    <mergeCell ref="A116:J116"/>
    <mergeCell ref="A8:J8"/>
    <mergeCell ref="B111:J111"/>
    <mergeCell ref="B145:J145"/>
    <mergeCell ref="A53:J53"/>
    <mergeCell ref="A109:J109"/>
    <mergeCell ref="B82:J82"/>
    <mergeCell ref="B147:J147"/>
    <mergeCell ref="A102:J102"/>
    <mergeCell ref="B128:J128"/>
    <mergeCell ref="B146:J146"/>
    <mergeCell ref="A39:J39"/>
    <mergeCell ref="B65:J65"/>
    <mergeCell ref="B68:J68"/>
    <mergeCell ref="A11:J11"/>
    <mergeCell ref="B139:J139"/>
    <mergeCell ref="A1:J1"/>
    <mergeCell ref="B114:J114"/>
    <mergeCell ref="B36:J36"/>
    <mergeCell ref="B76:J76"/>
    <mergeCell ref="B50:J50"/>
    <mergeCell ref="B110:J110"/>
    <mergeCell ref="B113:J113"/>
    <mergeCell ref="B91:J91"/>
    <mergeCell ref="B100:J100"/>
    <mergeCell ref="A46:J46"/>
    <mergeCell ref="B141:J141"/>
    <mergeCell ref="B22:J22"/>
    <mergeCell ref="B93:J93"/>
    <mergeCell ref="B149:J149"/>
    <mergeCell ref="B12:J12"/>
    <mergeCell ref="B77:J77"/>
    <mergeCell ref="B21:J21"/>
    <mergeCell ref="B86:J86"/>
  </mergeCells>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s>
  <pageMargins left="0.75" right="0.75" top="1" bottom="1" header="0.5" footer="0.5"/>
  <pageSetup orientation="landscape" fitToHeight="0" fitToWidth="1"/>
  <headerFooter>
    <oddHeader/>
    <oddFooter>&amp;R&amp;A  -  page &amp;P of &amp;N</oddFooter>
    <evenHeader/>
    <evenFooter/>
    <firstHeader/>
    <firstFooter/>
  </headerFooter>
</worksheet>
</file>

<file path=xl/worksheets/sheet11.xml><?xml version="1.0" encoding="utf-8"?>
<worksheet xmlns="http://schemas.openxmlformats.org/spreadsheetml/2006/main">
  <sheetPr>
    <tabColor rgb="00C00000"/>
    <outlinePr summaryBelow="1" summaryRight="1"/>
    <pageSetUpPr fitToPage="1"/>
  </sheetPr>
  <dimension ref="A1:F25"/>
  <sheetViews>
    <sheetView showGridLines="0" workbookViewId="0">
      <pane ySplit="12" topLeftCell="A13" activePane="bottomLeft" state="frozen"/>
      <selection pane="bottomLeft" activeCell="A1" sqref="A1"/>
    </sheetView>
  </sheetViews>
  <sheetFormatPr baseColWidth="8" defaultRowHeight="15"/>
  <cols>
    <col width="22" customWidth="1" min="1" max="1"/>
    <col width="12" customWidth="1" min="2" max="2"/>
    <col width="12" customWidth="1" min="3" max="3"/>
    <col width="9" customWidth="1" min="4" max="4"/>
    <col width="10" customWidth="1" min="5" max="5"/>
    <col width="56" customWidth="1" min="6" max="6"/>
  </cols>
  <sheetData>
    <row r="1" ht="28" customHeight="1">
      <c r="A1" s="1" t="inlineStr">
        <is>
          <t>QUALITY CHECK</t>
        </is>
      </c>
    </row>
    <row r="2">
      <c r="A2" s="2" t="inlineStr">
        <is>
          <t>Independent checks that the calculations are correct</t>
        </is>
      </c>
    </row>
    <row r="3">
      <c r="A3" s="3" t="inlineStr">
        <is>
          <t>Government Bond Analyzer  -  v1.0</t>
        </is>
      </c>
    </row>
    <row r="5">
      <c r="A5" s="4" t="inlineStr">
        <is>
          <t>Inputs</t>
        </is>
      </c>
      <c r="B5" s="4" t="inlineStr">
        <is>
          <t>Price &amp; Yield</t>
        </is>
      </c>
      <c r="C5" s="4" t="inlineStr">
        <is>
          <t>Cash Flows</t>
        </is>
      </c>
      <c r="D5" s="4" t="inlineStr">
        <is>
          <t>Valuation Summary</t>
        </is>
      </c>
      <c r="E5" s="4" t="inlineStr">
        <is>
          <t>Duration &amp; DV01</t>
        </is>
      </c>
      <c r="F5" s="4" t="inlineStr">
        <is>
          <t>Rate Shock</t>
        </is>
      </c>
    </row>
    <row r="6">
      <c r="A6" s="4" t="inlineStr">
        <is>
          <t>Yield Curve</t>
        </is>
      </c>
      <c r="B6" s="4" t="inlineStr">
        <is>
          <t>Investment Attractiveness</t>
        </is>
      </c>
      <c r="C6" s="4" t="inlineStr">
        <is>
          <t>Recommendation</t>
        </is>
      </c>
      <c r="D6" s="4" t="inlineStr">
        <is>
          <t>Explanations</t>
        </is>
      </c>
      <c r="E6" s="4" t="inlineStr">
        <is>
          <t>Quality Check</t>
        </is>
      </c>
      <c r="F6" s="4" t="inlineStr">
        <is>
          <t>Limitations</t>
        </is>
      </c>
    </row>
    <row r="7" ht="16" customHeight="1">
      <c r="A7" s="5" t="inlineStr">
        <is>
          <t>How to read this sheet</t>
        </is>
      </c>
    </row>
    <row r="8" ht="25" customHeight="1">
      <c r="A8" s="6" t="inlineStr">
        <is>
          <t>Each row recomputes a result a DIFFERENT way and compares. Status: Pass = within tolerance; Warning = small difference to review; Fail = check the inputs.</t>
        </is>
      </c>
    </row>
    <row r="9" ht="14" customHeight="1">
      <c r="A9" s="6" t="inlineStr">
        <is>
          <t>Tolerances:  price +/- 0.05 per 100;  yield +/- 2.0 bps.  Small rounding is expected.</t>
        </is>
      </c>
    </row>
    <row r="12" ht="18" customHeight="1">
      <c r="A12" s="33" t="inlineStr">
        <is>
          <t>Check</t>
        </is>
      </c>
      <c r="B12" s="33" t="inlineStr">
        <is>
          <t>Main result</t>
        </is>
      </c>
      <c r="C12" s="33" t="inlineStr">
        <is>
          <t>Independent</t>
        </is>
      </c>
      <c r="D12" s="33" t="inlineStr">
        <is>
          <t>Diff</t>
        </is>
      </c>
      <c r="E12" s="33" t="inlineStr">
        <is>
          <t>Status</t>
        </is>
      </c>
      <c r="F12" s="32" t="inlineStr">
        <is>
          <t>Explanation</t>
        </is>
      </c>
    </row>
    <row r="13">
      <c r="A13" s="7" t="inlineStr">
        <is>
          <t>Dirty price identity</t>
        </is>
      </c>
      <c r="B13" s="31">
        <f>Dirty</f>
        <v/>
      </c>
      <c r="C13" s="31">
        <f>MktClean+Accrued</f>
        <v/>
      </c>
      <c r="D13" s="31">
        <f>IF(AND(ISNUMBER(B13),ISNUMBER(C13)),B13-C13,"")</f>
        <v/>
      </c>
      <c r="E13" s="23">
        <f>IF(NOT(AND(ISNUMBER(B13),ISNUMBER(C13))),"n/a",IF(ABS(D13)&lt;=0.05,"Pass",IF(ABS(D13)&lt;=0.15000000000000002,"Warning","Fail")))</f>
        <v/>
      </c>
      <c r="F13" s="11" t="inlineStr">
        <is>
          <t>Dirty price should equal clean price + accrued interest.</t>
        </is>
      </c>
    </row>
    <row r="14">
      <c r="A14" s="7" t="inlineStr">
        <is>
          <t>Yield check (PV = dirty)</t>
        </is>
      </c>
      <c r="B14" s="31">
        <f>DirtyCF</f>
        <v/>
      </c>
      <c r="C14" s="31">
        <f>Dirty</f>
        <v/>
      </c>
      <c r="D14" s="31">
        <f>IF(AND(ISNUMBER(B14),ISNUMBER(C14)),B14-C14,"")</f>
        <v/>
      </c>
      <c r="E14" s="23">
        <f>IF(NOT(AND(ISNUMBER(B14),ISNUMBER(C14))),"n/a",IF(ABS(D14)&lt;=0.05,"Pass",IF(ABS(D14)&lt;=0.15000000000000002,"Warning","Fail")))</f>
        <v/>
      </c>
      <c r="F14" s="11" t="inlineStr">
        <is>
          <t>Discounting the cash flows at the YTM should reproduce the dirty price.</t>
        </is>
      </c>
    </row>
    <row r="15">
      <c r="A15" s="7" t="inlineStr">
        <is>
          <t>Price check</t>
        </is>
      </c>
      <c r="B15" s="31">
        <f>MktClean</f>
        <v/>
      </c>
      <c r="C15" s="31">
        <f>IF(IsZero=1,Face/(1+(YTM))^YearsToMat,PRICE(Settle,Maturity,CouponRate,YTM,Face,Freq,Basis))</f>
        <v/>
      </c>
      <c r="D15" s="31">
        <f>IF(AND(ISNUMBER(B15),ISNUMBER(C15)),B15-C15,"")</f>
        <v/>
      </c>
      <c r="E15" s="23">
        <f>IF(NOT(AND(ISNUMBER(B15),ISNUMBER(C15))),"n/a",IF(ABS(D15)&lt;=0.05,"Pass",IF(ABS(D15)&lt;=0.15000000000000002,"Warning","Fail")))</f>
        <v/>
      </c>
      <c r="F15" s="11" t="inlineStr">
        <is>
          <t>Theoretical price at the YTM should match the market clean price.</t>
        </is>
      </c>
    </row>
    <row r="16">
      <c r="A16" s="7" t="inlineStr">
        <is>
          <t>Duration positive</t>
        </is>
      </c>
      <c r="B16" s="61" t="inlineStr"/>
      <c r="C16" s="61" t="inlineStr"/>
      <c r="D16" s="61" t="inlineStr"/>
      <c r="E16" s="23">
        <f>IF(MacDur&gt;0,"Pass","Fail")</f>
        <v/>
      </c>
      <c r="F16" s="11" t="inlineStr">
        <is>
          <t>Duration must be positive for a normal bond.</t>
        </is>
      </c>
    </row>
    <row r="17">
      <c r="A17" s="7" t="inlineStr">
        <is>
          <t>DV01 positive</t>
        </is>
      </c>
      <c r="B17" s="61" t="inlineStr"/>
      <c r="C17" s="61" t="inlineStr"/>
      <c r="D17" s="61" t="inlineStr"/>
      <c r="E17" s="23">
        <f>IF(DV01&gt;0,"Pass","Fail")</f>
        <v/>
      </c>
      <c r="F17" s="11" t="inlineStr">
        <is>
          <t>DV01 is a positive risk magnitude.</t>
        </is>
      </c>
    </row>
    <row r="18">
      <c r="A18" s="7" t="inlineStr">
        <is>
          <t>Convexity positive</t>
        </is>
      </c>
      <c r="B18" s="61" t="inlineStr"/>
      <c r="C18" s="61" t="inlineStr"/>
      <c r="D18" s="61" t="inlineStr"/>
      <c r="E18" s="23">
        <f>IF(Convexity&gt;0,"Pass","Fail")</f>
        <v/>
      </c>
      <c r="F18" s="11" t="inlineStr">
        <is>
          <t>Convexity should be positive for a normal fixed-rate government bond.</t>
        </is>
      </c>
    </row>
    <row r="19">
      <c r="A19" s="7" t="inlineStr">
        <is>
          <t>Price-yield direction</t>
        </is>
      </c>
      <c r="B19" s="61" t="inlineStr"/>
      <c r="C19" s="61" t="inlineStr"/>
      <c r="D19" s="61" t="inlineStr"/>
      <c r="E19" s="23">
        <f>IF(IF(IsZero=1,Face/(1+(YTM+0.005))^YearsToMat,PRICE(Settle,Maturity,CouponRate,YTM+0.005,Face,Freq,Basis))&lt;IF(IsZero=1,Face/(1+(YTM-0.005))^YearsToMat,PRICE(Settle,Maturity,CouponRate,YTM-0.005,Face,Freq,Basis)),"Pass","Fail")</f>
        <v/>
      </c>
      <c r="F19" s="11" t="inlineStr">
        <is>
          <t>If yield rises the price should fall, and vice versa.</t>
        </is>
      </c>
    </row>
    <row r="20">
      <c r="A20" s="7" t="inlineStr">
        <is>
          <t>Zero-coupon check</t>
        </is>
      </c>
      <c r="B20" s="61" t="inlineStr"/>
      <c r="C20" s="61" t="inlineStr"/>
      <c r="D20" s="61" t="inlineStr"/>
      <c r="E20" s="23">
        <f>IF(IsZero=1,IF(EffCoupon=0,"Pass","Warning"),"n/a (not zero-coupon)")</f>
        <v/>
      </c>
      <c r="F20" s="11" t="inlineStr">
        <is>
          <t>A zero-coupon bond should have no coupon cash flows - only principal at maturity.</t>
        </is>
      </c>
    </row>
    <row r="21">
      <c r="A21" s="7" t="inlineStr">
        <is>
          <t>Date order</t>
        </is>
      </c>
      <c r="B21" s="61" t="inlineStr"/>
      <c r="C21" s="61" t="inlineStr"/>
      <c r="D21" s="61" t="inlineStr"/>
      <c r="E21" s="23">
        <f>IF(Settle&lt;Maturity,"Pass","Fail")</f>
        <v/>
      </c>
      <c r="F21" s="11" t="inlineStr">
        <is>
          <t>Settlement must be before maturity.</t>
        </is>
      </c>
    </row>
    <row r="22">
      <c r="A22" s="7" t="inlineStr">
        <is>
          <t>Frequency supported</t>
        </is>
      </c>
      <c r="B22" s="61" t="inlineStr"/>
      <c r="C22" s="61" t="inlineStr"/>
      <c r="D22" s="61" t="inlineStr"/>
      <c r="E22" s="23">
        <f>IF(OR(FreqName="Semiannual",FreqName="Annual",FreqName="Zero-coupon"),"Pass","Fail")</f>
        <v/>
      </c>
      <c r="F22" s="11" t="inlineStr">
        <is>
          <t>Coupon frequency must be Semiannual, Annual or Zero-coupon.</t>
        </is>
      </c>
    </row>
    <row r="23">
      <c r="A23" s="7" t="inlineStr">
        <is>
          <t>Sanity: price vs par</t>
        </is>
      </c>
      <c r="B23" s="61" t="inlineStr"/>
      <c r="C23" s="61" t="inlineStr"/>
      <c r="D23" s="61" t="inlineStr"/>
      <c r="E23" s="23">
        <f>IF(IsZero=1,"n/a",IF(ABS(CouponRate-YTM)&lt;0.0005,"Pass",IF(SIGN(CouponRate-YTM)=SIGN(MktClean-Face),"Pass","Fail")))</f>
        <v/>
      </c>
      <c r="F23" s="11" t="inlineStr">
        <is>
          <t>Coupon above YTM -&gt; price above par; coupon below YTM -&gt; price below par.</t>
        </is>
      </c>
    </row>
    <row r="25">
      <c r="A25" s="7" t="inlineStr">
        <is>
          <t>Summary</t>
        </is>
      </c>
      <c r="B25" s="10">
        <f>"Pass: "&amp;COUNTIF(E13:E23,"Pass")&amp;"   Warning: "&amp;COUNTIF(E13:E23,"Warning")&amp;"   Fail: "&amp;COUNTIF(E13:E23,"Fail")</f>
        <v/>
      </c>
      <c r="C25" s="24" t="n"/>
      <c r="D25" s="24" t="n"/>
      <c r="E25" s="24" t="n"/>
      <c r="F25" s="25" t="n"/>
    </row>
  </sheetData>
  <mergeCells count="7">
    <mergeCell ref="A2:F2"/>
    <mergeCell ref="A1:F1"/>
    <mergeCell ref="B25:F25"/>
    <mergeCell ref="A9:F9"/>
    <mergeCell ref="A8:F8"/>
    <mergeCell ref="A3:F3"/>
    <mergeCell ref="A7:F7"/>
  </mergeCells>
  <conditionalFormatting sqref="E13:E23">
    <cfRule type="expression" priority="1" dxfId="0" stopIfTrue="1">
      <formula>OR(ISNUMBER(SEARCH("PASS",E13)),ISNUMBER(SEARCH("OK",E13)),ISNUMBER(SEARCH("Low",E13)),ISNUMBER(SEARCH("Normal",E13)),ISNUMBER(SEARCH("Buy",E13)),ISNUMBER(SEARCH("Short",E13)),ISNUMBER(SEARCH("Yes",E13)),ISNUMBER(SEARCH("Within",E13)),ISNUMBER(SEARCH("Attractive",E13)),ISNUMBER(SEARCH("Cheap",E13)),ISNUMBER(SEARCH("Upside",E13)))</formula>
    </cfRule>
    <cfRule type="expression" priority="2" dxfId="1" stopIfTrue="1">
      <formula>OR(ISNUMBER(SEARCH("WARNING",E13)),ISNUMBER(SEARCH("WARN",E13)),ISNUMBER(SEARCH("Medium",E13)),ISNUMBER(SEARCH("Flat",E13)),ISNUMBER(SEARCH("Hold",E13)),ISNUMBER(SEARCH("Intermediate",E13)),ISNUMBER(SEARCH("Review",E13)),ISNUMBER(SEARCH("Fair",E13)),ISNUMBER(SEARCH("Neutral",E13)))</formula>
    </cfRule>
    <cfRule type="expression" priority="3" dxfId="2" stopIfTrue="1">
      <formula>OR(ISNUMBER(SEARCH("FAIL",E13)),ISNUMBER(SEARCH("High",E13)),ISNUMBER(SEARCH("Inverted",E13)),ISNUMBER(SEARCH("Avoid",E13)),ISNUMBER(SEARCH("Long",E13)),ISNUMBER(SEARCH("Negative",E13)),ISNUMBER(SEARCH("Expensive",E13)),ISNUMBER(SEARCH("Not Attractive",E13)),ISNUMBER(SEARCH("Downside",E13)))</formula>
    </cfRule>
  </conditionalFormatting>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s>
  <pageMargins left="0.75" right="0.75" top="1" bottom="1" header="0.5" footer="0.5"/>
  <pageSetup orientation="landscape" fitToHeight="0" fitToWidth="1"/>
  <headerFooter>
    <oddHeader/>
    <oddFooter>&amp;R&amp;A  -  page &amp;P of &amp;N</oddFooter>
    <evenHeader/>
    <evenFooter/>
    <firstHeader/>
    <firstFooter/>
  </headerFooter>
</worksheet>
</file>

<file path=xl/worksheets/sheet12.xml><?xml version="1.0" encoding="utf-8"?>
<worksheet xmlns="http://schemas.openxmlformats.org/spreadsheetml/2006/main">
  <sheetPr>
    <tabColor rgb="006B7986"/>
    <outlinePr summaryBelow="1" summaryRight="1"/>
    <pageSetUpPr fitToPage="1"/>
  </sheetPr>
  <dimension ref="A1:H33"/>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s>
  <sheetData>
    <row r="1" ht="28" customHeight="1">
      <c r="A1" s="1" t="inlineStr">
        <is>
          <t>LIMITATIONS / FUTURE UPGRADES</t>
        </is>
      </c>
    </row>
    <row r="2">
      <c r="A2" s="2" t="inlineStr">
        <is>
          <t>What this simple model does not cover</t>
        </is>
      </c>
    </row>
    <row r="3">
      <c r="A3" s="3" t="inlineStr">
        <is>
          <t>Government Bond Analyzer  -  v1.0</t>
        </is>
      </c>
    </row>
    <row r="5">
      <c r="A5" s="4" t="inlineStr">
        <is>
          <t>Inputs</t>
        </is>
      </c>
      <c r="B5" s="4" t="inlineStr">
        <is>
          <t>Price &amp; Yield</t>
        </is>
      </c>
      <c r="C5" s="4" t="inlineStr">
        <is>
          <t>Cash Flows</t>
        </is>
      </c>
      <c r="D5" s="4" t="inlineStr">
        <is>
          <t>Valuation Summary</t>
        </is>
      </c>
      <c r="E5" s="4" t="inlineStr">
        <is>
          <t>Duration &amp; DV01</t>
        </is>
      </c>
      <c r="F5" s="4" t="inlineStr">
        <is>
          <t>Rate Shock</t>
        </is>
      </c>
    </row>
    <row r="6">
      <c r="A6" s="4" t="inlineStr">
        <is>
          <t>Yield Curve</t>
        </is>
      </c>
      <c r="B6" s="4" t="inlineStr">
        <is>
          <t>Investment Attractiveness</t>
        </is>
      </c>
      <c r="C6" s="4" t="inlineStr">
        <is>
          <t>Recommendation</t>
        </is>
      </c>
      <c r="D6" s="4" t="inlineStr">
        <is>
          <t>Explanations</t>
        </is>
      </c>
      <c r="E6" s="4" t="inlineStr">
        <is>
          <t>Quality Check</t>
        </is>
      </c>
      <c r="F6" s="4" t="inlineStr">
        <is>
          <t>Limitations</t>
        </is>
      </c>
    </row>
    <row r="7" ht="16" customHeight="1">
      <c r="A7" s="5" t="inlineStr">
        <is>
          <t>How to read this sheet</t>
        </is>
      </c>
    </row>
    <row r="8" ht="25" customHeight="1">
      <c r="A8" s="6" t="inlineStr">
        <is>
          <t>This model is intentionally simple: one plain government bond (fixed-coupon note/bond or zero-coupon bill). The items below are deliberately left out to keep it correct and easy to audit.</t>
        </is>
      </c>
    </row>
    <row r="11" ht="18" customHeight="1">
      <c r="A11" s="12" t="inlineStr">
        <is>
          <t>Not covered in this version</t>
        </is>
      </c>
    </row>
    <row r="12">
      <c r="A12" s="11" t="inlineStr">
        <is>
          <t>-  Corporate bonds</t>
        </is>
      </c>
    </row>
    <row r="13">
      <c r="A13" s="11" t="inlineStr">
        <is>
          <t>-  Credit analysis</t>
        </is>
      </c>
    </row>
    <row r="14">
      <c r="A14" s="11" t="inlineStr">
        <is>
          <t>-  Floating-rate notes</t>
        </is>
      </c>
    </row>
    <row r="15">
      <c r="A15" s="11" t="inlineStr">
        <is>
          <t>-  Inflation-linked bonds / TIPS</t>
        </is>
      </c>
    </row>
    <row r="16">
      <c r="A16" s="11" t="inlineStr">
        <is>
          <t>-  Callable bonds</t>
        </is>
      </c>
    </row>
    <row r="17">
      <c r="A17" s="11" t="inlineStr">
        <is>
          <t>-  Option-adjusted spread (OAS)</t>
        </is>
      </c>
    </row>
    <row r="18">
      <c r="A18" s="11" t="inlineStr">
        <is>
          <t>-  Z-spread</t>
        </is>
      </c>
    </row>
    <row r="19">
      <c r="A19" s="11" t="inlineStr">
        <is>
          <t>-  Repo financing</t>
        </is>
      </c>
    </row>
    <row r="20">
      <c r="A20" s="11" t="inlineStr">
        <is>
          <t>-  Futures hedging</t>
        </is>
      </c>
    </row>
    <row r="21">
      <c r="A21" s="11" t="inlineStr">
        <is>
          <t>-  Key rate duration</t>
        </is>
      </c>
    </row>
    <row r="22">
      <c r="A22" s="11" t="inlineStr">
        <is>
          <t>-  Full portfolio analysis</t>
        </is>
      </c>
    </row>
    <row r="24" ht="18" customHeight="1">
      <c r="A24" s="12" t="inlineStr">
        <is>
          <t>Possible future upgrades</t>
        </is>
      </c>
    </row>
    <row r="25">
      <c r="A25" s="11" t="inlineStr">
        <is>
          <t>-  TIPS / inflation-linked analysis</t>
        </is>
      </c>
    </row>
    <row r="26">
      <c r="A26" s="11" t="inlineStr">
        <is>
          <t>-  Key rate duration</t>
        </is>
      </c>
    </row>
    <row r="27">
      <c r="A27" s="11" t="inlineStr">
        <is>
          <t>-  Treasury curve interpolation / bootstrapping</t>
        </is>
      </c>
    </row>
    <row r="28">
      <c r="A28" s="11" t="inlineStr">
        <is>
          <t>-  Portfolio duration</t>
        </is>
      </c>
    </row>
    <row r="29">
      <c r="A29" s="11" t="inlineStr">
        <is>
          <t>-  Bond-ladder comparison</t>
        </is>
      </c>
    </row>
    <row r="30">
      <c r="A30" s="11" t="inlineStr">
        <is>
          <t>-  Comparison across multiple government bonds</t>
        </is>
      </c>
    </row>
    <row r="32" ht="16" customHeight="1">
      <c r="A32" s="5" t="inlineStr">
        <is>
          <t>In short</t>
        </is>
      </c>
    </row>
    <row r="33" ht="25" customHeight="1">
      <c r="A33" s="6" t="inlineStr">
        <is>
          <t>This is a simplified educational model for a single government bond. It is a decision-support tool, not investment advice.</t>
        </is>
      </c>
    </row>
  </sheetData>
  <mergeCells count="26">
    <mergeCell ref="A30:H30"/>
    <mergeCell ref="A15:H15"/>
    <mergeCell ref="A24:H24"/>
    <mergeCell ref="A11:H11"/>
    <mergeCell ref="A1:H1"/>
    <mergeCell ref="A7:H7"/>
    <mergeCell ref="A25:H25"/>
    <mergeCell ref="A16:H16"/>
    <mergeCell ref="A27:H27"/>
    <mergeCell ref="A12:H12"/>
    <mergeCell ref="A18:H18"/>
    <mergeCell ref="A3:H3"/>
    <mergeCell ref="A21:H21"/>
    <mergeCell ref="A26:H26"/>
    <mergeCell ref="A2:H2"/>
    <mergeCell ref="A33:H33"/>
    <mergeCell ref="A14:H14"/>
    <mergeCell ref="A32:H32"/>
    <mergeCell ref="A8:H8"/>
    <mergeCell ref="A22:H22"/>
    <mergeCell ref="A17:H17"/>
    <mergeCell ref="A29:H29"/>
    <mergeCell ref="A20:H20"/>
    <mergeCell ref="A28:H28"/>
    <mergeCell ref="A13:H13"/>
    <mergeCell ref="A19:H19"/>
  </mergeCells>
  <hyperlinks>
    <hyperlink xmlns:r="http://schemas.openxmlformats.org/officeDocument/2006/relationships" ref="A5" r:id="rId1"/>
    <hyperlink xmlns:r="http://schemas.openxmlformats.org/officeDocument/2006/relationships" ref="B5" r:id="rId2"/>
    <hyperlink xmlns:r="http://schemas.openxmlformats.org/officeDocument/2006/relationships" ref="C5" r:id="rId3"/>
    <hyperlink xmlns:r="http://schemas.openxmlformats.org/officeDocument/2006/relationships" ref="D5" r:id="rId4"/>
    <hyperlink xmlns:r="http://schemas.openxmlformats.org/officeDocument/2006/relationships" ref="E5" r:id="rId5"/>
    <hyperlink xmlns:r="http://schemas.openxmlformats.org/officeDocument/2006/relationships" ref="F5" r:id="rId6"/>
    <hyperlink xmlns:r="http://schemas.openxmlformats.org/officeDocument/2006/relationships" ref="A6" r:id="rId7"/>
    <hyperlink xmlns:r="http://schemas.openxmlformats.org/officeDocument/2006/relationships" ref="B6" r:id="rId8"/>
    <hyperlink xmlns:r="http://schemas.openxmlformats.org/officeDocument/2006/relationships" ref="C6" r:id="rId9"/>
    <hyperlink xmlns:r="http://schemas.openxmlformats.org/officeDocument/2006/relationships" ref="D6" r:id="rId10"/>
    <hyperlink xmlns:r="http://schemas.openxmlformats.org/officeDocument/2006/relationships" ref="E6" r:id="rId11"/>
    <hyperlink xmlns:r="http://schemas.openxmlformats.org/officeDocument/2006/relationships" ref="F6" r:id="rId12"/>
  </hyperlinks>
  <pageMargins left="0.75" right="0.75" top="1" bottom="1" header="0.5" footer="0.5"/>
  <pageSetup orientation="landscape" fitToHeight="0" fitToWidth="1"/>
  <headerFooter>
    <oddHeader/>
    <oddFooter>&amp;R&amp;A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Government Bond Analyzer v1.0</dc:creator>
  <dc:title>Government Bond Analyzer</dc:title>
  <dcterms:created xsi:type="dcterms:W3CDTF">2026-07-05T10:20:57Z</dcterms:created>
  <dcterms:modified xsi:type="dcterms:W3CDTF">2026-07-05T10:20:57Z</dcterms:modified>
</cp:coreProperties>
</file>
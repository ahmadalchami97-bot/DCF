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ond Terms" sheetId="2" state="visible" r:id="rId2"/>
    <sheet name="Cash Flows" sheetId="3" state="visible" r:id="rId3"/>
    <sheet name="Price &amp; Yield" sheetId="4" state="visible" r:id="rId4"/>
    <sheet name="Duration &amp; Convexity" sheetId="5" state="visible" r:id="rId5"/>
    <sheet name="Rate Shock" sheetId="6" state="visible" r:id="rId6"/>
    <sheet name="Yield Curve" sheetId="7" state="visible" r:id="rId7"/>
    <sheet name="Risk Summary" sheetId="8" state="visible" r:id="rId8"/>
    <sheet name="Recommendation" sheetId="9" state="visible" r:id="rId9"/>
    <sheet name="Formula Explanations" sheetId="10" state="visible" r:id="rId10"/>
    <sheet name="Audit" sheetId="11" state="visible" r:id="rId11"/>
    <sheet name="Limitations" sheetId="12" state="visible" r:id="rId12"/>
  </sheets>
  <definedNames>
    <definedName name="SecName">'Bond Terms'!$B$16</definedName>
    <definedName name="CUSIP">'Bond Terms'!$B$17</definedName>
    <definedName name="SecType">'Bond Terms'!$B$18</definedName>
    <definedName name="Ccy">'Bond Terms'!$B$19</definedName>
    <definedName name="Face">'Bond Terms'!$B$21</definedName>
    <definedName name="CouponRate">'Bond Terms'!$B$22</definedName>
    <definedName name="FreqName">'Bond Terms'!$B$23</definedName>
    <definedName name="Basis">'Bond Terms'!$B$24</definedName>
    <definedName name="IssueDate">'Bond Terms'!$B$25</definedName>
    <definedName name="Settle">'Bond Terms'!$B$26</definedName>
    <definedName name="Maturity">'Bond Terms'!$B$27</definedName>
    <definedName name="MktClean">'Bond Terms'!$B$28</definedName>
    <definedName name="BenchYield">'Bond Terms'!$B$29</definedName>
    <definedName name="Analyst">'Bond Terms'!$B$31</definedName>
    <definedName name="AnalysisDate">'Bond Terms'!$B$32</definedName>
    <definedName name="IsZero">'Bond Terms'!$B$34</definedName>
    <definedName name="Freq">'Bond Terms'!$B$35</definedName>
    <definedName name="EffCoupon">'Bond Terms'!$B$36</definedName>
    <definedName name="YearsToMat">'Bond Terms'!$B$38</definedName>
    <definedName name="FreqWarn">'Bond Terms'!$B$39</definedName>
    <definedName name="Accrued">'Price &amp; Yield'!$B$14</definedName>
    <definedName name="CleanPrice">'Price &amp; Yield'!$B$15</definedName>
    <definedName name="Dirty">'Price &amp; Yield'!$B$16</definedName>
    <definedName name="YTM">'Price &amp; Yield'!$B$17</definedName>
    <definedName name="CurrentYield">'Price &amp; Yield'!$B$18</definedName>
    <definedName name="PremDisc">'Price &amp; Yield'!$B$19</definedName>
    <definedName name="Spread">'Price &amp; Yield'!$B$20</definedName>
    <definedName name="SpreadBps">'Price &amp; Yield'!$B$21</definedName>
    <definedName name="CleanModel">'Price &amp; Yield'!$B$22</definedName>
    <definedName name="Ncoup">'Cash Flows'!$B$14</definedName>
    <definedName name="Ncd">'Cash Flows'!$B$15</definedName>
    <definedName name="Wfrac">'Cash Flows'!$B$16</definedName>
    <definedName name="DirtyCF">'Cash Flows'!$B$84</definedName>
    <definedName name="MacaulayCF">'Cash Flows'!$B$85</definedName>
    <definedName name="Convexity">'Cash Flows'!$B$86</definedName>
    <definedName name="MacDur">'Duration &amp; Convexity'!$B$14</definedName>
    <definedName name="ModDur">'Duration &amp; Convexity'!$B$15</definedName>
    <definedName name="ConvexityView">'Duration &amp; Convexity'!$B$16</definedName>
    <definedName name="DV01">'Duration &amp; Convexity'!$B$17</definedName>
    <definedName name="Y3M">'Yield Curve'!$B$15</definedName>
    <definedName name="Y2Y">'Yield Curve'!$B$16</definedName>
    <definedName name="Y5Y">'Yield Curve'!$B$17</definedName>
    <definedName name="Y10Y">'Yield Curve'!$B$18</definedName>
    <definedName name="Y30Y">'Yield Curve'!$B$19</definedName>
    <definedName name="AttractScore">'Recommendation'!$B$37</definedName>
    <definedName name="ModelView">'Recommendation'!$B$39</definedName>
    <definedName name="RateOutlook">'Recommendation'!$C$45</definedName>
    <definedName name="AnalystOverride">'Recommendation'!$C$49</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0.00&quot; yrs&quot;"/>
    <numFmt numFmtId="167" formatCode="0.000%"/>
    <numFmt numFmtId="168" formatCode="0.0&quot; bps&quot;"/>
    <numFmt numFmtId="169" formatCode="#,##0.0000"/>
  </numFmts>
  <fonts count="15">
    <font>
      <name val="Calibri"/>
      <family val="2"/>
      <color theme="1"/>
      <sz val="11"/>
      <scheme val="minor"/>
    </font>
    <font>
      <name val="Calibri"/>
      <b val="1"/>
      <color rgb="00FFFFFF"/>
      <sz val="18"/>
    </font>
    <font>
      <name val="Calibri"/>
      <color rgb="00FFFFFF"/>
      <sz val="11"/>
    </font>
    <font>
      <name val="Calibri"/>
      <color rgb="006B7986"/>
      <sz val="9"/>
    </font>
    <font>
      <name val="Calibri"/>
      <b val="1"/>
      <color rgb="00FFFFFF"/>
      <sz val="10"/>
    </font>
    <font>
      <name val="Calibri"/>
      <b val="1"/>
      <color rgb="0020303F"/>
      <sz val="9"/>
    </font>
    <font>
      <name val="Calibri"/>
      <color rgb="0020303F"/>
      <sz val="9"/>
    </font>
    <font>
      <name val="Calibri"/>
      <b val="1"/>
      <color rgb="0020303F"/>
      <sz val="10"/>
    </font>
    <font>
      <name val="Calibri"/>
      <color rgb="000000FF"/>
      <sz val="10"/>
    </font>
    <font>
      <name val="Calibri"/>
      <color rgb="001A1A1A"/>
      <sz val="10"/>
    </font>
    <font>
      <name val="Calibri"/>
      <b val="1"/>
      <color rgb="001F7A3D"/>
      <sz val="10"/>
    </font>
    <font>
      <name val="Calibri"/>
      <color rgb="001F7A3D"/>
      <sz val="10"/>
    </font>
    <font>
      <name val="Calibri"/>
      <b val="1"/>
      <color rgb="00FFFFFF"/>
      <sz val="9"/>
    </font>
    <font>
      <name val="Calibri"/>
      <b val="1"/>
      <color rgb="001F7A3D"/>
      <sz val="12"/>
    </font>
    <font>
      <name val="Calibri"/>
      <i val="1"/>
      <color rgb="006B7986"/>
      <sz val="9"/>
    </font>
  </fonts>
  <fills count="10">
    <fill>
      <patternFill/>
    </fill>
    <fill>
      <patternFill patternType="gray125"/>
    </fill>
    <fill>
      <patternFill patternType="solid">
        <fgColor rgb="001F3A5F"/>
        <bgColor rgb="001F3A5F"/>
      </patternFill>
    </fill>
    <fill>
      <patternFill patternType="solid">
        <fgColor rgb="004A789C"/>
        <bgColor rgb="004A789C"/>
      </patternFill>
    </fill>
    <fill>
      <patternFill patternType="solid">
        <fgColor rgb="00FFF8E1"/>
        <bgColor rgb="00FFF8E1"/>
      </patternFill>
    </fill>
    <fill>
      <patternFill patternType="solid">
        <fgColor rgb="00FFF7D6"/>
        <bgColor rgb="00FFF7D6"/>
      </patternFill>
    </fill>
    <fill>
      <patternFill patternType="solid">
        <fgColor rgb="00E2EFDA"/>
        <bgColor rgb="00E2EFDA"/>
      </patternFill>
    </fill>
    <fill>
      <patternFill patternType="solid">
        <fgColor rgb="002E5984"/>
        <bgColor rgb="002E5984"/>
      </patternFill>
    </fill>
    <fill>
      <patternFill patternType="solid">
        <fgColor rgb="00E8EEF4"/>
        <bgColor rgb="00E8EEF4"/>
      </patternFill>
    </fill>
    <fill>
      <patternFill patternType="solid">
        <fgColor rgb="00D6EAD9"/>
        <bgColor rgb="00D6EAD9"/>
      </patternFill>
    </fill>
  </fills>
  <borders count="13">
    <border>
      <left/>
      <right/>
      <top/>
      <bottom/>
      <diagonal/>
    </border>
    <border/>
    <border>
      <left style="medium">
        <color rgb="00E6C200"/>
      </left>
      <right style="medium">
        <color rgb="00E6C200"/>
      </right>
      <top style="medium">
        <color rgb="00E6C200"/>
      </top>
      <bottom style="medium">
        <color rgb="00E6C200"/>
      </bottom>
    </border>
    <border>
      <left style="thin">
        <color rgb="00D5DCE4"/>
      </left>
      <right style="thin">
        <color rgb="00D5DCE4"/>
      </right>
      <top style="thin">
        <color rgb="00D5DCE4"/>
      </top>
      <bottom style="thin">
        <color rgb="00D5DCE4"/>
      </bottom>
    </border>
    <border>
      <left/>
      <right/>
      <top style="thin">
        <color rgb="00D5DCE4"/>
      </top>
      <bottom/>
      <diagonal/>
    </border>
    <border>
      <left/>
      <right style="thin">
        <color rgb="00D5DCE4"/>
      </right>
      <top style="thin">
        <color rgb="00D5DCE4"/>
      </top>
      <bottom/>
      <diagonal/>
    </border>
    <border>
      <left/>
      <right style="thin">
        <color rgb="00D5DCE4"/>
      </right>
      <top style="thin">
        <color rgb="00D5DCE4"/>
      </top>
      <bottom style="thin">
        <color rgb="00D5DCE4"/>
      </bottom>
      <diagonal/>
    </border>
    <border>
      <top style="medium">
        <color rgb="00B7C2CE"/>
      </top>
    </border>
    <border>
      <left/>
      <right/>
      <top style="thin">
        <color rgb="00D5DCE4"/>
      </top>
      <bottom style="thin">
        <color rgb="00D5DCE4"/>
      </bottom>
      <diagonal/>
    </border>
    <border>
      <left style="medium">
        <color rgb="00B7C2CE"/>
      </left>
      <right style="medium">
        <color rgb="00B7C2CE"/>
      </right>
      <top style="medium">
        <color rgb="00B7C2CE"/>
      </top>
      <bottom style="medium">
        <color rgb="00B7C2CE"/>
      </bottom>
    </border>
    <border>
      <left/>
      <right/>
      <top style="medium">
        <color rgb="00B7C2CE"/>
      </top>
      <bottom/>
      <diagonal/>
    </border>
    <border>
      <left/>
      <right style="medium">
        <color rgb="00B7C2CE"/>
      </right>
      <top style="medium">
        <color rgb="00B7C2CE"/>
      </top>
      <bottom/>
      <diagonal/>
    </border>
    <border>
      <left/>
      <right style="medium">
        <color rgb="00B7C2CE"/>
      </right>
      <top style="medium">
        <color rgb="00B7C2CE"/>
      </top>
      <bottom style="medium">
        <color rgb="00B7C2CE"/>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3" fillId="0" borderId="1" applyAlignment="1" pivotButton="0" quotePrefix="0" xfId="0">
      <alignment horizontal="left"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5" fillId="4" borderId="2" applyAlignment="1" pivotButton="0" quotePrefix="0" xfId="0">
      <alignment horizontal="left" vertical="top" wrapText="1"/>
    </xf>
    <xf numFmtId="0" fontId="6" fillId="4" borderId="2" applyAlignment="1" pivotButton="0" quotePrefix="0" xfId="0">
      <alignment horizontal="left" vertical="top" wrapText="1"/>
    </xf>
    <xf numFmtId="0" fontId="7" fillId="0" borderId="1" applyAlignment="1" pivotButton="0" quotePrefix="0" xfId="0">
      <alignment horizontal="left" vertical="center"/>
    </xf>
    <xf numFmtId="0" fontId="8" fillId="5" borderId="3" applyAlignment="1" applyProtection="1" pivotButton="0" quotePrefix="0" xfId="0">
      <alignment horizontal="center" vertical="center"/>
      <protection locked="0" hidden="0"/>
    </xf>
    <xf numFmtId="0" fontId="9" fillId="0" borderId="1" applyAlignment="1" pivotButton="0" quotePrefix="0" xfId="0">
      <alignment horizontal="left" vertical="center"/>
    </xf>
    <xf numFmtId="0" fontId="10" fillId="6" borderId="3" applyAlignment="1" pivotButton="0" quotePrefix="0" xfId="0">
      <alignment horizontal="left" vertical="center"/>
    </xf>
    <xf numFmtId="0" fontId="3" fillId="0" borderId="1" applyAlignment="1" pivotButton="0" quotePrefix="0" xfId="0">
      <alignment horizontal="left" vertical="center"/>
    </xf>
    <xf numFmtId="0" fontId="8" fillId="5" borderId="3" applyAlignment="1" applyProtection="1" pivotButton="0" quotePrefix="0" xfId="0">
      <alignment horizontal="left" vertical="center"/>
      <protection locked="0" hidden="0"/>
    </xf>
    <xf numFmtId="0" fontId="0" fillId="0" borderId="6" applyProtection="1" pivotButton="0" quotePrefix="0" xfId="0">
      <protection locked="0" hidden="0"/>
    </xf>
    <xf numFmtId="4" fontId="8" fillId="5" borderId="3" applyAlignment="1" applyProtection="1" pivotButton="0" quotePrefix="0" xfId="0">
      <alignment horizontal="right" vertical="center"/>
      <protection locked="0" hidden="0"/>
    </xf>
    <xf numFmtId="10" fontId="8" fillId="5" borderId="3" applyAlignment="1" applyProtection="1" pivotButton="0" quotePrefix="0" xfId="0">
      <alignment horizontal="right" vertical="center"/>
      <protection locked="0" hidden="0"/>
    </xf>
    <xf numFmtId="3" fontId="8" fillId="5" borderId="3" applyAlignment="1" applyProtection="1" pivotButton="0" quotePrefix="0" xfId="0">
      <alignment horizontal="center" vertical="center"/>
      <protection locked="0" hidden="0"/>
    </xf>
    <xf numFmtId="165" fontId="8" fillId="5" borderId="3" applyAlignment="1" applyProtection="1" pivotButton="0" quotePrefix="0" xfId="0">
      <alignment horizontal="center" vertical="center"/>
      <protection locked="0" hidden="0"/>
    </xf>
    <xf numFmtId="3" fontId="9" fillId="0" borderId="1" applyAlignment="1" pivotButton="0" quotePrefix="0" xfId="0">
      <alignment horizontal="right" vertical="center"/>
    </xf>
    <xf numFmtId="10" fontId="9" fillId="0" borderId="1" applyAlignment="1" pivotButton="0" quotePrefix="0" xfId="0">
      <alignment horizontal="right" vertical="center"/>
    </xf>
    <xf numFmtId="166" fontId="9" fillId="0" borderId="1" applyAlignment="1" pivotButton="0" quotePrefix="0" xfId="0">
      <alignment horizontal="right" vertical="center"/>
    </xf>
    <xf numFmtId="0" fontId="7" fillId="0" borderId="3" applyAlignment="1" pivotButton="0" quotePrefix="0" xfId="0">
      <alignment horizontal="center" vertical="center"/>
    </xf>
    <xf numFmtId="0" fontId="0" fillId="0" borderId="6" pivotButton="0" quotePrefix="0" xfId="0"/>
    <xf numFmtId="165" fontId="9" fillId="0" borderId="1" applyAlignment="1" pivotButton="0" quotePrefix="0" xfId="0">
      <alignment horizontal="right" vertical="center"/>
    </xf>
    <xf numFmtId="169" fontId="9" fillId="0" borderId="1" applyAlignment="1" pivotButton="0" quotePrefix="0" xfId="0">
      <alignment horizontal="right" vertical="center"/>
    </xf>
    <xf numFmtId="0" fontId="12" fillId="7" borderId="1" applyAlignment="1" pivotButton="0" quotePrefix="0" xfId="0">
      <alignment horizontal="left" vertical="center"/>
    </xf>
    <xf numFmtId="0" fontId="12" fillId="7" borderId="1" applyAlignment="1" pivotButton="0" quotePrefix="0" xfId="0">
      <alignment horizontal="center" vertical="center"/>
    </xf>
    <xf numFmtId="4" fontId="9" fillId="0" borderId="1" applyAlignment="1" pivotButton="0" quotePrefix="0" xfId="0">
      <alignment horizontal="right" vertical="center"/>
    </xf>
    <xf numFmtId="2" fontId="9" fillId="0" borderId="1" applyAlignment="1" pivotButton="0" quotePrefix="0" xfId="0">
      <alignment horizontal="right" vertical="center"/>
    </xf>
    <xf numFmtId="0" fontId="7" fillId="8" borderId="7" applyAlignment="1" pivotButton="0" quotePrefix="0" xfId="0">
      <alignment horizontal="left" vertical="center"/>
    </xf>
    <xf numFmtId="4" fontId="7" fillId="8" borderId="7" applyAlignment="1" pivotButton="0" quotePrefix="0" xfId="0">
      <alignment horizontal="right" vertical="center"/>
    </xf>
    <xf numFmtId="4" fontId="10" fillId="6" borderId="3" applyAlignment="1" pivotButton="0" quotePrefix="0" xfId="0">
      <alignment horizontal="right" vertical="center"/>
    </xf>
    <xf numFmtId="166" fontId="10" fillId="6" borderId="3" applyAlignment="1" pivotButton="0" quotePrefix="0" xfId="0">
      <alignment horizontal="right" vertical="center"/>
    </xf>
    <xf numFmtId="2" fontId="10" fillId="6" borderId="3" applyAlignment="1" pivotButton="0" quotePrefix="0" xfId="0">
      <alignment horizontal="right" vertical="center"/>
    </xf>
    <xf numFmtId="4" fontId="11" fillId="0" borderId="1" applyAlignment="1" pivotButton="0" quotePrefix="0" xfId="0">
      <alignment horizontal="right" vertical="center"/>
    </xf>
    <xf numFmtId="167" fontId="10" fillId="6" borderId="3" applyAlignment="1" pivotButton="0" quotePrefix="0" xfId="0">
      <alignment horizontal="right" vertical="center"/>
    </xf>
    <xf numFmtId="10" fontId="10" fillId="6" borderId="3" applyAlignment="1" pivotButton="0" quotePrefix="0" xfId="0">
      <alignment horizontal="right" vertical="center"/>
    </xf>
    <xf numFmtId="168" fontId="9" fillId="0" borderId="1" applyAlignment="1" pivotButton="0" quotePrefix="0" xfId="0">
      <alignment horizontal="right" vertical="center"/>
    </xf>
    <xf numFmtId="2" fontId="11" fillId="0" borderId="1" applyAlignment="1" pivotButton="0" quotePrefix="0" xfId="0">
      <alignment horizontal="right" vertical="center"/>
    </xf>
    <xf numFmtId="169" fontId="10" fillId="6" borderId="3" applyAlignment="1" pivotButton="0" quotePrefix="0" xfId="0">
      <alignment horizontal="right" vertical="center"/>
    </xf>
    <xf numFmtId="167" fontId="9" fillId="0" borderId="1" applyAlignment="1" pivotButton="0" quotePrefix="0" xfId="0">
      <alignment horizontal="right" vertical="center"/>
    </xf>
    <xf numFmtId="166" fontId="11" fillId="0" borderId="1" applyAlignment="1" pivotButton="0" quotePrefix="0" xfId="0">
      <alignment horizontal="right" vertical="center"/>
    </xf>
    <xf numFmtId="0" fontId="0" fillId="0" borderId="8" pivotButton="0" quotePrefix="0" xfId="0"/>
    <xf numFmtId="0" fontId="11" fillId="0" borderId="1" applyAlignment="1" pivotButton="0" quotePrefix="0" xfId="0">
      <alignment horizontal="right" vertical="center"/>
    </xf>
    <xf numFmtId="165" fontId="11" fillId="0" borderId="1" applyAlignment="1" pivotButton="0" quotePrefix="0" xfId="0">
      <alignment horizontal="right" vertical="center"/>
    </xf>
    <xf numFmtId="10" fontId="11" fillId="0" borderId="1" applyAlignment="1" pivotButton="0" quotePrefix="0" xfId="0">
      <alignment horizontal="right" vertical="center"/>
    </xf>
    <xf numFmtId="169" fontId="11" fillId="0" borderId="1" applyAlignment="1" pivotButton="0" quotePrefix="0" xfId="0">
      <alignment horizontal="right" vertical="center"/>
    </xf>
    <xf numFmtId="167" fontId="11" fillId="0" borderId="1" applyAlignment="1" pivotButton="0" quotePrefix="0" xfId="0">
      <alignment horizontal="right" vertical="center"/>
    </xf>
    <xf numFmtId="168" fontId="11" fillId="0" borderId="1" applyAlignment="1" pivotButton="0" quotePrefix="0" xfId="0">
      <alignment horizontal="right" vertical="center"/>
    </xf>
    <xf numFmtId="3" fontId="7" fillId="8" borderId="7" applyAlignment="1" pivotButton="0" quotePrefix="0" xfId="0">
      <alignment horizontal="right" vertical="center"/>
    </xf>
    <xf numFmtId="0" fontId="7" fillId="8" borderId="7" applyAlignment="1" pivotButton="0" quotePrefix="0" xfId="0">
      <alignment horizontal="right" vertical="center"/>
    </xf>
    <xf numFmtId="0" fontId="13" fillId="9" borderId="9" applyAlignment="1" pivotButton="0" quotePrefix="0" xfId="0">
      <alignment horizontal="center" vertical="center"/>
    </xf>
    <xf numFmtId="0" fontId="0" fillId="0" borderId="12" pivotButton="0" quotePrefix="0" xfId="0"/>
    <xf numFmtId="0" fontId="0" fillId="0" borderId="8" applyProtection="1" pivotButton="0" quotePrefix="0" xfId="0">
      <protection locked="0" hidden="0"/>
    </xf>
    <xf numFmtId="0" fontId="14" fillId="0" borderId="1" applyAlignment="1" pivotButton="0" quotePrefix="0" xfId="0">
      <alignment horizontal="left" vertical="center"/>
    </xf>
    <xf numFmtId="0" fontId="9" fillId="0" borderId="1" applyAlignment="1" pivotButton="0" quotePrefix="0" xfId="0">
      <alignment horizontal="right" vertical="center"/>
    </xf>
  </cellXfs>
  <cellStyles count="1">
    <cellStyle name="Normal" xfId="0" builtinId="0" hidden="0"/>
  </cellStyles>
  <dxfs count="3">
    <dxf>
      <font>
        <name val="Calibri"/>
        <b val="1"/>
        <color rgb="001F7A3D"/>
        <sz val="10"/>
      </font>
      <fill>
        <patternFill patternType="solid">
          <fgColor rgb="00D6EAD9"/>
          <bgColor rgb="00D6EAD9"/>
        </patternFill>
      </fill>
    </dxf>
    <dxf>
      <font>
        <name val="Calibri"/>
        <b val="1"/>
        <color rgb="009C6500"/>
        <sz val="10"/>
      </font>
      <fill>
        <patternFill patternType="solid">
          <fgColor rgb="00FFF1C2"/>
          <bgColor rgb="00FFF1C2"/>
        </patternFill>
      </fill>
    </dxf>
    <dxf>
      <font>
        <name val="Calibri"/>
        <b val="1"/>
        <color rgb="00C00000"/>
        <sz val="10"/>
      </font>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US Treasury yield curve</a:t>
            </a:r>
          </a:p>
        </rich>
      </tx>
    </title>
    <plotArea>
      <lineChart>
        <grouping val="standard"/>
        <ser>
          <idx val="0"/>
          <order val="0"/>
          <tx>
            <strRef>
              <f>'Yield Curve'!B14</f>
            </strRef>
          </tx>
          <spPr>
            <a:ln>
              <a:prstDash val="solid"/>
            </a:ln>
          </spPr>
          <marker>
            <symbol val="none"/>
            <spPr>
              <a:ln>
                <a:prstDash val="solid"/>
              </a:ln>
            </spPr>
          </marker>
          <cat>
            <numRef>
              <f>'Yield Curve'!$A$15:$A$19</f>
            </numRef>
          </cat>
          <val>
            <numRef>
              <f>'Yield Curve'!$B$15:$B$19</f>
            </numRef>
          </val>
        </ser>
        <marker val="1"/>
        <axId val="10"/>
        <axId val="100"/>
      </lineChart>
      <catAx>
        <axId val="10"/>
        <scaling>
          <orientation val="minMax"/>
        </scaling>
        <delete val="0"/>
        <axPos val="l"/>
        <title>
          <tx>
            <rich>
              <a:bodyPr/>
              <a:p>
                <a:pPr>
                  <a:defRPr/>
                </a:pPr>
                <a:r>
                  <a:t>Maturity</a:t>
                </a:r>
              </a:p>
            </rich>
          </tx>
        </title>
        <majorTickMark val="none"/>
        <minorTickMark val="none"/>
        <crossAx val="100"/>
        <lblOffset val="100"/>
      </catAx>
      <valAx>
        <axId val="100"/>
        <scaling>
          <orientation val="minMax"/>
        </scaling>
        <delete val="0"/>
        <axPos val="l"/>
        <majorGridlines/>
        <title>
          <tx>
            <rich>
              <a:bodyPr/>
              <a:p>
                <a:pPr>
                  <a:defRPr/>
                </a:pPr>
                <a:r>
                  <a:t>Yield</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Treasury Analyzer</author>
  </authors>
  <commentList>
    <comment ref="B16" authorId="0" shapeId="0">
      <text>
        <t>How much of the current coupon period is still ahead of you, so the first payment is discounted over the correct partial period.</t>
      </text>
    </comment>
    <comment ref="I18" authorId="0" shapeId="0">
      <text>
        <t>Helper for convexity: Total x t x (t+1) / (1+y/2)^(t+2). Summed below.</t>
      </text>
    </comment>
    <comment ref="J18" authorId="0" shapeId="0">
      <text>
        <t>Helper for Macaulay duration: Time x PV. Summed and divided by total PV.</t>
      </text>
    </comment>
    <comment ref="B85" authorId="0" shapeId="0">
      <text>
        <t>Weighted-average time to get your money back: sum(time x PV) / sum(PV).</t>
      </text>
    </comment>
  </commentList>
</comments>
</file>

<file path=xl/comments/comment2.xml><?xml version="1.0" encoding="utf-8"?>
<comments xmlns="http://schemas.openxmlformats.org/spreadsheetml/2006/main">
  <authors>
    <author>Treasury Analyzer</author>
  </authors>
  <commentList>
    <comment ref="B14" authorId="0" shapeId="0">
      <text>
        <t>Accrued = (days since last coupon / days in the period) x periodic coupon.</t>
      </text>
    </comment>
    <comment ref="B16" authorId="0" shapeId="0">
      <text>
        <t>Dirty price = clean price + accrued interest.</t>
      </text>
    </comment>
    <comment ref="B17" authorId="0" shapeId="0">
      <text>
        <t>Notes/bonds use Excel YIELD(); a Treasury Bill uses the manual zero-coupon formula.</t>
      </text>
    </comment>
  </commentList>
</comments>
</file>

<file path=xl/comments/comment3.xml><?xml version="1.0" encoding="utf-8"?>
<comments xmlns="http://schemas.openxmlformats.org/spreadsheetml/2006/main">
  <authors>
    <author>Treasury Analyzer</author>
  </authors>
  <commentList>
    <comment ref="B14" authorId="0" shapeId="0">
      <text>
        <t>Excel DURATION() for coupon Treasuries; = time-to-maturity for a bill.</t>
      </text>
    </comment>
    <comment ref="B17" authorId="0" shapeId="0">
      <text>
        <t>DV01 = Modified duration x Dirty price x 0.0001.</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_rels/sheet2.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_rels/sheet3.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_rels/sheet7.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 Type="http://schemas.openxmlformats.org/officeDocument/2006/relationships/drawing" Target="/xl/drawings/drawing1.xml" Id="rId13" /></Relationships>
</file>

<file path=xl/worksheets/_rels/sheet8.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_rels/sheet9.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_rels/sheet10.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_rels/sheet11.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_rels/sheet12.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Bond Terms'!A1" TargetMode="External" Id="rId2" /><Relationship Type="http://schemas.openxmlformats.org/officeDocument/2006/relationships/hyperlink" Target="#'Cash Flows'!A1" TargetMode="External" Id="rId3" /><Relationship Type="http://schemas.openxmlformats.org/officeDocument/2006/relationships/hyperlink" Target="#'Price &amp; Yield'!A1" TargetMode="External" Id="rId4" /><Relationship Type="http://schemas.openxmlformats.org/officeDocument/2006/relationships/hyperlink" Target="#'Duration &amp; Convexity'!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Risk Summary'!A1" TargetMode="External" Id="rId8" /><Relationship Type="http://schemas.openxmlformats.org/officeDocument/2006/relationships/hyperlink" Target="#'Recommendation'!A1" TargetMode="External" Id="rId9" /><Relationship Type="http://schemas.openxmlformats.org/officeDocument/2006/relationships/hyperlink" Target="#'Formula Explanations'!A1" TargetMode="External" Id="rId10" /><Relationship Type="http://schemas.openxmlformats.org/officeDocument/2006/relationships/hyperlink" Target="#'Audit'!A1" TargetMode="External" Id="rId11" /><Relationship Type="http://schemas.openxmlformats.org/officeDocument/2006/relationships/hyperlink" Target="#'Limitations'!A1" TargetMode="External" Id="rId12" /></Relationships>
</file>

<file path=xl/worksheets/sheet1.xml><?xml version="1.0" encoding="utf-8"?>
<worksheet xmlns="http://schemas.openxmlformats.org/spreadsheetml/2006/main">
  <sheetPr>
    <tabColor rgb="00404040"/>
    <outlinePr summaryBelow="1" summaryRight="1"/>
    <pageSetUpPr fitToPage="1"/>
  </sheetPr>
  <dimension ref="A1:J26"/>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8" customHeight="1">
      <c r="A1" s="1" t="inlineStr">
        <is>
          <t>US TREASURY BOND ANALYZER</t>
        </is>
      </c>
    </row>
    <row r="2">
      <c r="A2" s="2" t="inlineStr">
        <is>
          <t>A simple, clean model to value and analyze one US Treasury security</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8" customHeight="1">
      <c r="A7" s="5" t="inlineStr">
        <is>
          <t>What this model does</t>
        </is>
      </c>
    </row>
    <row r="8" ht="37" customHeight="1">
      <c r="A8" s="3" t="inlineStr">
        <is>
          <t>It values and analyzes a single US Treasury security: clean &amp; dirty price, accrued interest, yield to maturity, current yield, duration, convexity, DV01, a rate-shock table, yield-curve context, a risk checklist, a recommendation page, and an independent audit sheet.</t>
        </is>
      </c>
    </row>
    <row r="9" ht="25" customHeight="1">
      <c r="A9" s="3" t="inlineStr">
        <is>
          <t>It is built to be understood: inputs are yellow, results are green, every formula is visible, and the Formula Explanations sheet describes each calculation in plain English.</t>
        </is>
      </c>
    </row>
    <row r="10" ht="18" customHeight="1">
      <c r="A10" s="5" t="inlineStr">
        <is>
          <t>The main risk for a US Treasury is INTEREST-RATE risk</t>
        </is>
      </c>
    </row>
    <row r="11" ht="37" customHeight="1">
      <c r="A11" s="3" t="inlineStr">
        <is>
          <t>US Treasuries are backed by the US government and are treated as the risk-free benchmark, so credit/default risk is not the focus. What moves their price is INTEREST RATES: when yields rise, Treasury prices fall, and when yields fall, prices rise. INFLATION also matters because coupons are fixed in nominal terms.</t>
        </is>
      </c>
    </row>
    <row r="12" ht="18" customHeight="1">
      <c r="A12" s="5" t="inlineStr">
        <is>
          <t>What it supports</t>
        </is>
      </c>
    </row>
    <row r="13" ht="14" customHeight="1">
      <c r="A13" s="3" t="inlineStr">
        <is>
          <t>- Fixed-coupon Treasury Notes and Bonds (semiannual coupons).</t>
        </is>
      </c>
    </row>
    <row r="14" ht="14" customHeight="1">
      <c r="A14" s="3" t="inlineStr">
        <is>
          <t>- Zero-coupon Treasury Bills (and stripped zeros): no coupon, only principal at maturity.</t>
        </is>
      </c>
    </row>
    <row r="15" ht="14" customHeight="1">
      <c r="A15" s="3" t="inlineStr">
        <is>
          <t>- Face value = 100 (prices quoted per 100 face). Day-count basis = Actual/Actual (Treasury convention).</t>
        </is>
      </c>
    </row>
    <row r="16" ht="18" customHeight="1">
      <c r="A16" s="5" t="inlineStr">
        <is>
          <t>What it does NOT cover</t>
        </is>
      </c>
    </row>
    <row r="17" ht="25" customHeight="1">
      <c r="A17" s="3" t="inlineStr">
        <is>
          <t>Corporate bonds, credit spreads, callable bonds, floating-rate notes, TIPS, STRIPS complexity, and complex derivatives are out of scope - see the Limitations sheet. This keeps the model simple and correct for plain US Treasuries.</t>
        </is>
      </c>
    </row>
    <row r="18" ht="18" customHeight="1">
      <c r="A18" s="5" t="inlineStr">
        <is>
          <t>How to use this model</t>
        </is>
      </c>
    </row>
    <row r="19" ht="14" customHeight="1">
      <c r="A19" s="3" t="inlineStr">
        <is>
          <t>1.  Go to 'Bond Terms' and fill the yellow cells (security type, coupon, dates, market price).</t>
        </is>
      </c>
    </row>
    <row r="20" ht="14" customHeight="1">
      <c r="A20" s="3" t="inlineStr">
        <is>
          <t>2.  Read 'Price &amp; Yield' and 'Duration &amp; Convexity' for value and interest-rate risk.</t>
        </is>
      </c>
    </row>
    <row r="21" ht="14" customHeight="1">
      <c r="A21" s="3" t="inlineStr">
        <is>
          <t>3.  Use 'Rate Shock' to see price impact if yields move, and 'Yield Curve' for curve context.</t>
        </is>
      </c>
    </row>
    <row r="22" ht="14" customHeight="1">
      <c r="A22" s="3" t="inlineStr">
        <is>
          <t>4.  Review the 'Risk Summary', then use 'Recommendation' to summarise and make your Buy/Hold/Avoid call.</t>
        </is>
      </c>
    </row>
    <row r="23" ht="14" customHeight="1">
      <c r="A23" s="3" t="inlineStr">
        <is>
          <t>5.  Open 'Audit' to confirm the numbers pass the independent checks; use 'Formula Explanations' when unsure.</t>
        </is>
      </c>
    </row>
    <row r="25" ht="16" customHeight="1">
      <c r="A25" s="6" t="inlineStr">
        <is>
          <t>Important</t>
        </is>
      </c>
    </row>
    <row r="26" ht="25" customHeight="1">
      <c r="A26" s="7" t="inlineStr">
        <is>
          <t>This is a simplified educational model for a single US Treasury security. It is a decision-support tool, not investment advice.</t>
        </is>
      </c>
    </row>
  </sheetData>
  <mergeCells count="22">
    <mergeCell ref="A23:J23"/>
    <mergeCell ref="A8:J8"/>
    <mergeCell ref="A14:J14"/>
    <mergeCell ref="A22:J22"/>
    <mergeCell ref="A17:J17"/>
    <mergeCell ref="A20:J20"/>
    <mergeCell ref="A10:J10"/>
    <mergeCell ref="A19:J19"/>
    <mergeCell ref="A13:J13"/>
    <mergeCell ref="A9:J9"/>
    <mergeCell ref="A15:J15"/>
    <mergeCell ref="A11:J11"/>
    <mergeCell ref="A1:J1"/>
    <mergeCell ref="A7:J7"/>
    <mergeCell ref="A16:J16"/>
    <mergeCell ref="A25:J25"/>
    <mergeCell ref="A18:J18"/>
    <mergeCell ref="A3:J3"/>
    <mergeCell ref="A21:J21"/>
    <mergeCell ref="A12:J12"/>
    <mergeCell ref="A26:J26"/>
    <mergeCell ref="A2:J2"/>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2.xml><?xml version="1.0" encoding="utf-8"?>
<worksheet xmlns="http://schemas.openxmlformats.org/spreadsheetml/2006/main">
  <sheetPr>
    <tabColor rgb="000000FF"/>
    <outlinePr summaryBelow="1" summaryRight="1"/>
    <pageSetUpPr fitToPage="1"/>
  </sheetPr>
  <dimension ref="A1:G39"/>
  <sheetViews>
    <sheetView showGridLines="0" workbookViewId="0">
      <pane ySplit="5" topLeftCell="A6" activePane="bottomLeft" state="frozen"/>
      <selection pane="bottomLeft" activeCell="A1" sqref="A1"/>
    </sheetView>
  </sheetViews>
  <sheetFormatPr baseColWidth="8" defaultRowHeight="15"/>
  <cols>
    <col width="24" customWidth="1" min="1" max="1"/>
    <col width="15" customWidth="1" min="2" max="2"/>
    <col width="15" customWidth="1" min="3" max="3"/>
    <col width="12" customWidth="1" min="4" max="4"/>
    <col width="12" customWidth="1" min="5" max="5"/>
    <col width="12" customWidth="1" min="6" max="6"/>
    <col width="12" customWidth="1" min="7" max="7"/>
  </cols>
  <sheetData>
    <row r="1" ht="28" customHeight="1">
      <c r="A1" s="1" t="inlineStr">
        <is>
          <t>BOND TERMS</t>
        </is>
      </c>
    </row>
    <row r="2">
      <c r="A2" s="2" t="inlineStr">
        <is>
          <t>Type the Treasury's details here. Every other sheet reads from this page.</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14" customHeight="1">
      <c r="A8" s="7" t="inlineStr">
        <is>
          <t>WHAT TO DO:  fill the yellow cells. Use the drop-downs for security type and coupon frequency.</t>
        </is>
      </c>
    </row>
    <row r="9" ht="14" customHeight="1">
      <c r="A9" s="7" t="inlineStr">
        <is>
          <t>TREASURY BILL:  set Security type = Treasury Bill and Coupon frequency = Zero-coupon; the coupon rate is 0%.</t>
        </is>
      </c>
    </row>
    <row r="10" ht="14" customHeight="1">
      <c r="A10" s="7" t="inlineStr">
        <is>
          <t>TREASURY NOTE / BOND:  set Coupon frequency = Semiannual (US Treasuries pay coupons twice a year).</t>
        </is>
      </c>
    </row>
    <row r="11" ht="14" customHeight="1">
      <c r="A11" s="7" t="inlineStr">
        <is>
          <t>Day-count basis is Actual/Actual (1) - the US Treasury convention.</t>
        </is>
      </c>
    </row>
    <row r="13">
      <c r="A13" s="8" t="inlineStr">
        <is>
          <t>Legend:</t>
        </is>
      </c>
      <c r="B13" s="9" t="inlineStr">
        <is>
          <t>Input (type here)</t>
        </is>
      </c>
      <c r="D13" s="10" t="inlineStr">
        <is>
          <t>Formula</t>
        </is>
      </c>
      <c r="E13" s="11" t="inlineStr">
        <is>
          <t>Key output</t>
        </is>
      </c>
      <c r="G13" s="12" t="inlineStr">
        <is>
          <t>blue = input - black = formula - green = key output</t>
        </is>
      </c>
    </row>
    <row r="15" ht="18" customHeight="1">
      <c r="A15" s="5" t="inlineStr">
        <is>
          <t>Security identification</t>
        </is>
      </c>
    </row>
    <row r="16">
      <c r="A16" s="8" t="inlineStr">
        <is>
          <t>Security name</t>
        </is>
      </c>
      <c r="B16" s="13" t="inlineStr">
        <is>
          <t>US Treasury Note 4.000% 15-Feb-2034</t>
        </is>
      </c>
      <c r="C16" s="14" t="n"/>
    </row>
    <row r="17">
      <c r="A17" s="8" t="inlineStr">
        <is>
          <t>CUSIP / ticker</t>
        </is>
      </c>
      <c r="B17" s="13" t="inlineStr">
        <is>
          <t>91282CJZ9</t>
        </is>
      </c>
      <c r="C17" s="14" t="n"/>
    </row>
    <row r="18">
      <c r="A18" s="8" t="inlineStr">
        <is>
          <t>Security type</t>
        </is>
      </c>
      <c r="B18" s="9" t="inlineStr">
        <is>
          <t>Treasury Note</t>
        </is>
      </c>
      <c r="C18" s="14" t="n"/>
      <c r="D18" s="12" t="inlineStr">
        <is>
          <t>Treasury Bill (zero-coupon), Treasury Note (2-10y), or Treasury Bond (20-30y).</t>
        </is>
      </c>
    </row>
    <row r="19">
      <c r="A19" s="8" t="inlineStr">
        <is>
          <t>Currency</t>
        </is>
      </c>
      <c r="B19" s="9" t="inlineStr">
        <is>
          <t>USD</t>
        </is>
      </c>
      <c r="C19" s="14" t="n"/>
    </row>
    <row r="20" ht="18" customHeight="1">
      <c r="A20" s="5" t="inlineStr">
        <is>
          <t>Economic terms</t>
        </is>
      </c>
    </row>
    <row r="21">
      <c r="A21" s="8" t="inlineStr">
        <is>
          <t>Face value (per bond)</t>
        </is>
      </c>
      <c r="B21" s="15" t="n">
        <v>100</v>
      </c>
      <c r="C21" s="14" t="n"/>
      <c r="D21" s="12" t="inlineStr">
        <is>
          <t>Prices are quoted per 100 face. Keep this 100.</t>
        </is>
      </c>
    </row>
    <row r="22">
      <c r="A22" s="8" t="inlineStr">
        <is>
          <t>Coupon rate (annual)</t>
        </is>
      </c>
      <c r="B22" s="16" t="n">
        <v>0.04</v>
      </c>
      <c r="C22" s="14" t="n"/>
      <c r="D22" s="12" t="inlineStr">
        <is>
          <t>Fixed rate for notes/bonds. Use 0% for a Treasury Bill.</t>
        </is>
      </c>
    </row>
    <row r="23">
      <c r="A23" s="8" t="inlineStr">
        <is>
          <t>Coupon frequency</t>
        </is>
      </c>
      <c r="B23" s="9" t="inlineStr">
        <is>
          <t>Semiannual</t>
        </is>
      </c>
      <c r="C23" s="14" t="n"/>
      <c r="D23" s="12" t="inlineStr">
        <is>
          <t>Semiannual for notes/bonds; Zero-coupon for bills.</t>
        </is>
      </c>
    </row>
    <row r="24">
      <c r="A24" s="8" t="inlineStr">
        <is>
          <t>Day-count basis</t>
        </is>
      </c>
      <c r="B24" s="17" t="n">
        <v>1</v>
      </c>
      <c r="C24" s="14" t="n"/>
      <c r="D24" s="12" t="inlineStr">
        <is>
          <t>1 = Actual/Actual (Treasury convention).</t>
        </is>
      </c>
    </row>
    <row r="25">
      <c r="A25" s="8" t="inlineStr">
        <is>
          <t>Issue date</t>
        </is>
      </c>
      <c r="B25" s="18" t="n">
        <v>45337</v>
      </c>
      <c r="C25" s="14" t="n"/>
    </row>
    <row r="26">
      <c r="A26" s="8" t="inlineStr">
        <is>
          <t>Settlement date</t>
        </is>
      </c>
      <c r="B26" s="18" t="n">
        <v>45736</v>
      </c>
      <c r="C26" s="14" t="n"/>
      <c r="D26" s="12" t="inlineStr">
        <is>
          <t>The date you buy/value the security.</t>
        </is>
      </c>
    </row>
    <row r="27">
      <c r="A27" s="8" t="inlineStr">
        <is>
          <t>Maturity date</t>
        </is>
      </c>
      <c r="B27" s="18" t="n">
        <v>48990</v>
      </c>
      <c r="C27" s="14" t="n"/>
    </row>
    <row r="28">
      <c r="A28" s="8" t="inlineStr">
        <is>
          <t>Market clean price</t>
        </is>
      </c>
      <c r="B28" s="15" t="n">
        <v>96.5</v>
      </c>
      <c r="C28" s="14" t="n"/>
      <c r="D28" s="12" t="inlineStr">
        <is>
          <t>Quoted price per 100 face (excludes accrued interest).</t>
        </is>
      </c>
    </row>
    <row r="29">
      <c r="A29" s="8" t="inlineStr">
        <is>
          <t>Benchmark Treasury yield</t>
        </is>
      </c>
      <c r="B29" s="16" t="n">
        <v>0.043</v>
      </c>
      <c r="C29" s="14" t="n"/>
      <c r="D29" s="12" t="inlineStr">
        <is>
          <t>Yield of a Treasury of similar maturity (for the spread). Optional.</t>
        </is>
      </c>
    </row>
    <row r="30" ht="18" customHeight="1">
      <c r="A30" s="5" t="inlineStr">
        <is>
          <t>Analyst</t>
        </is>
      </c>
    </row>
    <row r="31">
      <c r="A31" s="8" t="inlineStr">
        <is>
          <t>Analyst name</t>
        </is>
      </c>
      <c r="B31" s="13" t="inlineStr"/>
      <c r="C31" s="14" t="n"/>
    </row>
    <row r="32">
      <c r="A32" s="8" t="inlineStr">
        <is>
          <t>Analysis date</t>
        </is>
      </c>
      <c r="B32" s="18" t="n">
        <v>45736</v>
      </c>
      <c r="C32" s="14" t="n"/>
    </row>
    <row r="33" ht="18" customHeight="1">
      <c r="A33" s="5" t="inlineStr">
        <is>
          <t>Derived values (auto - do not edit)</t>
        </is>
      </c>
    </row>
    <row r="34">
      <c r="A34" s="8" t="inlineStr">
        <is>
          <t>Zero-coupon?</t>
        </is>
      </c>
      <c r="B34" s="19">
        <f>IF(FreqName="Zero-coupon",1,0)</f>
        <v/>
      </c>
      <c r="D34" s="12" t="inlineStr">
        <is>
          <t>1 = bill / zero-coupon (only principal at maturity).</t>
        </is>
      </c>
    </row>
    <row r="35">
      <c r="A35" s="8" t="inlineStr">
        <is>
          <t>Payments per year</t>
        </is>
      </c>
      <c r="B35" s="19">
        <f>IF(IsZero=1,1,2)</f>
        <v/>
      </c>
    </row>
    <row r="36">
      <c r="A36" s="8" t="inlineStr">
        <is>
          <t>Effective coupon rate</t>
        </is>
      </c>
      <c r="B36" s="20">
        <f>IF(IsZero=1,0,CouponRate)</f>
        <v/>
      </c>
    </row>
    <row r="37">
      <c r="A37" s="8" t="inlineStr">
        <is>
          <t>Day-count basis used</t>
        </is>
      </c>
      <c r="B37" s="10">
        <f>CHOOSE(Basis+1,"US 30/360","Actual/Actual","Actual/360","Actual/365","European 30/360")</f>
        <v/>
      </c>
    </row>
    <row r="38">
      <c r="A38" s="8" t="inlineStr">
        <is>
          <t>Years to maturity</t>
        </is>
      </c>
      <c r="B38" s="21">
        <f>YEARFRAC(Settle,Maturity,Basis)</f>
        <v/>
      </c>
    </row>
    <row r="39">
      <c r="A39" s="8" t="inlineStr">
        <is>
          <t>Consistency check</t>
        </is>
      </c>
      <c r="B39" s="22">
        <f>IF(AND(SecType="Treasury Bill",FreqName&lt;&gt;"Zero-coupon"),"WARNING: a Treasury Bill must be Zero-coupon",IF(AND(SecType&lt;&gt;"Treasury Bill",FreqName&lt;&gt;"Semiannual"),"WARNING: notes/bonds must be Semiannual","OK"))</f>
        <v/>
      </c>
      <c r="C39" s="23" t="n"/>
    </row>
  </sheetData>
  <mergeCells count="39">
    <mergeCell ref="D18:G18"/>
    <mergeCell ref="B16:C16"/>
    <mergeCell ref="B25:C25"/>
    <mergeCell ref="A8:G8"/>
    <mergeCell ref="A20:G20"/>
    <mergeCell ref="B22:C22"/>
    <mergeCell ref="D24:G24"/>
    <mergeCell ref="B31:C31"/>
    <mergeCell ref="D29:G29"/>
    <mergeCell ref="B18:C18"/>
    <mergeCell ref="B27:C27"/>
    <mergeCell ref="A10:G10"/>
    <mergeCell ref="B39:C39"/>
    <mergeCell ref="D23:G23"/>
    <mergeCell ref="B21:C21"/>
    <mergeCell ref="D26:G26"/>
    <mergeCell ref="A9:G9"/>
    <mergeCell ref="B23:C23"/>
    <mergeCell ref="A30:G30"/>
    <mergeCell ref="A15:G15"/>
    <mergeCell ref="D34:G34"/>
    <mergeCell ref="B17:C17"/>
    <mergeCell ref="A11:G11"/>
    <mergeCell ref="D22:G22"/>
    <mergeCell ref="A1:G1"/>
    <mergeCell ref="B29:C29"/>
    <mergeCell ref="B19:C19"/>
    <mergeCell ref="B37:C37"/>
    <mergeCell ref="B28:C28"/>
    <mergeCell ref="D21:G21"/>
    <mergeCell ref="A7:G7"/>
    <mergeCell ref="G13"/>
    <mergeCell ref="B24:C24"/>
    <mergeCell ref="A3:G3"/>
    <mergeCell ref="A2:G2"/>
    <mergeCell ref="B32:C32"/>
    <mergeCell ref="B26:C26"/>
    <mergeCell ref="A33:G33"/>
    <mergeCell ref="D28:G28"/>
  </mergeCells>
  <conditionalFormatting sqref="B39">
    <cfRule type="expression" priority="1" dxfId="0" stopIfTrue="1">
      <formula>OR(ISNUMBER(SEARCH("PASS",B39)),ISNUMBER(SEARCH("OK",B39)),ISNUMBER(SEARCH("Low",B39)),ISNUMBER(SEARCH("Normal",B39)),ISNUMBER(SEARCH("Buy",B39)),ISNUMBER(SEARCH("Short",B39)),ISNUMBER(SEARCH("Yes",B39)),ISNUMBER(SEARCH("Within",B39)))</formula>
    </cfRule>
    <cfRule type="expression" priority="2" dxfId="1" stopIfTrue="1">
      <formula>OR(ISNUMBER(SEARCH("WARNING",B39)),ISNUMBER(SEARCH("WARN",B39)),ISNUMBER(SEARCH("Medium",B39)),ISNUMBER(SEARCH("Flat",B39)),ISNUMBER(SEARCH("Hold",B39)),ISNUMBER(SEARCH("Intermediate",B39)),ISNUMBER(SEARCH("Review",B39)),ISNUMBER(SEARCH("Watch",B39)))</formula>
    </cfRule>
    <cfRule type="expression" priority="3" dxfId="2" stopIfTrue="1">
      <formula>OR(ISNUMBER(SEARCH("FAIL",B39)),ISNUMBER(SEARCH("High",B39)),ISNUMBER(SEARCH("Inverted",B39)),ISNUMBER(SEARCH("Avoid",B39)),ISNUMBER(SEARCH("Long",B39)),ISNUMBER(SEARCH("Negative",B39)),ISNUMBER(SEARCH("No",B39)))</formula>
    </cfRule>
  </conditionalFormatting>
  <dataValidations count="3">
    <dataValidation sqref="B18" showDropDown="0" showInputMessage="0" showErrorMessage="1" allowBlank="1" type="list">
      <formula1>"Treasury Bill,Treasury Note,Treasury Bond"</formula1>
    </dataValidation>
    <dataValidation sqref="B23" showDropDown="0" showInputMessage="0" showErrorMessage="1" allowBlank="1" type="list">
      <formula1>"Semiannual,Zero-coupon"</formula1>
    </dataValidation>
    <dataValidation sqref="B24" showDropDown="0" showInputMessage="0" showErrorMessage="1" allowBlank="1" type="list">
      <formula1>"0,1,2,3,4"</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3.xml><?xml version="1.0" encoding="utf-8"?>
<worksheet xmlns="http://schemas.openxmlformats.org/spreadsheetml/2006/main">
  <sheetPr>
    <tabColor rgb="002E5984"/>
    <outlinePr summaryBelow="1" summaryRight="1"/>
    <pageSetUpPr fitToPage="1"/>
  </sheetPr>
  <dimension ref="A1:J86"/>
  <sheetViews>
    <sheetView showGridLines="0" workbookViewId="0">
      <pane ySplit="18" topLeftCell="A19" activePane="bottomLeft" state="frozen"/>
      <selection pane="bottomLef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8" customHeight="1">
      <c r="A1" s="1" t="inlineStr">
        <is>
          <t>CASH FLOWS</t>
        </is>
      </c>
    </row>
    <row r="2">
      <c r="A2" s="2" t="inlineStr">
        <is>
          <t>Every future payment, its timing, and its present value at the yield</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WHAT THIS SHOWS:  each remaining coupon and the final principal, discounted back to today at the yield. The present values add up to the DIRTY price.</t>
        </is>
      </c>
    </row>
    <row r="9" ht="14" customHeight="1">
      <c r="A9" s="7" t="inlineStr">
        <is>
          <t>Only payments AFTER settlement are shown. Notes/bonds pay 2 coupons per year; a bill pays only principal at maturity.</t>
        </is>
      </c>
    </row>
    <row r="10" ht="14" customHeight="1">
      <c r="A10" s="7" t="inlineStr">
        <is>
          <t>Discount factor = 1 / (1 + yield/2) ^ (periods to payment).  PV = Total cash flow x Discount factor.</t>
        </is>
      </c>
    </row>
    <row r="13" ht="18" customHeight="1">
      <c r="A13" s="5" t="inlineStr">
        <is>
          <t>Schedule parameters (auto)</t>
        </is>
      </c>
    </row>
    <row r="14">
      <c r="A14" s="8" t="inlineStr">
        <is>
          <t>Remaining payments</t>
        </is>
      </c>
      <c r="B14" s="19">
        <f>IF(IsZero=1,1,COUPNUM(Settle,Maturity,Freq,Basis))</f>
        <v/>
      </c>
      <c r="D14" s="12" t="inlineStr">
        <is>
          <t>Future payments (capped at 62 rows).</t>
        </is>
      </c>
    </row>
    <row r="15">
      <c r="A15" s="8" t="inlineStr">
        <is>
          <t>Next payment date</t>
        </is>
      </c>
      <c r="B15" s="24">
        <f>IF(IsZero=1,Maturity,COUPNCD(Settle,Maturity,Freq,Basis))</f>
        <v/>
      </c>
    </row>
    <row r="16">
      <c r="A16" s="8" t="inlineStr">
        <is>
          <t>Fraction of 1st period left</t>
        </is>
      </c>
      <c r="B16" s="25">
        <f>IF(IsZero=1,YearsToMat,COUPDAYSNC(Settle,Maturity,Freq,Basis)/COUPDAYS(Settle,Maturity,Freq,Basis))</f>
        <v/>
      </c>
    </row>
    <row r="18" ht="24" customHeight="1">
      <c r="A18" s="26" t="inlineStr">
        <is>
          <t>Payment #</t>
        </is>
      </c>
      <c r="B18" s="27" t="inlineStr">
        <is>
          <t>Payment date</t>
        </is>
      </c>
      <c r="C18" s="27" t="inlineStr">
        <is>
          <t>Coupon CF</t>
        </is>
      </c>
      <c r="D18" s="27" t="inlineStr">
        <is>
          <t>Principal CF</t>
        </is>
      </c>
      <c r="E18" s="27" t="inlineStr">
        <is>
          <t>Total CF</t>
        </is>
      </c>
      <c r="F18" s="27" t="inlineStr">
        <is>
          <t>Time (years)</t>
        </is>
      </c>
      <c r="G18" s="27" t="inlineStr">
        <is>
          <t>Discount factor</t>
        </is>
      </c>
      <c r="H18" s="27" t="inlineStr">
        <is>
          <t>PV of CF</t>
        </is>
      </c>
      <c r="I18" s="27" t="inlineStr">
        <is>
          <t>Convexity term</t>
        </is>
      </c>
      <c r="J18" s="27" t="inlineStr">
        <is>
          <t>Time x PV</t>
        </is>
      </c>
    </row>
    <row r="19">
      <c r="A19" s="19">
        <f>IF(1&gt;Ncoup,"",1)</f>
        <v/>
      </c>
      <c r="B19" s="24">
        <f>IF(1&gt;Ncoup,"",EDATE(Ncd,(12/Freq)*(1-1)))</f>
        <v/>
      </c>
      <c r="C19" s="28">
        <f>IF(1&gt;Ncoup,"",IF(IsZero=1,0,CouponRate/Freq*Face))</f>
        <v/>
      </c>
      <c r="D19" s="28">
        <f>IF(1&gt;Ncoup,"",IF(1=Ncoup,Face,0))</f>
        <v/>
      </c>
      <c r="E19" s="28">
        <f>IF(1&gt;Ncoup,"",$C$19+$D$19)</f>
        <v/>
      </c>
      <c r="F19" s="29">
        <f>IF(1&gt;Ncoup,"",((1-1)+Wfrac)/Freq)</f>
        <v/>
      </c>
      <c r="G19" s="25">
        <f>IF(1&gt;Ncoup,"",1/(1+YTM/Freq)^((1-1)+Wfrac))</f>
        <v/>
      </c>
      <c r="H19" s="28">
        <f>IF(1&gt;Ncoup,"",$E$19*$G$19)</f>
        <v/>
      </c>
      <c r="I19" s="25">
        <f>IF(1&gt;Ncoup,"",$E$19*((1-1)+Wfrac)*((1-1)+Wfrac+1)/(1+YTM/Freq)^((1-1)+Wfrac+2))</f>
        <v/>
      </c>
      <c r="J19" s="25">
        <f>IF(1&gt;Ncoup,"",$F$19*$H$19)</f>
        <v/>
      </c>
    </row>
    <row r="20">
      <c r="A20" s="19">
        <f>IF(2&gt;Ncoup,"",2)</f>
        <v/>
      </c>
      <c r="B20" s="24">
        <f>IF(2&gt;Ncoup,"",EDATE(Ncd,(12/Freq)*(2-1)))</f>
        <v/>
      </c>
      <c r="C20" s="28">
        <f>IF(2&gt;Ncoup,"",IF(IsZero=1,0,CouponRate/Freq*Face))</f>
        <v/>
      </c>
      <c r="D20" s="28">
        <f>IF(2&gt;Ncoup,"",IF(2=Ncoup,Face,0))</f>
        <v/>
      </c>
      <c r="E20" s="28">
        <f>IF(2&gt;Ncoup,"",$C$20+$D$20)</f>
        <v/>
      </c>
      <c r="F20" s="29">
        <f>IF(2&gt;Ncoup,"",((2-1)+Wfrac)/Freq)</f>
        <v/>
      </c>
      <c r="G20" s="25">
        <f>IF(2&gt;Ncoup,"",1/(1+YTM/Freq)^((2-1)+Wfrac))</f>
        <v/>
      </c>
      <c r="H20" s="28">
        <f>IF(2&gt;Ncoup,"",$E$20*$G$20)</f>
        <v/>
      </c>
      <c r="I20" s="25">
        <f>IF(2&gt;Ncoup,"",$E$20*((2-1)+Wfrac)*((2-1)+Wfrac+1)/(1+YTM/Freq)^((2-1)+Wfrac+2))</f>
        <v/>
      </c>
      <c r="J20" s="25">
        <f>IF(2&gt;Ncoup,"",$F$20*$H$20)</f>
        <v/>
      </c>
    </row>
    <row r="21">
      <c r="A21" s="19">
        <f>IF(3&gt;Ncoup,"",3)</f>
        <v/>
      </c>
      <c r="B21" s="24">
        <f>IF(3&gt;Ncoup,"",EDATE(Ncd,(12/Freq)*(3-1)))</f>
        <v/>
      </c>
      <c r="C21" s="28">
        <f>IF(3&gt;Ncoup,"",IF(IsZero=1,0,CouponRate/Freq*Face))</f>
        <v/>
      </c>
      <c r="D21" s="28">
        <f>IF(3&gt;Ncoup,"",IF(3=Ncoup,Face,0))</f>
        <v/>
      </c>
      <c r="E21" s="28">
        <f>IF(3&gt;Ncoup,"",$C$21+$D$21)</f>
        <v/>
      </c>
      <c r="F21" s="29">
        <f>IF(3&gt;Ncoup,"",((3-1)+Wfrac)/Freq)</f>
        <v/>
      </c>
      <c r="G21" s="25">
        <f>IF(3&gt;Ncoup,"",1/(1+YTM/Freq)^((3-1)+Wfrac))</f>
        <v/>
      </c>
      <c r="H21" s="28">
        <f>IF(3&gt;Ncoup,"",$E$21*$G$21)</f>
        <v/>
      </c>
      <c r="I21" s="25">
        <f>IF(3&gt;Ncoup,"",$E$21*((3-1)+Wfrac)*((3-1)+Wfrac+1)/(1+YTM/Freq)^((3-1)+Wfrac+2))</f>
        <v/>
      </c>
      <c r="J21" s="25">
        <f>IF(3&gt;Ncoup,"",$F$21*$H$21)</f>
        <v/>
      </c>
    </row>
    <row r="22">
      <c r="A22" s="19">
        <f>IF(4&gt;Ncoup,"",4)</f>
        <v/>
      </c>
      <c r="B22" s="24">
        <f>IF(4&gt;Ncoup,"",EDATE(Ncd,(12/Freq)*(4-1)))</f>
        <v/>
      </c>
      <c r="C22" s="28">
        <f>IF(4&gt;Ncoup,"",IF(IsZero=1,0,CouponRate/Freq*Face))</f>
        <v/>
      </c>
      <c r="D22" s="28">
        <f>IF(4&gt;Ncoup,"",IF(4=Ncoup,Face,0))</f>
        <v/>
      </c>
      <c r="E22" s="28">
        <f>IF(4&gt;Ncoup,"",$C$22+$D$22)</f>
        <v/>
      </c>
      <c r="F22" s="29">
        <f>IF(4&gt;Ncoup,"",((4-1)+Wfrac)/Freq)</f>
        <v/>
      </c>
      <c r="G22" s="25">
        <f>IF(4&gt;Ncoup,"",1/(1+YTM/Freq)^((4-1)+Wfrac))</f>
        <v/>
      </c>
      <c r="H22" s="28">
        <f>IF(4&gt;Ncoup,"",$E$22*$G$22)</f>
        <v/>
      </c>
      <c r="I22" s="25">
        <f>IF(4&gt;Ncoup,"",$E$22*((4-1)+Wfrac)*((4-1)+Wfrac+1)/(1+YTM/Freq)^((4-1)+Wfrac+2))</f>
        <v/>
      </c>
      <c r="J22" s="25">
        <f>IF(4&gt;Ncoup,"",$F$22*$H$22)</f>
        <v/>
      </c>
    </row>
    <row r="23">
      <c r="A23" s="19">
        <f>IF(5&gt;Ncoup,"",5)</f>
        <v/>
      </c>
      <c r="B23" s="24">
        <f>IF(5&gt;Ncoup,"",EDATE(Ncd,(12/Freq)*(5-1)))</f>
        <v/>
      </c>
      <c r="C23" s="28">
        <f>IF(5&gt;Ncoup,"",IF(IsZero=1,0,CouponRate/Freq*Face))</f>
        <v/>
      </c>
      <c r="D23" s="28">
        <f>IF(5&gt;Ncoup,"",IF(5=Ncoup,Face,0))</f>
        <v/>
      </c>
      <c r="E23" s="28">
        <f>IF(5&gt;Ncoup,"",$C$23+$D$23)</f>
        <v/>
      </c>
      <c r="F23" s="29">
        <f>IF(5&gt;Ncoup,"",((5-1)+Wfrac)/Freq)</f>
        <v/>
      </c>
      <c r="G23" s="25">
        <f>IF(5&gt;Ncoup,"",1/(1+YTM/Freq)^((5-1)+Wfrac))</f>
        <v/>
      </c>
      <c r="H23" s="28">
        <f>IF(5&gt;Ncoup,"",$E$23*$G$23)</f>
        <v/>
      </c>
      <c r="I23" s="25">
        <f>IF(5&gt;Ncoup,"",$E$23*((5-1)+Wfrac)*((5-1)+Wfrac+1)/(1+YTM/Freq)^((5-1)+Wfrac+2))</f>
        <v/>
      </c>
      <c r="J23" s="25">
        <f>IF(5&gt;Ncoup,"",$F$23*$H$23)</f>
        <v/>
      </c>
    </row>
    <row r="24">
      <c r="A24" s="19">
        <f>IF(6&gt;Ncoup,"",6)</f>
        <v/>
      </c>
      <c r="B24" s="24">
        <f>IF(6&gt;Ncoup,"",EDATE(Ncd,(12/Freq)*(6-1)))</f>
        <v/>
      </c>
      <c r="C24" s="28">
        <f>IF(6&gt;Ncoup,"",IF(IsZero=1,0,CouponRate/Freq*Face))</f>
        <v/>
      </c>
      <c r="D24" s="28">
        <f>IF(6&gt;Ncoup,"",IF(6=Ncoup,Face,0))</f>
        <v/>
      </c>
      <c r="E24" s="28">
        <f>IF(6&gt;Ncoup,"",$C$24+$D$24)</f>
        <v/>
      </c>
      <c r="F24" s="29">
        <f>IF(6&gt;Ncoup,"",((6-1)+Wfrac)/Freq)</f>
        <v/>
      </c>
      <c r="G24" s="25">
        <f>IF(6&gt;Ncoup,"",1/(1+YTM/Freq)^((6-1)+Wfrac))</f>
        <v/>
      </c>
      <c r="H24" s="28">
        <f>IF(6&gt;Ncoup,"",$E$24*$G$24)</f>
        <v/>
      </c>
      <c r="I24" s="25">
        <f>IF(6&gt;Ncoup,"",$E$24*((6-1)+Wfrac)*((6-1)+Wfrac+1)/(1+YTM/Freq)^((6-1)+Wfrac+2))</f>
        <v/>
      </c>
      <c r="J24" s="25">
        <f>IF(6&gt;Ncoup,"",$F$24*$H$24)</f>
        <v/>
      </c>
    </row>
    <row r="25">
      <c r="A25" s="19">
        <f>IF(7&gt;Ncoup,"",7)</f>
        <v/>
      </c>
      <c r="B25" s="24">
        <f>IF(7&gt;Ncoup,"",EDATE(Ncd,(12/Freq)*(7-1)))</f>
        <v/>
      </c>
      <c r="C25" s="28">
        <f>IF(7&gt;Ncoup,"",IF(IsZero=1,0,CouponRate/Freq*Face))</f>
        <v/>
      </c>
      <c r="D25" s="28">
        <f>IF(7&gt;Ncoup,"",IF(7=Ncoup,Face,0))</f>
        <v/>
      </c>
      <c r="E25" s="28">
        <f>IF(7&gt;Ncoup,"",$C$25+$D$25)</f>
        <v/>
      </c>
      <c r="F25" s="29">
        <f>IF(7&gt;Ncoup,"",((7-1)+Wfrac)/Freq)</f>
        <v/>
      </c>
      <c r="G25" s="25">
        <f>IF(7&gt;Ncoup,"",1/(1+YTM/Freq)^((7-1)+Wfrac))</f>
        <v/>
      </c>
      <c r="H25" s="28">
        <f>IF(7&gt;Ncoup,"",$E$25*$G$25)</f>
        <v/>
      </c>
      <c r="I25" s="25">
        <f>IF(7&gt;Ncoup,"",$E$25*((7-1)+Wfrac)*((7-1)+Wfrac+1)/(1+YTM/Freq)^((7-1)+Wfrac+2))</f>
        <v/>
      </c>
      <c r="J25" s="25">
        <f>IF(7&gt;Ncoup,"",$F$25*$H$25)</f>
        <v/>
      </c>
    </row>
    <row r="26">
      <c r="A26" s="19">
        <f>IF(8&gt;Ncoup,"",8)</f>
        <v/>
      </c>
      <c r="B26" s="24">
        <f>IF(8&gt;Ncoup,"",EDATE(Ncd,(12/Freq)*(8-1)))</f>
        <v/>
      </c>
      <c r="C26" s="28">
        <f>IF(8&gt;Ncoup,"",IF(IsZero=1,0,CouponRate/Freq*Face))</f>
        <v/>
      </c>
      <c r="D26" s="28">
        <f>IF(8&gt;Ncoup,"",IF(8=Ncoup,Face,0))</f>
        <v/>
      </c>
      <c r="E26" s="28">
        <f>IF(8&gt;Ncoup,"",$C$26+$D$26)</f>
        <v/>
      </c>
      <c r="F26" s="29">
        <f>IF(8&gt;Ncoup,"",((8-1)+Wfrac)/Freq)</f>
        <v/>
      </c>
      <c r="G26" s="25">
        <f>IF(8&gt;Ncoup,"",1/(1+YTM/Freq)^((8-1)+Wfrac))</f>
        <v/>
      </c>
      <c r="H26" s="28">
        <f>IF(8&gt;Ncoup,"",$E$26*$G$26)</f>
        <v/>
      </c>
      <c r="I26" s="25">
        <f>IF(8&gt;Ncoup,"",$E$26*((8-1)+Wfrac)*((8-1)+Wfrac+1)/(1+YTM/Freq)^((8-1)+Wfrac+2))</f>
        <v/>
      </c>
      <c r="J26" s="25">
        <f>IF(8&gt;Ncoup,"",$F$26*$H$26)</f>
        <v/>
      </c>
    </row>
    <row r="27">
      <c r="A27" s="19">
        <f>IF(9&gt;Ncoup,"",9)</f>
        <v/>
      </c>
      <c r="B27" s="24">
        <f>IF(9&gt;Ncoup,"",EDATE(Ncd,(12/Freq)*(9-1)))</f>
        <v/>
      </c>
      <c r="C27" s="28">
        <f>IF(9&gt;Ncoup,"",IF(IsZero=1,0,CouponRate/Freq*Face))</f>
        <v/>
      </c>
      <c r="D27" s="28">
        <f>IF(9&gt;Ncoup,"",IF(9=Ncoup,Face,0))</f>
        <v/>
      </c>
      <c r="E27" s="28">
        <f>IF(9&gt;Ncoup,"",$C$27+$D$27)</f>
        <v/>
      </c>
      <c r="F27" s="29">
        <f>IF(9&gt;Ncoup,"",((9-1)+Wfrac)/Freq)</f>
        <v/>
      </c>
      <c r="G27" s="25">
        <f>IF(9&gt;Ncoup,"",1/(1+YTM/Freq)^((9-1)+Wfrac))</f>
        <v/>
      </c>
      <c r="H27" s="28">
        <f>IF(9&gt;Ncoup,"",$E$27*$G$27)</f>
        <v/>
      </c>
      <c r="I27" s="25">
        <f>IF(9&gt;Ncoup,"",$E$27*((9-1)+Wfrac)*((9-1)+Wfrac+1)/(1+YTM/Freq)^((9-1)+Wfrac+2))</f>
        <v/>
      </c>
      <c r="J27" s="25">
        <f>IF(9&gt;Ncoup,"",$F$27*$H$27)</f>
        <v/>
      </c>
    </row>
    <row r="28">
      <c r="A28" s="19">
        <f>IF(10&gt;Ncoup,"",10)</f>
        <v/>
      </c>
      <c r="B28" s="24">
        <f>IF(10&gt;Ncoup,"",EDATE(Ncd,(12/Freq)*(10-1)))</f>
        <v/>
      </c>
      <c r="C28" s="28">
        <f>IF(10&gt;Ncoup,"",IF(IsZero=1,0,CouponRate/Freq*Face))</f>
        <v/>
      </c>
      <c r="D28" s="28">
        <f>IF(10&gt;Ncoup,"",IF(10=Ncoup,Face,0))</f>
        <v/>
      </c>
      <c r="E28" s="28">
        <f>IF(10&gt;Ncoup,"",$C$28+$D$28)</f>
        <v/>
      </c>
      <c r="F28" s="29">
        <f>IF(10&gt;Ncoup,"",((10-1)+Wfrac)/Freq)</f>
        <v/>
      </c>
      <c r="G28" s="25">
        <f>IF(10&gt;Ncoup,"",1/(1+YTM/Freq)^((10-1)+Wfrac))</f>
        <v/>
      </c>
      <c r="H28" s="28">
        <f>IF(10&gt;Ncoup,"",$E$28*$G$28)</f>
        <v/>
      </c>
      <c r="I28" s="25">
        <f>IF(10&gt;Ncoup,"",$E$28*((10-1)+Wfrac)*((10-1)+Wfrac+1)/(1+YTM/Freq)^((10-1)+Wfrac+2))</f>
        <v/>
      </c>
      <c r="J28" s="25">
        <f>IF(10&gt;Ncoup,"",$F$28*$H$28)</f>
        <v/>
      </c>
    </row>
    <row r="29">
      <c r="A29" s="19">
        <f>IF(11&gt;Ncoup,"",11)</f>
        <v/>
      </c>
      <c r="B29" s="24">
        <f>IF(11&gt;Ncoup,"",EDATE(Ncd,(12/Freq)*(11-1)))</f>
        <v/>
      </c>
      <c r="C29" s="28">
        <f>IF(11&gt;Ncoup,"",IF(IsZero=1,0,CouponRate/Freq*Face))</f>
        <v/>
      </c>
      <c r="D29" s="28">
        <f>IF(11&gt;Ncoup,"",IF(11=Ncoup,Face,0))</f>
        <v/>
      </c>
      <c r="E29" s="28">
        <f>IF(11&gt;Ncoup,"",$C$29+$D$29)</f>
        <v/>
      </c>
      <c r="F29" s="29">
        <f>IF(11&gt;Ncoup,"",((11-1)+Wfrac)/Freq)</f>
        <v/>
      </c>
      <c r="G29" s="25">
        <f>IF(11&gt;Ncoup,"",1/(1+YTM/Freq)^((11-1)+Wfrac))</f>
        <v/>
      </c>
      <c r="H29" s="28">
        <f>IF(11&gt;Ncoup,"",$E$29*$G$29)</f>
        <v/>
      </c>
      <c r="I29" s="25">
        <f>IF(11&gt;Ncoup,"",$E$29*((11-1)+Wfrac)*((11-1)+Wfrac+1)/(1+YTM/Freq)^((11-1)+Wfrac+2))</f>
        <v/>
      </c>
      <c r="J29" s="25">
        <f>IF(11&gt;Ncoup,"",$F$29*$H$29)</f>
        <v/>
      </c>
    </row>
    <row r="30">
      <c r="A30" s="19">
        <f>IF(12&gt;Ncoup,"",12)</f>
        <v/>
      </c>
      <c r="B30" s="24">
        <f>IF(12&gt;Ncoup,"",EDATE(Ncd,(12/Freq)*(12-1)))</f>
        <v/>
      </c>
      <c r="C30" s="28">
        <f>IF(12&gt;Ncoup,"",IF(IsZero=1,0,CouponRate/Freq*Face))</f>
        <v/>
      </c>
      <c r="D30" s="28">
        <f>IF(12&gt;Ncoup,"",IF(12=Ncoup,Face,0))</f>
        <v/>
      </c>
      <c r="E30" s="28">
        <f>IF(12&gt;Ncoup,"",$C$30+$D$30)</f>
        <v/>
      </c>
      <c r="F30" s="29">
        <f>IF(12&gt;Ncoup,"",((12-1)+Wfrac)/Freq)</f>
        <v/>
      </c>
      <c r="G30" s="25">
        <f>IF(12&gt;Ncoup,"",1/(1+YTM/Freq)^((12-1)+Wfrac))</f>
        <v/>
      </c>
      <c r="H30" s="28">
        <f>IF(12&gt;Ncoup,"",$E$30*$G$30)</f>
        <v/>
      </c>
      <c r="I30" s="25">
        <f>IF(12&gt;Ncoup,"",$E$30*((12-1)+Wfrac)*((12-1)+Wfrac+1)/(1+YTM/Freq)^((12-1)+Wfrac+2))</f>
        <v/>
      </c>
      <c r="J30" s="25">
        <f>IF(12&gt;Ncoup,"",$F$30*$H$30)</f>
        <v/>
      </c>
    </row>
    <row r="31">
      <c r="A31" s="19">
        <f>IF(13&gt;Ncoup,"",13)</f>
        <v/>
      </c>
      <c r="B31" s="24">
        <f>IF(13&gt;Ncoup,"",EDATE(Ncd,(12/Freq)*(13-1)))</f>
        <v/>
      </c>
      <c r="C31" s="28">
        <f>IF(13&gt;Ncoup,"",IF(IsZero=1,0,CouponRate/Freq*Face))</f>
        <v/>
      </c>
      <c r="D31" s="28">
        <f>IF(13&gt;Ncoup,"",IF(13=Ncoup,Face,0))</f>
        <v/>
      </c>
      <c r="E31" s="28">
        <f>IF(13&gt;Ncoup,"",$C$31+$D$31)</f>
        <v/>
      </c>
      <c r="F31" s="29">
        <f>IF(13&gt;Ncoup,"",((13-1)+Wfrac)/Freq)</f>
        <v/>
      </c>
      <c r="G31" s="25">
        <f>IF(13&gt;Ncoup,"",1/(1+YTM/Freq)^((13-1)+Wfrac))</f>
        <v/>
      </c>
      <c r="H31" s="28">
        <f>IF(13&gt;Ncoup,"",$E$31*$G$31)</f>
        <v/>
      </c>
      <c r="I31" s="25">
        <f>IF(13&gt;Ncoup,"",$E$31*((13-1)+Wfrac)*((13-1)+Wfrac+1)/(1+YTM/Freq)^((13-1)+Wfrac+2))</f>
        <v/>
      </c>
      <c r="J31" s="25">
        <f>IF(13&gt;Ncoup,"",$F$31*$H$31)</f>
        <v/>
      </c>
    </row>
    <row r="32">
      <c r="A32" s="19">
        <f>IF(14&gt;Ncoup,"",14)</f>
        <v/>
      </c>
      <c r="B32" s="24">
        <f>IF(14&gt;Ncoup,"",EDATE(Ncd,(12/Freq)*(14-1)))</f>
        <v/>
      </c>
      <c r="C32" s="28">
        <f>IF(14&gt;Ncoup,"",IF(IsZero=1,0,CouponRate/Freq*Face))</f>
        <v/>
      </c>
      <c r="D32" s="28">
        <f>IF(14&gt;Ncoup,"",IF(14=Ncoup,Face,0))</f>
        <v/>
      </c>
      <c r="E32" s="28">
        <f>IF(14&gt;Ncoup,"",$C$32+$D$32)</f>
        <v/>
      </c>
      <c r="F32" s="29">
        <f>IF(14&gt;Ncoup,"",((14-1)+Wfrac)/Freq)</f>
        <v/>
      </c>
      <c r="G32" s="25">
        <f>IF(14&gt;Ncoup,"",1/(1+YTM/Freq)^((14-1)+Wfrac))</f>
        <v/>
      </c>
      <c r="H32" s="28">
        <f>IF(14&gt;Ncoup,"",$E$32*$G$32)</f>
        <v/>
      </c>
      <c r="I32" s="25">
        <f>IF(14&gt;Ncoup,"",$E$32*((14-1)+Wfrac)*((14-1)+Wfrac+1)/(1+YTM/Freq)^((14-1)+Wfrac+2))</f>
        <v/>
      </c>
      <c r="J32" s="25">
        <f>IF(14&gt;Ncoup,"",$F$32*$H$32)</f>
        <v/>
      </c>
    </row>
    <row r="33">
      <c r="A33" s="19">
        <f>IF(15&gt;Ncoup,"",15)</f>
        <v/>
      </c>
      <c r="B33" s="24">
        <f>IF(15&gt;Ncoup,"",EDATE(Ncd,(12/Freq)*(15-1)))</f>
        <v/>
      </c>
      <c r="C33" s="28">
        <f>IF(15&gt;Ncoup,"",IF(IsZero=1,0,CouponRate/Freq*Face))</f>
        <v/>
      </c>
      <c r="D33" s="28">
        <f>IF(15&gt;Ncoup,"",IF(15=Ncoup,Face,0))</f>
        <v/>
      </c>
      <c r="E33" s="28">
        <f>IF(15&gt;Ncoup,"",$C$33+$D$33)</f>
        <v/>
      </c>
      <c r="F33" s="29">
        <f>IF(15&gt;Ncoup,"",((15-1)+Wfrac)/Freq)</f>
        <v/>
      </c>
      <c r="G33" s="25">
        <f>IF(15&gt;Ncoup,"",1/(1+YTM/Freq)^((15-1)+Wfrac))</f>
        <v/>
      </c>
      <c r="H33" s="28">
        <f>IF(15&gt;Ncoup,"",$E$33*$G$33)</f>
        <v/>
      </c>
      <c r="I33" s="25">
        <f>IF(15&gt;Ncoup,"",$E$33*((15-1)+Wfrac)*((15-1)+Wfrac+1)/(1+YTM/Freq)^((15-1)+Wfrac+2))</f>
        <v/>
      </c>
      <c r="J33" s="25">
        <f>IF(15&gt;Ncoup,"",$F$33*$H$33)</f>
        <v/>
      </c>
    </row>
    <row r="34">
      <c r="A34" s="19">
        <f>IF(16&gt;Ncoup,"",16)</f>
        <v/>
      </c>
      <c r="B34" s="24">
        <f>IF(16&gt;Ncoup,"",EDATE(Ncd,(12/Freq)*(16-1)))</f>
        <v/>
      </c>
      <c r="C34" s="28">
        <f>IF(16&gt;Ncoup,"",IF(IsZero=1,0,CouponRate/Freq*Face))</f>
        <v/>
      </c>
      <c r="D34" s="28">
        <f>IF(16&gt;Ncoup,"",IF(16=Ncoup,Face,0))</f>
        <v/>
      </c>
      <c r="E34" s="28">
        <f>IF(16&gt;Ncoup,"",$C$34+$D$34)</f>
        <v/>
      </c>
      <c r="F34" s="29">
        <f>IF(16&gt;Ncoup,"",((16-1)+Wfrac)/Freq)</f>
        <v/>
      </c>
      <c r="G34" s="25">
        <f>IF(16&gt;Ncoup,"",1/(1+YTM/Freq)^((16-1)+Wfrac))</f>
        <v/>
      </c>
      <c r="H34" s="28">
        <f>IF(16&gt;Ncoup,"",$E$34*$G$34)</f>
        <v/>
      </c>
      <c r="I34" s="25">
        <f>IF(16&gt;Ncoup,"",$E$34*((16-1)+Wfrac)*((16-1)+Wfrac+1)/(1+YTM/Freq)^((16-1)+Wfrac+2))</f>
        <v/>
      </c>
      <c r="J34" s="25">
        <f>IF(16&gt;Ncoup,"",$F$34*$H$34)</f>
        <v/>
      </c>
    </row>
    <row r="35">
      <c r="A35" s="19">
        <f>IF(17&gt;Ncoup,"",17)</f>
        <v/>
      </c>
      <c r="B35" s="24">
        <f>IF(17&gt;Ncoup,"",EDATE(Ncd,(12/Freq)*(17-1)))</f>
        <v/>
      </c>
      <c r="C35" s="28">
        <f>IF(17&gt;Ncoup,"",IF(IsZero=1,0,CouponRate/Freq*Face))</f>
        <v/>
      </c>
      <c r="D35" s="28">
        <f>IF(17&gt;Ncoup,"",IF(17=Ncoup,Face,0))</f>
        <v/>
      </c>
      <c r="E35" s="28">
        <f>IF(17&gt;Ncoup,"",$C$35+$D$35)</f>
        <v/>
      </c>
      <c r="F35" s="29">
        <f>IF(17&gt;Ncoup,"",((17-1)+Wfrac)/Freq)</f>
        <v/>
      </c>
      <c r="G35" s="25">
        <f>IF(17&gt;Ncoup,"",1/(1+YTM/Freq)^((17-1)+Wfrac))</f>
        <v/>
      </c>
      <c r="H35" s="28">
        <f>IF(17&gt;Ncoup,"",$E$35*$G$35)</f>
        <v/>
      </c>
      <c r="I35" s="25">
        <f>IF(17&gt;Ncoup,"",$E$35*((17-1)+Wfrac)*((17-1)+Wfrac+1)/(1+YTM/Freq)^((17-1)+Wfrac+2))</f>
        <v/>
      </c>
      <c r="J35" s="25">
        <f>IF(17&gt;Ncoup,"",$F$35*$H$35)</f>
        <v/>
      </c>
    </row>
    <row r="36">
      <c r="A36" s="19">
        <f>IF(18&gt;Ncoup,"",18)</f>
        <v/>
      </c>
      <c r="B36" s="24">
        <f>IF(18&gt;Ncoup,"",EDATE(Ncd,(12/Freq)*(18-1)))</f>
        <v/>
      </c>
      <c r="C36" s="28">
        <f>IF(18&gt;Ncoup,"",IF(IsZero=1,0,CouponRate/Freq*Face))</f>
        <v/>
      </c>
      <c r="D36" s="28">
        <f>IF(18&gt;Ncoup,"",IF(18=Ncoup,Face,0))</f>
        <v/>
      </c>
      <c r="E36" s="28">
        <f>IF(18&gt;Ncoup,"",$C$36+$D$36)</f>
        <v/>
      </c>
      <c r="F36" s="29">
        <f>IF(18&gt;Ncoup,"",((18-1)+Wfrac)/Freq)</f>
        <v/>
      </c>
      <c r="G36" s="25">
        <f>IF(18&gt;Ncoup,"",1/(1+YTM/Freq)^((18-1)+Wfrac))</f>
        <v/>
      </c>
      <c r="H36" s="28">
        <f>IF(18&gt;Ncoup,"",$E$36*$G$36)</f>
        <v/>
      </c>
      <c r="I36" s="25">
        <f>IF(18&gt;Ncoup,"",$E$36*((18-1)+Wfrac)*((18-1)+Wfrac+1)/(1+YTM/Freq)^((18-1)+Wfrac+2))</f>
        <v/>
      </c>
      <c r="J36" s="25">
        <f>IF(18&gt;Ncoup,"",$F$36*$H$36)</f>
        <v/>
      </c>
    </row>
    <row r="37">
      <c r="A37" s="19">
        <f>IF(19&gt;Ncoup,"",19)</f>
        <v/>
      </c>
      <c r="B37" s="24">
        <f>IF(19&gt;Ncoup,"",EDATE(Ncd,(12/Freq)*(19-1)))</f>
        <v/>
      </c>
      <c r="C37" s="28">
        <f>IF(19&gt;Ncoup,"",IF(IsZero=1,0,CouponRate/Freq*Face))</f>
        <v/>
      </c>
      <c r="D37" s="28">
        <f>IF(19&gt;Ncoup,"",IF(19=Ncoup,Face,0))</f>
        <v/>
      </c>
      <c r="E37" s="28">
        <f>IF(19&gt;Ncoup,"",$C$37+$D$37)</f>
        <v/>
      </c>
      <c r="F37" s="29">
        <f>IF(19&gt;Ncoup,"",((19-1)+Wfrac)/Freq)</f>
        <v/>
      </c>
      <c r="G37" s="25">
        <f>IF(19&gt;Ncoup,"",1/(1+YTM/Freq)^((19-1)+Wfrac))</f>
        <v/>
      </c>
      <c r="H37" s="28">
        <f>IF(19&gt;Ncoup,"",$E$37*$G$37)</f>
        <v/>
      </c>
      <c r="I37" s="25">
        <f>IF(19&gt;Ncoup,"",$E$37*((19-1)+Wfrac)*((19-1)+Wfrac+1)/(1+YTM/Freq)^((19-1)+Wfrac+2))</f>
        <v/>
      </c>
      <c r="J37" s="25">
        <f>IF(19&gt;Ncoup,"",$F$37*$H$37)</f>
        <v/>
      </c>
    </row>
    <row r="38">
      <c r="A38" s="19">
        <f>IF(20&gt;Ncoup,"",20)</f>
        <v/>
      </c>
      <c r="B38" s="24">
        <f>IF(20&gt;Ncoup,"",EDATE(Ncd,(12/Freq)*(20-1)))</f>
        <v/>
      </c>
      <c r="C38" s="28">
        <f>IF(20&gt;Ncoup,"",IF(IsZero=1,0,CouponRate/Freq*Face))</f>
        <v/>
      </c>
      <c r="D38" s="28">
        <f>IF(20&gt;Ncoup,"",IF(20=Ncoup,Face,0))</f>
        <v/>
      </c>
      <c r="E38" s="28">
        <f>IF(20&gt;Ncoup,"",$C$38+$D$38)</f>
        <v/>
      </c>
      <c r="F38" s="29">
        <f>IF(20&gt;Ncoup,"",((20-1)+Wfrac)/Freq)</f>
        <v/>
      </c>
      <c r="G38" s="25">
        <f>IF(20&gt;Ncoup,"",1/(1+YTM/Freq)^((20-1)+Wfrac))</f>
        <v/>
      </c>
      <c r="H38" s="28">
        <f>IF(20&gt;Ncoup,"",$E$38*$G$38)</f>
        <v/>
      </c>
      <c r="I38" s="25">
        <f>IF(20&gt;Ncoup,"",$E$38*((20-1)+Wfrac)*((20-1)+Wfrac+1)/(1+YTM/Freq)^((20-1)+Wfrac+2))</f>
        <v/>
      </c>
      <c r="J38" s="25">
        <f>IF(20&gt;Ncoup,"",$F$38*$H$38)</f>
        <v/>
      </c>
    </row>
    <row r="39">
      <c r="A39" s="19">
        <f>IF(21&gt;Ncoup,"",21)</f>
        <v/>
      </c>
      <c r="B39" s="24">
        <f>IF(21&gt;Ncoup,"",EDATE(Ncd,(12/Freq)*(21-1)))</f>
        <v/>
      </c>
      <c r="C39" s="28">
        <f>IF(21&gt;Ncoup,"",IF(IsZero=1,0,CouponRate/Freq*Face))</f>
        <v/>
      </c>
      <c r="D39" s="28">
        <f>IF(21&gt;Ncoup,"",IF(21=Ncoup,Face,0))</f>
        <v/>
      </c>
      <c r="E39" s="28">
        <f>IF(21&gt;Ncoup,"",$C$39+$D$39)</f>
        <v/>
      </c>
      <c r="F39" s="29">
        <f>IF(21&gt;Ncoup,"",((21-1)+Wfrac)/Freq)</f>
        <v/>
      </c>
      <c r="G39" s="25">
        <f>IF(21&gt;Ncoup,"",1/(1+YTM/Freq)^((21-1)+Wfrac))</f>
        <v/>
      </c>
      <c r="H39" s="28">
        <f>IF(21&gt;Ncoup,"",$E$39*$G$39)</f>
        <v/>
      </c>
      <c r="I39" s="25">
        <f>IF(21&gt;Ncoup,"",$E$39*((21-1)+Wfrac)*((21-1)+Wfrac+1)/(1+YTM/Freq)^((21-1)+Wfrac+2))</f>
        <v/>
      </c>
      <c r="J39" s="25">
        <f>IF(21&gt;Ncoup,"",$F$39*$H$39)</f>
        <v/>
      </c>
    </row>
    <row r="40">
      <c r="A40" s="19">
        <f>IF(22&gt;Ncoup,"",22)</f>
        <v/>
      </c>
      <c r="B40" s="24">
        <f>IF(22&gt;Ncoup,"",EDATE(Ncd,(12/Freq)*(22-1)))</f>
        <v/>
      </c>
      <c r="C40" s="28">
        <f>IF(22&gt;Ncoup,"",IF(IsZero=1,0,CouponRate/Freq*Face))</f>
        <v/>
      </c>
      <c r="D40" s="28">
        <f>IF(22&gt;Ncoup,"",IF(22=Ncoup,Face,0))</f>
        <v/>
      </c>
      <c r="E40" s="28">
        <f>IF(22&gt;Ncoup,"",$C$40+$D$40)</f>
        <v/>
      </c>
      <c r="F40" s="29">
        <f>IF(22&gt;Ncoup,"",((22-1)+Wfrac)/Freq)</f>
        <v/>
      </c>
      <c r="G40" s="25">
        <f>IF(22&gt;Ncoup,"",1/(1+YTM/Freq)^((22-1)+Wfrac))</f>
        <v/>
      </c>
      <c r="H40" s="28">
        <f>IF(22&gt;Ncoup,"",$E$40*$G$40)</f>
        <v/>
      </c>
      <c r="I40" s="25">
        <f>IF(22&gt;Ncoup,"",$E$40*((22-1)+Wfrac)*((22-1)+Wfrac+1)/(1+YTM/Freq)^((22-1)+Wfrac+2))</f>
        <v/>
      </c>
      <c r="J40" s="25">
        <f>IF(22&gt;Ncoup,"",$F$40*$H$40)</f>
        <v/>
      </c>
    </row>
    <row r="41">
      <c r="A41" s="19">
        <f>IF(23&gt;Ncoup,"",23)</f>
        <v/>
      </c>
      <c r="B41" s="24">
        <f>IF(23&gt;Ncoup,"",EDATE(Ncd,(12/Freq)*(23-1)))</f>
        <v/>
      </c>
      <c r="C41" s="28">
        <f>IF(23&gt;Ncoup,"",IF(IsZero=1,0,CouponRate/Freq*Face))</f>
        <v/>
      </c>
      <c r="D41" s="28">
        <f>IF(23&gt;Ncoup,"",IF(23=Ncoup,Face,0))</f>
        <v/>
      </c>
      <c r="E41" s="28">
        <f>IF(23&gt;Ncoup,"",$C$41+$D$41)</f>
        <v/>
      </c>
      <c r="F41" s="29">
        <f>IF(23&gt;Ncoup,"",((23-1)+Wfrac)/Freq)</f>
        <v/>
      </c>
      <c r="G41" s="25">
        <f>IF(23&gt;Ncoup,"",1/(1+YTM/Freq)^((23-1)+Wfrac))</f>
        <v/>
      </c>
      <c r="H41" s="28">
        <f>IF(23&gt;Ncoup,"",$E$41*$G$41)</f>
        <v/>
      </c>
      <c r="I41" s="25">
        <f>IF(23&gt;Ncoup,"",$E$41*((23-1)+Wfrac)*((23-1)+Wfrac+1)/(1+YTM/Freq)^((23-1)+Wfrac+2))</f>
        <v/>
      </c>
      <c r="J41" s="25">
        <f>IF(23&gt;Ncoup,"",$F$41*$H$41)</f>
        <v/>
      </c>
    </row>
    <row r="42">
      <c r="A42" s="19">
        <f>IF(24&gt;Ncoup,"",24)</f>
        <v/>
      </c>
      <c r="B42" s="24">
        <f>IF(24&gt;Ncoup,"",EDATE(Ncd,(12/Freq)*(24-1)))</f>
        <v/>
      </c>
      <c r="C42" s="28">
        <f>IF(24&gt;Ncoup,"",IF(IsZero=1,0,CouponRate/Freq*Face))</f>
        <v/>
      </c>
      <c r="D42" s="28">
        <f>IF(24&gt;Ncoup,"",IF(24=Ncoup,Face,0))</f>
        <v/>
      </c>
      <c r="E42" s="28">
        <f>IF(24&gt;Ncoup,"",$C$42+$D$42)</f>
        <v/>
      </c>
      <c r="F42" s="29">
        <f>IF(24&gt;Ncoup,"",((24-1)+Wfrac)/Freq)</f>
        <v/>
      </c>
      <c r="G42" s="25">
        <f>IF(24&gt;Ncoup,"",1/(1+YTM/Freq)^((24-1)+Wfrac))</f>
        <v/>
      </c>
      <c r="H42" s="28">
        <f>IF(24&gt;Ncoup,"",$E$42*$G$42)</f>
        <v/>
      </c>
      <c r="I42" s="25">
        <f>IF(24&gt;Ncoup,"",$E$42*((24-1)+Wfrac)*((24-1)+Wfrac+1)/(1+YTM/Freq)^((24-1)+Wfrac+2))</f>
        <v/>
      </c>
      <c r="J42" s="25">
        <f>IF(24&gt;Ncoup,"",$F$42*$H$42)</f>
        <v/>
      </c>
    </row>
    <row r="43">
      <c r="A43" s="19">
        <f>IF(25&gt;Ncoup,"",25)</f>
        <v/>
      </c>
      <c r="B43" s="24">
        <f>IF(25&gt;Ncoup,"",EDATE(Ncd,(12/Freq)*(25-1)))</f>
        <v/>
      </c>
      <c r="C43" s="28">
        <f>IF(25&gt;Ncoup,"",IF(IsZero=1,0,CouponRate/Freq*Face))</f>
        <v/>
      </c>
      <c r="D43" s="28">
        <f>IF(25&gt;Ncoup,"",IF(25=Ncoup,Face,0))</f>
        <v/>
      </c>
      <c r="E43" s="28">
        <f>IF(25&gt;Ncoup,"",$C$43+$D$43)</f>
        <v/>
      </c>
      <c r="F43" s="29">
        <f>IF(25&gt;Ncoup,"",((25-1)+Wfrac)/Freq)</f>
        <v/>
      </c>
      <c r="G43" s="25">
        <f>IF(25&gt;Ncoup,"",1/(1+YTM/Freq)^((25-1)+Wfrac))</f>
        <v/>
      </c>
      <c r="H43" s="28">
        <f>IF(25&gt;Ncoup,"",$E$43*$G$43)</f>
        <v/>
      </c>
      <c r="I43" s="25">
        <f>IF(25&gt;Ncoup,"",$E$43*((25-1)+Wfrac)*((25-1)+Wfrac+1)/(1+YTM/Freq)^((25-1)+Wfrac+2))</f>
        <v/>
      </c>
      <c r="J43" s="25">
        <f>IF(25&gt;Ncoup,"",$F$43*$H$43)</f>
        <v/>
      </c>
    </row>
    <row r="44">
      <c r="A44" s="19">
        <f>IF(26&gt;Ncoup,"",26)</f>
        <v/>
      </c>
      <c r="B44" s="24">
        <f>IF(26&gt;Ncoup,"",EDATE(Ncd,(12/Freq)*(26-1)))</f>
        <v/>
      </c>
      <c r="C44" s="28">
        <f>IF(26&gt;Ncoup,"",IF(IsZero=1,0,CouponRate/Freq*Face))</f>
        <v/>
      </c>
      <c r="D44" s="28">
        <f>IF(26&gt;Ncoup,"",IF(26=Ncoup,Face,0))</f>
        <v/>
      </c>
      <c r="E44" s="28">
        <f>IF(26&gt;Ncoup,"",$C$44+$D$44)</f>
        <v/>
      </c>
      <c r="F44" s="29">
        <f>IF(26&gt;Ncoup,"",((26-1)+Wfrac)/Freq)</f>
        <v/>
      </c>
      <c r="G44" s="25">
        <f>IF(26&gt;Ncoup,"",1/(1+YTM/Freq)^((26-1)+Wfrac))</f>
        <v/>
      </c>
      <c r="H44" s="28">
        <f>IF(26&gt;Ncoup,"",$E$44*$G$44)</f>
        <v/>
      </c>
      <c r="I44" s="25">
        <f>IF(26&gt;Ncoup,"",$E$44*((26-1)+Wfrac)*((26-1)+Wfrac+1)/(1+YTM/Freq)^((26-1)+Wfrac+2))</f>
        <v/>
      </c>
      <c r="J44" s="25">
        <f>IF(26&gt;Ncoup,"",$F$44*$H$44)</f>
        <v/>
      </c>
    </row>
    <row r="45">
      <c r="A45" s="19">
        <f>IF(27&gt;Ncoup,"",27)</f>
        <v/>
      </c>
      <c r="B45" s="24">
        <f>IF(27&gt;Ncoup,"",EDATE(Ncd,(12/Freq)*(27-1)))</f>
        <v/>
      </c>
      <c r="C45" s="28">
        <f>IF(27&gt;Ncoup,"",IF(IsZero=1,0,CouponRate/Freq*Face))</f>
        <v/>
      </c>
      <c r="D45" s="28">
        <f>IF(27&gt;Ncoup,"",IF(27=Ncoup,Face,0))</f>
        <v/>
      </c>
      <c r="E45" s="28">
        <f>IF(27&gt;Ncoup,"",$C$45+$D$45)</f>
        <v/>
      </c>
      <c r="F45" s="29">
        <f>IF(27&gt;Ncoup,"",((27-1)+Wfrac)/Freq)</f>
        <v/>
      </c>
      <c r="G45" s="25">
        <f>IF(27&gt;Ncoup,"",1/(1+YTM/Freq)^((27-1)+Wfrac))</f>
        <v/>
      </c>
      <c r="H45" s="28">
        <f>IF(27&gt;Ncoup,"",$E$45*$G$45)</f>
        <v/>
      </c>
      <c r="I45" s="25">
        <f>IF(27&gt;Ncoup,"",$E$45*((27-1)+Wfrac)*((27-1)+Wfrac+1)/(1+YTM/Freq)^((27-1)+Wfrac+2))</f>
        <v/>
      </c>
      <c r="J45" s="25">
        <f>IF(27&gt;Ncoup,"",$F$45*$H$45)</f>
        <v/>
      </c>
    </row>
    <row r="46">
      <c r="A46" s="19">
        <f>IF(28&gt;Ncoup,"",28)</f>
        <v/>
      </c>
      <c r="B46" s="24">
        <f>IF(28&gt;Ncoup,"",EDATE(Ncd,(12/Freq)*(28-1)))</f>
        <v/>
      </c>
      <c r="C46" s="28">
        <f>IF(28&gt;Ncoup,"",IF(IsZero=1,0,CouponRate/Freq*Face))</f>
        <v/>
      </c>
      <c r="D46" s="28">
        <f>IF(28&gt;Ncoup,"",IF(28=Ncoup,Face,0))</f>
        <v/>
      </c>
      <c r="E46" s="28">
        <f>IF(28&gt;Ncoup,"",$C$46+$D$46)</f>
        <v/>
      </c>
      <c r="F46" s="29">
        <f>IF(28&gt;Ncoup,"",((28-1)+Wfrac)/Freq)</f>
        <v/>
      </c>
      <c r="G46" s="25">
        <f>IF(28&gt;Ncoup,"",1/(1+YTM/Freq)^((28-1)+Wfrac))</f>
        <v/>
      </c>
      <c r="H46" s="28">
        <f>IF(28&gt;Ncoup,"",$E$46*$G$46)</f>
        <v/>
      </c>
      <c r="I46" s="25">
        <f>IF(28&gt;Ncoup,"",$E$46*((28-1)+Wfrac)*((28-1)+Wfrac+1)/(1+YTM/Freq)^((28-1)+Wfrac+2))</f>
        <v/>
      </c>
      <c r="J46" s="25">
        <f>IF(28&gt;Ncoup,"",$F$46*$H$46)</f>
        <v/>
      </c>
    </row>
    <row r="47">
      <c r="A47" s="19">
        <f>IF(29&gt;Ncoup,"",29)</f>
        <v/>
      </c>
      <c r="B47" s="24">
        <f>IF(29&gt;Ncoup,"",EDATE(Ncd,(12/Freq)*(29-1)))</f>
        <v/>
      </c>
      <c r="C47" s="28">
        <f>IF(29&gt;Ncoup,"",IF(IsZero=1,0,CouponRate/Freq*Face))</f>
        <v/>
      </c>
      <c r="D47" s="28">
        <f>IF(29&gt;Ncoup,"",IF(29=Ncoup,Face,0))</f>
        <v/>
      </c>
      <c r="E47" s="28">
        <f>IF(29&gt;Ncoup,"",$C$47+$D$47)</f>
        <v/>
      </c>
      <c r="F47" s="29">
        <f>IF(29&gt;Ncoup,"",((29-1)+Wfrac)/Freq)</f>
        <v/>
      </c>
      <c r="G47" s="25">
        <f>IF(29&gt;Ncoup,"",1/(1+YTM/Freq)^((29-1)+Wfrac))</f>
        <v/>
      </c>
      <c r="H47" s="28">
        <f>IF(29&gt;Ncoup,"",$E$47*$G$47)</f>
        <v/>
      </c>
      <c r="I47" s="25">
        <f>IF(29&gt;Ncoup,"",$E$47*((29-1)+Wfrac)*((29-1)+Wfrac+1)/(1+YTM/Freq)^((29-1)+Wfrac+2))</f>
        <v/>
      </c>
      <c r="J47" s="25">
        <f>IF(29&gt;Ncoup,"",$F$47*$H$47)</f>
        <v/>
      </c>
    </row>
    <row r="48">
      <c r="A48" s="19">
        <f>IF(30&gt;Ncoup,"",30)</f>
        <v/>
      </c>
      <c r="B48" s="24">
        <f>IF(30&gt;Ncoup,"",EDATE(Ncd,(12/Freq)*(30-1)))</f>
        <v/>
      </c>
      <c r="C48" s="28">
        <f>IF(30&gt;Ncoup,"",IF(IsZero=1,0,CouponRate/Freq*Face))</f>
        <v/>
      </c>
      <c r="D48" s="28">
        <f>IF(30&gt;Ncoup,"",IF(30=Ncoup,Face,0))</f>
        <v/>
      </c>
      <c r="E48" s="28">
        <f>IF(30&gt;Ncoup,"",$C$48+$D$48)</f>
        <v/>
      </c>
      <c r="F48" s="29">
        <f>IF(30&gt;Ncoup,"",((30-1)+Wfrac)/Freq)</f>
        <v/>
      </c>
      <c r="G48" s="25">
        <f>IF(30&gt;Ncoup,"",1/(1+YTM/Freq)^((30-1)+Wfrac))</f>
        <v/>
      </c>
      <c r="H48" s="28">
        <f>IF(30&gt;Ncoup,"",$E$48*$G$48)</f>
        <v/>
      </c>
      <c r="I48" s="25">
        <f>IF(30&gt;Ncoup,"",$E$48*((30-1)+Wfrac)*((30-1)+Wfrac+1)/(1+YTM/Freq)^((30-1)+Wfrac+2))</f>
        <v/>
      </c>
      <c r="J48" s="25">
        <f>IF(30&gt;Ncoup,"",$F$48*$H$48)</f>
        <v/>
      </c>
    </row>
    <row r="49">
      <c r="A49" s="19">
        <f>IF(31&gt;Ncoup,"",31)</f>
        <v/>
      </c>
      <c r="B49" s="24">
        <f>IF(31&gt;Ncoup,"",EDATE(Ncd,(12/Freq)*(31-1)))</f>
        <v/>
      </c>
      <c r="C49" s="28">
        <f>IF(31&gt;Ncoup,"",IF(IsZero=1,0,CouponRate/Freq*Face))</f>
        <v/>
      </c>
      <c r="D49" s="28">
        <f>IF(31&gt;Ncoup,"",IF(31=Ncoup,Face,0))</f>
        <v/>
      </c>
      <c r="E49" s="28">
        <f>IF(31&gt;Ncoup,"",$C$49+$D$49)</f>
        <v/>
      </c>
      <c r="F49" s="29">
        <f>IF(31&gt;Ncoup,"",((31-1)+Wfrac)/Freq)</f>
        <v/>
      </c>
      <c r="G49" s="25">
        <f>IF(31&gt;Ncoup,"",1/(1+YTM/Freq)^((31-1)+Wfrac))</f>
        <v/>
      </c>
      <c r="H49" s="28">
        <f>IF(31&gt;Ncoup,"",$E$49*$G$49)</f>
        <v/>
      </c>
      <c r="I49" s="25">
        <f>IF(31&gt;Ncoup,"",$E$49*((31-1)+Wfrac)*((31-1)+Wfrac+1)/(1+YTM/Freq)^((31-1)+Wfrac+2))</f>
        <v/>
      </c>
      <c r="J49" s="25">
        <f>IF(31&gt;Ncoup,"",$F$49*$H$49)</f>
        <v/>
      </c>
    </row>
    <row r="50">
      <c r="A50" s="19">
        <f>IF(32&gt;Ncoup,"",32)</f>
        <v/>
      </c>
      <c r="B50" s="24">
        <f>IF(32&gt;Ncoup,"",EDATE(Ncd,(12/Freq)*(32-1)))</f>
        <v/>
      </c>
      <c r="C50" s="28">
        <f>IF(32&gt;Ncoup,"",IF(IsZero=1,0,CouponRate/Freq*Face))</f>
        <v/>
      </c>
      <c r="D50" s="28">
        <f>IF(32&gt;Ncoup,"",IF(32=Ncoup,Face,0))</f>
        <v/>
      </c>
      <c r="E50" s="28">
        <f>IF(32&gt;Ncoup,"",$C$50+$D$50)</f>
        <v/>
      </c>
      <c r="F50" s="29">
        <f>IF(32&gt;Ncoup,"",((32-1)+Wfrac)/Freq)</f>
        <v/>
      </c>
      <c r="G50" s="25">
        <f>IF(32&gt;Ncoup,"",1/(1+YTM/Freq)^((32-1)+Wfrac))</f>
        <v/>
      </c>
      <c r="H50" s="28">
        <f>IF(32&gt;Ncoup,"",$E$50*$G$50)</f>
        <v/>
      </c>
      <c r="I50" s="25">
        <f>IF(32&gt;Ncoup,"",$E$50*((32-1)+Wfrac)*((32-1)+Wfrac+1)/(1+YTM/Freq)^((32-1)+Wfrac+2))</f>
        <v/>
      </c>
      <c r="J50" s="25">
        <f>IF(32&gt;Ncoup,"",$F$50*$H$50)</f>
        <v/>
      </c>
    </row>
    <row r="51">
      <c r="A51" s="19">
        <f>IF(33&gt;Ncoup,"",33)</f>
        <v/>
      </c>
      <c r="B51" s="24">
        <f>IF(33&gt;Ncoup,"",EDATE(Ncd,(12/Freq)*(33-1)))</f>
        <v/>
      </c>
      <c r="C51" s="28">
        <f>IF(33&gt;Ncoup,"",IF(IsZero=1,0,CouponRate/Freq*Face))</f>
        <v/>
      </c>
      <c r="D51" s="28">
        <f>IF(33&gt;Ncoup,"",IF(33=Ncoup,Face,0))</f>
        <v/>
      </c>
      <c r="E51" s="28">
        <f>IF(33&gt;Ncoup,"",$C$51+$D$51)</f>
        <v/>
      </c>
      <c r="F51" s="29">
        <f>IF(33&gt;Ncoup,"",((33-1)+Wfrac)/Freq)</f>
        <v/>
      </c>
      <c r="G51" s="25">
        <f>IF(33&gt;Ncoup,"",1/(1+YTM/Freq)^((33-1)+Wfrac))</f>
        <v/>
      </c>
      <c r="H51" s="28">
        <f>IF(33&gt;Ncoup,"",$E$51*$G$51)</f>
        <v/>
      </c>
      <c r="I51" s="25">
        <f>IF(33&gt;Ncoup,"",$E$51*((33-1)+Wfrac)*((33-1)+Wfrac+1)/(1+YTM/Freq)^((33-1)+Wfrac+2))</f>
        <v/>
      </c>
      <c r="J51" s="25">
        <f>IF(33&gt;Ncoup,"",$F$51*$H$51)</f>
        <v/>
      </c>
    </row>
    <row r="52">
      <c r="A52" s="19">
        <f>IF(34&gt;Ncoup,"",34)</f>
        <v/>
      </c>
      <c r="B52" s="24">
        <f>IF(34&gt;Ncoup,"",EDATE(Ncd,(12/Freq)*(34-1)))</f>
        <v/>
      </c>
      <c r="C52" s="28">
        <f>IF(34&gt;Ncoup,"",IF(IsZero=1,0,CouponRate/Freq*Face))</f>
        <v/>
      </c>
      <c r="D52" s="28">
        <f>IF(34&gt;Ncoup,"",IF(34=Ncoup,Face,0))</f>
        <v/>
      </c>
      <c r="E52" s="28">
        <f>IF(34&gt;Ncoup,"",$C$52+$D$52)</f>
        <v/>
      </c>
      <c r="F52" s="29">
        <f>IF(34&gt;Ncoup,"",((34-1)+Wfrac)/Freq)</f>
        <v/>
      </c>
      <c r="G52" s="25">
        <f>IF(34&gt;Ncoup,"",1/(1+YTM/Freq)^((34-1)+Wfrac))</f>
        <v/>
      </c>
      <c r="H52" s="28">
        <f>IF(34&gt;Ncoup,"",$E$52*$G$52)</f>
        <v/>
      </c>
      <c r="I52" s="25">
        <f>IF(34&gt;Ncoup,"",$E$52*((34-1)+Wfrac)*((34-1)+Wfrac+1)/(1+YTM/Freq)^((34-1)+Wfrac+2))</f>
        <v/>
      </c>
      <c r="J52" s="25">
        <f>IF(34&gt;Ncoup,"",$F$52*$H$52)</f>
        <v/>
      </c>
    </row>
    <row r="53">
      <c r="A53" s="19">
        <f>IF(35&gt;Ncoup,"",35)</f>
        <v/>
      </c>
      <c r="B53" s="24">
        <f>IF(35&gt;Ncoup,"",EDATE(Ncd,(12/Freq)*(35-1)))</f>
        <v/>
      </c>
      <c r="C53" s="28">
        <f>IF(35&gt;Ncoup,"",IF(IsZero=1,0,CouponRate/Freq*Face))</f>
        <v/>
      </c>
      <c r="D53" s="28">
        <f>IF(35&gt;Ncoup,"",IF(35=Ncoup,Face,0))</f>
        <v/>
      </c>
      <c r="E53" s="28">
        <f>IF(35&gt;Ncoup,"",$C$53+$D$53)</f>
        <v/>
      </c>
      <c r="F53" s="29">
        <f>IF(35&gt;Ncoup,"",((35-1)+Wfrac)/Freq)</f>
        <v/>
      </c>
      <c r="G53" s="25">
        <f>IF(35&gt;Ncoup,"",1/(1+YTM/Freq)^((35-1)+Wfrac))</f>
        <v/>
      </c>
      <c r="H53" s="28">
        <f>IF(35&gt;Ncoup,"",$E$53*$G$53)</f>
        <v/>
      </c>
      <c r="I53" s="25">
        <f>IF(35&gt;Ncoup,"",$E$53*((35-1)+Wfrac)*((35-1)+Wfrac+1)/(1+YTM/Freq)^((35-1)+Wfrac+2))</f>
        <v/>
      </c>
      <c r="J53" s="25">
        <f>IF(35&gt;Ncoup,"",$F$53*$H$53)</f>
        <v/>
      </c>
    </row>
    <row r="54">
      <c r="A54" s="19">
        <f>IF(36&gt;Ncoup,"",36)</f>
        <v/>
      </c>
      <c r="B54" s="24">
        <f>IF(36&gt;Ncoup,"",EDATE(Ncd,(12/Freq)*(36-1)))</f>
        <v/>
      </c>
      <c r="C54" s="28">
        <f>IF(36&gt;Ncoup,"",IF(IsZero=1,0,CouponRate/Freq*Face))</f>
        <v/>
      </c>
      <c r="D54" s="28">
        <f>IF(36&gt;Ncoup,"",IF(36=Ncoup,Face,0))</f>
        <v/>
      </c>
      <c r="E54" s="28">
        <f>IF(36&gt;Ncoup,"",$C$54+$D$54)</f>
        <v/>
      </c>
      <c r="F54" s="29">
        <f>IF(36&gt;Ncoup,"",((36-1)+Wfrac)/Freq)</f>
        <v/>
      </c>
      <c r="G54" s="25">
        <f>IF(36&gt;Ncoup,"",1/(1+YTM/Freq)^((36-1)+Wfrac))</f>
        <v/>
      </c>
      <c r="H54" s="28">
        <f>IF(36&gt;Ncoup,"",$E$54*$G$54)</f>
        <v/>
      </c>
      <c r="I54" s="25">
        <f>IF(36&gt;Ncoup,"",$E$54*((36-1)+Wfrac)*((36-1)+Wfrac+1)/(1+YTM/Freq)^((36-1)+Wfrac+2))</f>
        <v/>
      </c>
      <c r="J54" s="25">
        <f>IF(36&gt;Ncoup,"",$F$54*$H$54)</f>
        <v/>
      </c>
    </row>
    <row r="55">
      <c r="A55" s="19">
        <f>IF(37&gt;Ncoup,"",37)</f>
        <v/>
      </c>
      <c r="B55" s="24">
        <f>IF(37&gt;Ncoup,"",EDATE(Ncd,(12/Freq)*(37-1)))</f>
        <v/>
      </c>
      <c r="C55" s="28">
        <f>IF(37&gt;Ncoup,"",IF(IsZero=1,0,CouponRate/Freq*Face))</f>
        <v/>
      </c>
      <c r="D55" s="28">
        <f>IF(37&gt;Ncoup,"",IF(37=Ncoup,Face,0))</f>
        <v/>
      </c>
      <c r="E55" s="28">
        <f>IF(37&gt;Ncoup,"",$C$55+$D$55)</f>
        <v/>
      </c>
      <c r="F55" s="29">
        <f>IF(37&gt;Ncoup,"",((37-1)+Wfrac)/Freq)</f>
        <v/>
      </c>
      <c r="G55" s="25">
        <f>IF(37&gt;Ncoup,"",1/(1+YTM/Freq)^((37-1)+Wfrac))</f>
        <v/>
      </c>
      <c r="H55" s="28">
        <f>IF(37&gt;Ncoup,"",$E$55*$G$55)</f>
        <v/>
      </c>
      <c r="I55" s="25">
        <f>IF(37&gt;Ncoup,"",$E$55*((37-1)+Wfrac)*((37-1)+Wfrac+1)/(1+YTM/Freq)^((37-1)+Wfrac+2))</f>
        <v/>
      </c>
      <c r="J55" s="25">
        <f>IF(37&gt;Ncoup,"",$F$55*$H$55)</f>
        <v/>
      </c>
    </row>
    <row r="56">
      <c r="A56" s="19">
        <f>IF(38&gt;Ncoup,"",38)</f>
        <v/>
      </c>
      <c r="B56" s="24">
        <f>IF(38&gt;Ncoup,"",EDATE(Ncd,(12/Freq)*(38-1)))</f>
        <v/>
      </c>
      <c r="C56" s="28">
        <f>IF(38&gt;Ncoup,"",IF(IsZero=1,0,CouponRate/Freq*Face))</f>
        <v/>
      </c>
      <c r="D56" s="28">
        <f>IF(38&gt;Ncoup,"",IF(38=Ncoup,Face,0))</f>
        <v/>
      </c>
      <c r="E56" s="28">
        <f>IF(38&gt;Ncoup,"",$C$56+$D$56)</f>
        <v/>
      </c>
      <c r="F56" s="29">
        <f>IF(38&gt;Ncoup,"",((38-1)+Wfrac)/Freq)</f>
        <v/>
      </c>
      <c r="G56" s="25">
        <f>IF(38&gt;Ncoup,"",1/(1+YTM/Freq)^((38-1)+Wfrac))</f>
        <v/>
      </c>
      <c r="H56" s="28">
        <f>IF(38&gt;Ncoup,"",$E$56*$G$56)</f>
        <v/>
      </c>
      <c r="I56" s="25">
        <f>IF(38&gt;Ncoup,"",$E$56*((38-1)+Wfrac)*((38-1)+Wfrac+1)/(1+YTM/Freq)^((38-1)+Wfrac+2))</f>
        <v/>
      </c>
      <c r="J56" s="25">
        <f>IF(38&gt;Ncoup,"",$F$56*$H$56)</f>
        <v/>
      </c>
    </row>
    <row r="57">
      <c r="A57" s="19">
        <f>IF(39&gt;Ncoup,"",39)</f>
        <v/>
      </c>
      <c r="B57" s="24">
        <f>IF(39&gt;Ncoup,"",EDATE(Ncd,(12/Freq)*(39-1)))</f>
        <v/>
      </c>
      <c r="C57" s="28">
        <f>IF(39&gt;Ncoup,"",IF(IsZero=1,0,CouponRate/Freq*Face))</f>
        <v/>
      </c>
      <c r="D57" s="28">
        <f>IF(39&gt;Ncoup,"",IF(39=Ncoup,Face,0))</f>
        <v/>
      </c>
      <c r="E57" s="28">
        <f>IF(39&gt;Ncoup,"",$C$57+$D$57)</f>
        <v/>
      </c>
      <c r="F57" s="29">
        <f>IF(39&gt;Ncoup,"",((39-1)+Wfrac)/Freq)</f>
        <v/>
      </c>
      <c r="G57" s="25">
        <f>IF(39&gt;Ncoup,"",1/(1+YTM/Freq)^((39-1)+Wfrac))</f>
        <v/>
      </c>
      <c r="H57" s="28">
        <f>IF(39&gt;Ncoup,"",$E$57*$G$57)</f>
        <v/>
      </c>
      <c r="I57" s="25">
        <f>IF(39&gt;Ncoup,"",$E$57*((39-1)+Wfrac)*((39-1)+Wfrac+1)/(1+YTM/Freq)^((39-1)+Wfrac+2))</f>
        <v/>
      </c>
      <c r="J57" s="25">
        <f>IF(39&gt;Ncoup,"",$F$57*$H$57)</f>
        <v/>
      </c>
    </row>
    <row r="58">
      <c r="A58" s="19">
        <f>IF(40&gt;Ncoup,"",40)</f>
        <v/>
      </c>
      <c r="B58" s="24">
        <f>IF(40&gt;Ncoup,"",EDATE(Ncd,(12/Freq)*(40-1)))</f>
        <v/>
      </c>
      <c r="C58" s="28">
        <f>IF(40&gt;Ncoup,"",IF(IsZero=1,0,CouponRate/Freq*Face))</f>
        <v/>
      </c>
      <c r="D58" s="28">
        <f>IF(40&gt;Ncoup,"",IF(40=Ncoup,Face,0))</f>
        <v/>
      </c>
      <c r="E58" s="28">
        <f>IF(40&gt;Ncoup,"",$C$58+$D$58)</f>
        <v/>
      </c>
      <c r="F58" s="29">
        <f>IF(40&gt;Ncoup,"",((40-1)+Wfrac)/Freq)</f>
        <v/>
      </c>
      <c r="G58" s="25">
        <f>IF(40&gt;Ncoup,"",1/(1+YTM/Freq)^((40-1)+Wfrac))</f>
        <v/>
      </c>
      <c r="H58" s="28">
        <f>IF(40&gt;Ncoup,"",$E$58*$G$58)</f>
        <v/>
      </c>
      <c r="I58" s="25">
        <f>IF(40&gt;Ncoup,"",$E$58*((40-1)+Wfrac)*((40-1)+Wfrac+1)/(1+YTM/Freq)^((40-1)+Wfrac+2))</f>
        <v/>
      </c>
      <c r="J58" s="25">
        <f>IF(40&gt;Ncoup,"",$F$58*$H$58)</f>
        <v/>
      </c>
    </row>
    <row r="59">
      <c r="A59" s="19">
        <f>IF(41&gt;Ncoup,"",41)</f>
        <v/>
      </c>
      <c r="B59" s="24">
        <f>IF(41&gt;Ncoup,"",EDATE(Ncd,(12/Freq)*(41-1)))</f>
        <v/>
      </c>
      <c r="C59" s="28">
        <f>IF(41&gt;Ncoup,"",IF(IsZero=1,0,CouponRate/Freq*Face))</f>
        <v/>
      </c>
      <c r="D59" s="28">
        <f>IF(41&gt;Ncoup,"",IF(41=Ncoup,Face,0))</f>
        <v/>
      </c>
      <c r="E59" s="28">
        <f>IF(41&gt;Ncoup,"",$C$59+$D$59)</f>
        <v/>
      </c>
      <c r="F59" s="29">
        <f>IF(41&gt;Ncoup,"",((41-1)+Wfrac)/Freq)</f>
        <v/>
      </c>
      <c r="G59" s="25">
        <f>IF(41&gt;Ncoup,"",1/(1+YTM/Freq)^((41-1)+Wfrac))</f>
        <v/>
      </c>
      <c r="H59" s="28">
        <f>IF(41&gt;Ncoup,"",$E$59*$G$59)</f>
        <v/>
      </c>
      <c r="I59" s="25">
        <f>IF(41&gt;Ncoup,"",$E$59*((41-1)+Wfrac)*((41-1)+Wfrac+1)/(1+YTM/Freq)^((41-1)+Wfrac+2))</f>
        <v/>
      </c>
      <c r="J59" s="25">
        <f>IF(41&gt;Ncoup,"",$F$59*$H$59)</f>
        <v/>
      </c>
    </row>
    <row r="60">
      <c r="A60" s="19">
        <f>IF(42&gt;Ncoup,"",42)</f>
        <v/>
      </c>
      <c r="B60" s="24">
        <f>IF(42&gt;Ncoup,"",EDATE(Ncd,(12/Freq)*(42-1)))</f>
        <v/>
      </c>
      <c r="C60" s="28">
        <f>IF(42&gt;Ncoup,"",IF(IsZero=1,0,CouponRate/Freq*Face))</f>
        <v/>
      </c>
      <c r="D60" s="28">
        <f>IF(42&gt;Ncoup,"",IF(42=Ncoup,Face,0))</f>
        <v/>
      </c>
      <c r="E60" s="28">
        <f>IF(42&gt;Ncoup,"",$C$60+$D$60)</f>
        <v/>
      </c>
      <c r="F60" s="29">
        <f>IF(42&gt;Ncoup,"",((42-1)+Wfrac)/Freq)</f>
        <v/>
      </c>
      <c r="G60" s="25">
        <f>IF(42&gt;Ncoup,"",1/(1+YTM/Freq)^((42-1)+Wfrac))</f>
        <v/>
      </c>
      <c r="H60" s="28">
        <f>IF(42&gt;Ncoup,"",$E$60*$G$60)</f>
        <v/>
      </c>
      <c r="I60" s="25">
        <f>IF(42&gt;Ncoup,"",$E$60*((42-1)+Wfrac)*((42-1)+Wfrac+1)/(1+YTM/Freq)^((42-1)+Wfrac+2))</f>
        <v/>
      </c>
      <c r="J60" s="25">
        <f>IF(42&gt;Ncoup,"",$F$60*$H$60)</f>
        <v/>
      </c>
    </row>
    <row r="61">
      <c r="A61" s="19">
        <f>IF(43&gt;Ncoup,"",43)</f>
        <v/>
      </c>
      <c r="B61" s="24">
        <f>IF(43&gt;Ncoup,"",EDATE(Ncd,(12/Freq)*(43-1)))</f>
        <v/>
      </c>
      <c r="C61" s="28">
        <f>IF(43&gt;Ncoup,"",IF(IsZero=1,0,CouponRate/Freq*Face))</f>
        <v/>
      </c>
      <c r="D61" s="28">
        <f>IF(43&gt;Ncoup,"",IF(43=Ncoup,Face,0))</f>
        <v/>
      </c>
      <c r="E61" s="28">
        <f>IF(43&gt;Ncoup,"",$C$61+$D$61)</f>
        <v/>
      </c>
      <c r="F61" s="29">
        <f>IF(43&gt;Ncoup,"",((43-1)+Wfrac)/Freq)</f>
        <v/>
      </c>
      <c r="G61" s="25">
        <f>IF(43&gt;Ncoup,"",1/(1+YTM/Freq)^((43-1)+Wfrac))</f>
        <v/>
      </c>
      <c r="H61" s="28">
        <f>IF(43&gt;Ncoup,"",$E$61*$G$61)</f>
        <v/>
      </c>
      <c r="I61" s="25">
        <f>IF(43&gt;Ncoup,"",$E$61*((43-1)+Wfrac)*((43-1)+Wfrac+1)/(1+YTM/Freq)^((43-1)+Wfrac+2))</f>
        <v/>
      </c>
      <c r="J61" s="25">
        <f>IF(43&gt;Ncoup,"",$F$61*$H$61)</f>
        <v/>
      </c>
    </row>
    <row r="62">
      <c r="A62" s="19">
        <f>IF(44&gt;Ncoup,"",44)</f>
        <v/>
      </c>
      <c r="B62" s="24">
        <f>IF(44&gt;Ncoup,"",EDATE(Ncd,(12/Freq)*(44-1)))</f>
        <v/>
      </c>
      <c r="C62" s="28">
        <f>IF(44&gt;Ncoup,"",IF(IsZero=1,0,CouponRate/Freq*Face))</f>
        <v/>
      </c>
      <c r="D62" s="28">
        <f>IF(44&gt;Ncoup,"",IF(44=Ncoup,Face,0))</f>
        <v/>
      </c>
      <c r="E62" s="28">
        <f>IF(44&gt;Ncoup,"",$C$62+$D$62)</f>
        <v/>
      </c>
      <c r="F62" s="29">
        <f>IF(44&gt;Ncoup,"",((44-1)+Wfrac)/Freq)</f>
        <v/>
      </c>
      <c r="G62" s="25">
        <f>IF(44&gt;Ncoup,"",1/(1+YTM/Freq)^((44-1)+Wfrac))</f>
        <v/>
      </c>
      <c r="H62" s="28">
        <f>IF(44&gt;Ncoup,"",$E$62*$G$62)</f>
        <v/>
      </c>
      <c r="I62" s="25">
        <f>IF(44&gt;Ncoup,"",$E$62*((44-1)+Wfrac)*((44-1)+Wfrac+1)/(1+YTM/Freq)^((44-1)+Wfrac+2))</f>
        <v/>
      </c>
      <c r="J62" s="25">
        <f>IF(44&gt;Ncoup,"",$F$62*$H$62)</f>
        <v/>
      </c>
    </row>
    <row r="63">
      <c r="A63" s="19">
        <f>IF(45&gt;Ncoup,"",45)</f>
        <v/>
      </c>
      <c r="B63" s="24">
        <f>IF(45&gt;Ncoup,"",EDATE(Ncd,(12/Freq)*(45-1)))</f>
        <v/>
      </c>
      <c r="C63" s="28">
        <f>IF(45&gt;Ncoup,"",IF(IsZero=1,0,CouponRate/Freq*Face))</f>
        <v/>
      </c>
      <c r="D63" s="28">
        <f>IF(45&gt;Ncoup,"",IF(45=Ncoup,Face,0))</f>
        <v/>
      </c>
      <c r="E63" s="28">
        <f>IF(45&gt;Ncoup,"",$C$63+$D$63)</f>
        <v/>
      </c>
      <c r="F63" s="29">
        <f>IF(45&gt;Ncoup,"",((45-1)+Wfrac)/Freq)</f>
        <v/>
      </c>
      <c r="G63" s="25">
        <f>IF(45&gt;Ncoup,"",1/(1+YTM/Freq)^((45-1)+Wfrac))</f>
        <v/>
      </c>
      <c r="H63" s="28">
        <f>IF(45&gt;Ncoup,"",$E$63*$G$63)</f>
        <v/>
      </c>
      <c r="I63" s="25">
        <f>IF(45&gt;Ncoup,"",$E$63*((45-1)+Wfrac)*((45-1)+Wfrac+1)/(1+YTM/Freq)^((45-1)+Wfrac+2))</f>
        <v/>
      </c>
      <c r="J63" s="25">
        <f>IF(45&gt;Ncoup,"",$F$63*$H$63)</f>
        <v/>
      </c>
    </row>
    <row r="64">
      <c r="A64" s="19">
        <f>IF(46&gt;Ncoup,"",46)</f>
        <v/>
      </c>
      <c r="B64" s="24">
        <f>IF(46&gt;Ncoup,"",EDATE(Ncd,(12/Freq)*(46-1)))</f>
        <v/>
      </c>
      <c r="C64" s="28">
        <f>IF(46&gt;Ncoup,"",IF(IsZero=1,0,CouponRate/Freq*Face))</f>
        <v/>
      </c>
      <c r="D64" s="28">
        <f>IF(46&gt;Ncoup,"",IF(46=Ncoup,Face,0))</f>
        <v/>
      </c>
      <c r="E64" s="28">
        <f>IF(46&gt;Ncoup,"",$C$64+$D$64)</f>
        <v/>
      </c>
      <c r="F64" s="29">
        <f>IF(46&gt;Ncoup,"",((46-1)+Wfrac)/Freq)</f>
        <v/>
      </c>
      <c r="G64" s="25">
        <f>IF(46&gt;Ncoup,"",1/(1+YTM/Freq)^((46-1)+Wfrac))</f>
        <v/>
      </c>
      <c r="H64" s="28">
        <f>IF(46&gt;Ncoup,"",$E$64*$G$64)</f>
        <v/>
      </c>
      <c r="I64" s="25">
        <f>IF(46&gt;Ncoup,"",$E$64*((46-1)+Wfrac)*((46-1)+Wfrac+1)/(1+YTM/Freq)^((46-1)+Wfrac+2))</f>
        <v/>
      </c>
      <c r="J64" s="25">
        <f>IF(46&gt;Ncoup,"",$F$64*$H$64)</f>
        <v/>
      </c>
    </row>
    <row r="65">
      <c r="A65" s="19">
        <f>IF(47&gt;Ncoup,"",47)</f>
        <v/>
      </c>
      <c r="B65" s="24">
        <f>IF(47&gt;Ncoup,"",EDATE(Ncd,(12/Freq)*(47-1)))</f>
        <v/>
      </c>
      <c r="C65" s="28">
        <f>IF(47&gt;Ncoup,"",IF(IsZero=1,0,CouponRate/Freq*Face))</f>
        <v/>
      </c>
      <c r="D65" s="28">
        <f>IF(47&gt;Ncoup,"",IF(47=Ncoup,Face,0))</f>
        <v/>
      </c>
      <c r="E65" s="28">
        <f>IF(47&gt;Ncoup,"",$C$65+$D$65)</f>
        <v/>
      </c>
      <c r="F65" s="29">
        <f>IF(47&gt;Ncoup,"",((47-1)+Wfrac)/Freq)</f>
        <v/>
      </c>
      <c r="G65" s="25">
        <f>IF(47&gt;Ncoup,"",1/(1+YTM/Freq)^((47-1)+Wfrac))</f>
        <v/>
      </c>
      <c r="H65" s="28">
        <f>IF(47&gt;Ncoup,"",$E$65*$G$65)</f>
        <v/>
      </c>
      <c r="I65" s="25">
        <f>IF(47&gt;Ncoup,"",$E$65*((47-1)+Wfrac)*((47-1)+Wfrac+1)/(1+YTM/Freq)^((47-1)+Wfrac+2))</f>
        <v/>
      </c>
      <c r="J65" s="25">
        <f>IF(47&gt;Ncoup,"",$F$65*$H$65)</f>
        <v/>
      </c>
    </row>
    <row r="66">
      <c r="A66" s="19">
        <f>IF(48&gt;Ncoup,"",48)</f>
        <v/>
      </c>
      <c r="B66" s="24">
        <f>IF(48&gt;Ncoup,"",EDATE(Ncd,(12/Freq)*(48-1)))</f>
        <v/>
      </c>
      <c r="C66" s="28">
        <f>IF(48&gt;Ncoup,"",IF(IsZero=1,0,CouponRate/Freq*Face))</f>
        <v/>
      </c>
      <c r="D66" s="28">
        <f>IF(48&gt;Ncoup,"",IF(48=Ncoup,Face,0))</f>
        <v/>
      </c>
      <c r="E66" s="28">
        <f>IF(48&gt;Ncoup,"",$C$66+$D$66)</f>
        <v/>
      </c>
      <c r="F66" s="29">
        <f>IF(48&gt;Ncoup,"",((48-1)+Wfrac)/Freq)</f>
        <v/>
      </c>
      <c r="G66" s="25">
        <f>IF(48&gt;Ncoup,"",1/(1+YTM/Freq)^((48-1)+Wfrac))</f>
        <v/>
      </c>
      <c r="H66" s="28">
        <f>IF(48&gt;Ncoup,"",$E$66*$G$66)</f>
        <v/>
      </c>
      <c r="I66" s="25">
        <f>IF(48&gt;Ncoup,"",$E$66*((48-1)+Wfrac)*((48-1)+Wfrac+1)/(1+YTM/Freq)^((48-1)+Wfrac+2))</f>
        <v/>
      </c>
      <c r="J66" s="25">
        <f>IF(48&gt;Ncoup,"",$F$66*$H$66)</f>
        <v/>
      </c>
    </row>
    <row r="67">
      <c r="A67" s="19">
        <f>IF(49&gt;Ncoup,"",49)</f>
        <v/>
      </c>
      <c r="B67" s="24">
        <f>IF(49&gt;Ncoup,"",EDATE(Ncd,(12/Freq)*(49-1)))</f>
        <v/>
      </c>
      <c r="C67" s="28">
        <f>IF(49&gt;Ncoup,"",IF(IsZero=1,0,CouponRate/Freq*Face))</f>
        <v/>
      </c>
      <c r="D67" s="28">
        <f>IF(49&gt;Ncoup,"",IF(49=Ncoup,Face,0))</f>
        <v/>
      </c>
      <c r="E67" s="28">
        <f>IF(49&gt;Ncoup,"",$C$67+$D$67)</f>
        <v/>
      </c>
      <c r="F67" s="29">
        <f>IF(49&gt;Ncoup,"",((49-1)+Wfrac)/Freq)</f>
        <v/>
      </c>
      <c r="G67" s="25">
        <f>IF(49&gt;Ncoup,"",1/(1+YTM/Freq)^((49-1)+Wfrac))</f>
        <v/>
      </c>
      <c r="H67" s="28">
        <f>IF(49&gt;Ncoup,"",$E$67*$G$67)</f>
        <v/>
      </c>
      <c r="I67" s="25">
        <f>IF(49&gt;Ncoup,"",$E$67*((49-1)+Wfrac)*((49-1)+Wfrac+1)/(1+YTM/Freq)^((49-1)+Wfrac+2))</f>
        <v/>
      </c>
      <c r="J67" s="25">
        <f>IF(49&gt;Ncoup,"",$F$67*$H$67)</f>
        <v/>
      </c>
    </row>
    <row r="68">
      <c r="A68" s="19">
        <f>IF(50&gt;Ncoup,"",50)</f>
        <v/>
      </c>
      <c r="B68" s="24">
        <f>IF(50&gt;Ncoup,"",EDATE(Ncd,(12/Freq)*(50-1)))</f>
        <v/>
      </c>
      <c r="C68" s="28">
        <f>IF(50&gt;Ncoup,"",IF(IsZero=1,0,CouponRate/Freq*Face))</f>
        <v/>
      </c>
      <c r="D68" s="28">
        <f>IF(50&gt;Ncoup,"",IF(50=Ncoup,Face,0))</f>
        <v/>
      </c>
      <c r="E68" s="28">
        <f>IF(50&gt;Ncoup,"",$C$68+$D$68)</f>
        <v/>
      </c>
      <c r="F68" s="29">
        <f>IF(50&gt;Ncoup,"",((50-1)+Wfrac)/Freq)</f>
        <v/>
      </c>
      <c r="G68" s="25">
        <f>IF(50&gt;Ncoup,"",1/(1+YTM/Freq)^((50-1)+Wfrac))</f>
        <v/>
      </c>
      <c r="H68" s="28">
        <f>IF(50&gt;Ncoup,"",$E$68*$G$68)</f>
        <v/>
      </c>
      <c r="I68" s="25">
        <f>IF(50&gt;Ncoup,"",$E$68*((50-1)+Wfrac)*((50-1)+Wfrac+1)/(1+YTM/Freq)^((50-1)+Wfrac+2))</f>
        <v/>
      </c>
      <c r="J68" s="25">
        <f>IF(50&gt;Ncoup,"",$F$68*$H$68)</f>
        <v/>
      </c>
    </row>
    <row r="69">
      <c r="A69" s="19">
        <f>IF(51&gt;Ncoup,"",51)</f>
        <v/>
      </c>
      <c r="B69" s="24">
        <f>IF(51&gt;Ncoup,"",EDATE(Ncd,(12/Freq)*(51-1)))</f>
        <v/>
      </c>
      <c r="C69" s="28">
        <f>IF(51&gt;Ncoup,"",IF(IsZero=1,0,CouponRate/Freq*Face))</f>
        <v/>
      </c>
      <c r="D69" s="28">
        <f>IF(51&gt;Ncoup,"",IF(51=Ncoup,Face,0))</f>
        <v/>
      </c>
      <c r="E69" s="28">
        <f>IF(51&gt;Ncoup,"",$C$69+$D$69)</f>
        <v/>
      </c>
      <c r="F69" s="29">
        <f>IF(51&gt;Ncoup,"",((51-1)+Wfrac)/Freq)</f>
        <v/>
      </c>
      <c r="G69" s="25">
        <f>IF(51&gt;Ncoup,"",1/(1+YTM/Freq)^((51-1)+Wfrac))</f>
        <v/>
      </c>
      <c r="H69" s="28">
        <f>IF(51&gt;Ncoup,"",$E$69*$G$69)</f>
        <v/>
      </c>
      <c r="I69" s="25">
        <f>IF(51&gt;Ncoup,"",$E$69*((51-1)+Wfrac)*((51-1)+Wfrac+1)/(1+YTM/Freq)^((51-1)+Wfrac+2))</f>
        <v/>
      </c>
      <c r="J69" s="25">
        <f>IF(51&gt;Ncoup,"",$F$69*$H$69)</f>
        <v/>
      </c>
    </row>
    <row r="70">
      <c r="A70" s="19">
        <f>IF(52&gt;Ncoup,"",52)</f>
        <v/>
      </c>
      <c r="B70" s="24">
        <f>IF(52&gt;Ncoup,"",EDATE(Ncd,(12/Freq)*(52-1)))</f>
        <v/>
      </c>
      <c r="C70" s="28">
        <f>IF(52&gt;Ncoup,"",IF(IsZero=1,0,CouponRate/Freq*Face))</f>
        <v/>
      </c>
      <c r="D70" s="28">
        <f>IF(52&gt;Ncoup,"",IF(52=Ncoup,Face,0))</f>
        <v/>
      </c>
      <c r="E70" s="28">
        <f>IF(52&gt;Ncoup,"",$C$70+$D$70)</f>
        <v/>
      </c>
      <c r="F70" s="29">
        <f>IF(52&gt;Ncoup,"",((52-1)+Wfrac)/Freq)</f>
        <v/>
      </c>
      <c r="G70" s="25">
        <f>IF(52&gt;Ncoup,"",1/(1+YTM/Freq)^((52-1)+Wfrac))</f>
        <v/>
      </c>
      <c r="H70" s="28">
        <f>IF(52&gt;Ncoup,"",$E$70*$G$70)</f>
        <v/>
      </c>
      <c r="I70" s="25">
        <f>IF(52&gt;Ncoup,"",$E$70*((52-1)+Wfrac)*((52-1)+Wfrac+1)/(1+YTM/Freq)^((52-1)+Wfrac+2))</f>
        <v/>
      </c>
      <c r="J70" s="25">
        <f>IF(52&gt;Ncoup,"",$F$70*$H$70)</f>
        <v/>
      </c>
    </row>
    <row r="71">
      <c r="A71" s="19">
        <f>IF(53&gt;Ncoup,"",53)</f>
        <v/>
      </c>
      <c r="B71" s="24">
        <f>IF(53&gt;Ncoup,"",EDATE(Ncd,(12/Freq)*(53-1)))</f>
        <v/>
      </c>
      <c r="C71" s="28">
        <f>IF(53&gt;Ncoup,"",IF(IsZero=1,0,CouponRate/Freq*Face))</f>
        <v/>
      </c>
      <c r="D71" s="28">
        <f>IF(53&gt;Ncoup,"",IF(53=Ncoup,Face,0))</f>
        <v/>
      </c>
      <c r="E71" s="28">
        <f>IF(53&gt;Ncoup,"",$C$71+$D$71)</f>
        <v/>
      </c>
      <c r="F71" s="29">
        <f>IF(53&gt;Ncoup,"",((53-1)+Wfrac)/Freq)</f>
        <v/>
      </c>
      <c r="G71" s="25">
        <f>IF(53&gt;Ncoup,"",1/(1+YTM/Freq)^((53-1)+Wfrac))</f>
        <v/>
      </c>
      <c r="H71" s="28">
        <f>IF(53&gt;Ncoup,"",$E$71*$G$71)</f>
        <v/>
      </c>
      <c r="I71" s="25">
        <f>IF(53&gt;Ncoup,"",$E$71*((53-1)+Wfrac)*((53-1)+Wfrac+1)/(1+YTM/Freq)^((53-1)+Wfrac+2))</f>
        <v/>
      </c>
      <c r="J71" s="25">
        <f>IF(53&gt;Ncoup,"",$F$71*$H$71)</f>
        <v/>
      </c>
    </row>
    <row r="72">
      <c r="A72" s="19">
        <f>IF(54&gt;Ncoup,"",54)</f>
        <v/>
      </c>
      <c r="B72" s="24">
        <f>IF(54&gt;Ncoup,"",EDATE(Ncd,(12/Freq)*(54-1)))</f>
        <v/>
      </c>
      <c r="C72" s="28">
        <f>IF(54&gt;Ncoup,"",IF(IsZero=1,0,CouponRate/Freq*Face))</f>
        <v/>
      </c>
      <c r="D72" s="28">
        <f>IF(54&gt;Ncoup,"",IF(54=Ncoup,Face,0))</f>
        <v/>
      </c>
      <c r="E72" s="28">
        <f>IF(54&gt;Ncoup,"",$C$72+$D$72)</f>
        <v/>
      </c>
      <c r="F72" s="29">
        <f>IF(54&gt;Ncoup,"",((54-1)+Wfrac)/Freq)</f>
        <v/>
      </c>
      <c r="G72" s="25">
        <f>IF(54&gt;Ncoup,"",1/(1+YTM/Freq)^((54-1)+Wfrac))</f>
        <v/>
      </c>
      <c r="H72" s="28">
        <f>IF(54&gt;Ncoup,"",$E$72*$G$72)</f>
        <v/>
      </c>
      <c r="I72" s="25">
        <f>IF(54&gt;Ncoup,"",$E$72*((54-1)+Wfrac)*((54-1)+Wfrac+1)/(1+YTM/Freq)^((54-1)+Wfrac+2))</f>
        <v/>
      </c>
      <c r="J72" s="25">
        <f>IF(54&gt;Ncoup,"",$F$72*$H$72)</f>
        <v/>
      </c>
    </row>
    <row r="73">
      <c r="A73" s="19">
        <f>IF(55&gt;Ncoup,"",55)</f>
        <v/>
      </c>
      <c r="B73" s="24">
        <f>IF(55&gt;Ncoup,"",EDATE(Ncd,(12/Freq)*(55-1)))</f>
        <v/>
      </c>
      <c r="C73" s="28">
        <f>IF(55&gt;Ncoup,"",IF(IsZero=1,0,CouponRate/Freq*Face))</f>
        <v/>
      </c>
      <c r="D73" s="28">
        <f>IF(55&gt;Ncoup,"",IF(55=Ncoup,Face,0))</f>
        <v/>
      </c>
      <c r="E73" s="28">
        <f>IF(55&gt;Ncoup,"",$C$73+$D$73)</f>
        <v/>
      </c>
      <c r="F73" s="29">
        <f>IF(55&gt;Ncoup,"",((55-1)+Wfrac)/Freq)</f>
        <v/>
      </c>
      <c r="G73" s="25">
        <f>IF(55&gt;Ncoup,"",1/(1+YTM/Freq)^((55-1)+Wfrac))</f>
        <v/>
      </c>
      <c r="H73" s="28">
        <f>IF(55&gt;Ncoup,"",$E$73*$G$73)</f>
        <v/>
      </c>
      <c r="I73" s="25">
        <f>IF(55&gt;Ncoup,"",$E$73*((55-1)+Wfrac)*((55-1)+Wfrac+1)/(1+YTM/Freq)^((55-1)+Wfrac+2))</f>
        <v/>
      </c>
      <c r="J73" s="25">
        <f>IF(55&gt;Ncoup,"",$F$73*$H$73)</f>
        <v/>
      </c>
    </row>
    <row r="74">
      <c r="A74" s="19">
        <f>IF(56&gt;Ncoup,"",56)</f>
        <v/>
      </c>
      <c r="B74" s="24">
        <f>IF(56&gt;Ncoup,"",EDATE(Ncd,(12/Freq)*(56-1)))</f>
        <v/>
      </c>
      <c r="C74" s="28">
        <f>IF(56&gt;Ncoup,"",IF(IsZero=1,0,CouponRate/Freq*Face))</f>
        <v/>
      </c>
      <c r="D74" s="28">
        <f>IF(56&gt;Ncoup,"",IF(56=Ncoup,Face,0))</f>
        <v/>
      </c>
      <c r="E74" s="28">
        <f>IF(56&gt;Ncoup,"",$C$74+$D$74)</f>
        <v/>
      </c>
      <c r="F74" s="29">
        <f>IF(56&gt;Ncoup,"",((56-1)+Wfrac)/Freq)</f>
        <v/>
      </c>
      <c r="G74" s="25">
        <f>IF(56&gt;Ncoup,"",1/(1+YTM/Freq)^((56-1)+Wfrac))</f>
        <v/>
      </c>
      <c r="H74" s="28">
        <f>IF(56&gt;Ncoup,"",$E$74*$G$74)</f>
        <v/>
      </c>
      <c r="I74" s="25">
        <f>IF(56&gt;Ncoup,"",$E$74*((56-1)+Wfrac)*((56-1)+Wfrac+1)/(1+YTM/Freq)^((56-1)+Wfrac+2))</f>
        <v/>
      </c>
      <c r="J74" s="25">
        <f>IF(56&gt;Ncoup,"",$F$74*$H$74)</f>
        <v/>
      </c>
    </row>
    <row r="75">
      <c r="A75" s="19">
        <f>IF(57&gt;Ncoup,"",57)</f>
        <v/>
      </c>
      <c r="B75" s="24">
        <f>IF(57&gt;Ncoup,"",EDATE(Ncd,(12/Freq)*(57-1)))</f>
        <v/>
      </c>
      <c r="C75" s="28">
        <f>IF(57&gt;Ncoup,"",IF(IsZero=1,0,CouponRate/Freq*Face))</f>
        <v/>
      </c>
      <c r="D75" s="28">
        <f>IF(57&gt;Ncoup,"",IF(57=Ncoup,Face,0))</f>
        <v/>
      </c>
      <c r="E75" s="28">
        <f>IF(57&gt;Ncoup,"",$C$75+$D$75)</f>
        <v/>
      </c>
      <c r="F75" s="29">
        <f>IF(57&gt;Ncoup,"",((57-1)+Wfrac)/Freq)</f>
        <v/>
      </c>
      <c r="G75" s="25">
        <f>IF(57&gt;Ncoup,"",1/(1+YTM/Freq)^((57-1)+Wfrac))</f>
        <v/>
      </c>
      <c r="H75" s="28">
        <f>IF(57&gt;Ncoup,"",$E$75*$G$75)</f>
        <v/>
      </c>
      <c r="I75" s="25">
        <f>IF(57&gt;Ncoup,"",$E$75*((57-1)+Wfrac)*((57-1)+Wfrac+1)/(1+YTM/Freq)^((57-1)+Wfrac+2))</f>
        <v/>
      </c>
      <c r="J75" s="25">
        <f>IF(57&gt;Ncoup,"",$F$75*$H$75)</f>
        <v/>
      </c>
    </row>
    <row r="76">
      <c r="A76" s="19">
        <f>IF(58&gt;Ncoup,"",58)</f>
        <v/>
      </c>
      <c r="B76" s="24">
        <f>IF(58&gt;Ncoup,"",EDATE(Ncd,(12/Freq)*(58-1)))</f>
        <v/>
      </c>
      <c r="C76" s="28">
        <f>IF(58&gt;Ncoup,"",IF(IsZero=1,0,CouponRate/Freq*Face))</f>
        <v/>
      </c>
      <c r="D76" s="28">
        <f>IF(58&gt;Ncoup,"",IF(58=Ncoup,Face,0))</f>
        <v/>
      </c>
      <c r="E76" s="28">
        <f>IF(58&gt;Ncoup,"",$C$76+$D$76)</f>
        <v/>
      </c>
      <c r="F76" s="29">
        <f>IF(58&gt;Ncoup,"",((58-1)+Wfrac)/Freq)</f>
        <v/>
      </c>
      <c r="G76" s="25">
        <f>IF(58&gt;Ncoup,"",1/(1+YTM/Freq)^((58-1)+Wfrac))</f>
        <v/>
      </c>
      <c r="H76" s="28">
        <f>IF(58&gt;Ncoup,"",$E$76*$G$76)</f>
        <v/>
      </c>
      <c r="I76" s="25">
        <f>IF(58&gt;Ncoup,"",$E$76*((58-1)+Wfrac)*((58-1)+Wfrac+1)/(1+YTM/Freq)^((58-1)+Wfrac+2))</f>
        <v/>
      </c>
      <c r="J76" s="25">
        <f>IF(58&gt;Ncoup,"",$F$76*$H$76)</f>
        <v/>
      </c>
    </row>
    <row r="77">
      <c r="A77" s="19">
        <f>IF(59&gt;Ncoup,"",59)</f>
        <v/>
      </c>
      <c r="B77" s="24">
        <f>IF(59&gt;Ncoup,"",EDATE(Ncd,(12/Freq)*(59-1)))</f>
        <v/>
      </c>
      <c r="C77" s="28">
        <f>IF(59&gt;Ncoup,"",IF(IsZero=1,0,CouponRate/Freq*Face))</f>
        <v/>
      </c>
      <c r="D77" s="28">
        <f>IF(59&gt;Ncoup,"",IF(59=Ncoup,Face,0))</f>
        <v/>
      </c>
      <c r="E77" s="28">
        <f>IF(59&gt;Ncoup,"",$C$77+$D$77)</f>
        <v/>
      </c>
      <c r="F77" s="29">
        <f>IF(59&gt;Ncoup,"",((59-1)+Wfrac)/Freq)</f>
        <v/>
      </c>
      <c r="G77" s="25">
        <f>IF(59&gt;Ncoup,"",1/(1+YTM/Freq)^((59-1)+Wfrac))</f>
        <v/>
      </c>
      <c r="H77" s="28">
        <f>IF(59&gt;Ncoup,"",$E$77*$G$77)</f>
        <v/>
      </c>
      <c r="I77" s="25">
        <f>IF(59&gt;Ncoup,"",$E$77*((59-1)+Wfrac)*((59-1)+Wfrac+1)/(1+YTM/Freq)^((59-1)+Wfrac+2))</f>
        <v/>
      </c>
      <c r="J77" s="25">
        <f>IF(59&gt;Ncoup,"",$F$77*$H$77)</f>
        <v/>
      </c>
    </row>
    <row r="78">
      <c r="A78" s="19">
        <f>IF(60&gt;Ncoup,"",60)</f>
        <v/>
      </c>
      <c r="B78" s="24">
        <f>IF(60&gt;Ncoup,"",EDATE(Ncd,(12/Freq)*(60-1)))</f>
        <v/>
      </c>
      <c r="C78" s="28">
        <f>IF(60&gt;Ncoup,"",IF(IsZero=1,0,CouponRate/Freq*Face))</f>
        <v/>
      </c>
      <c r="D78" s="28">
        <f>IF(60&gt;Ncoup,"",IF(60=Ncoup,Face,0))</f>
        <v/>
      </c>
      <c r="E78" s="28">
        <f>IF(60&gt;Ncoup,"",$C$78+$D$78)</f>
        <v/>
      </c>
      <c r="F78" s="29">
        <f>IF(60&gt;Ncoup,"",((60-1)+Wfrac)/Freq)</f>
        <v/>
      </c>
      <c r="G78" s="25">
        <f>IF(60&gt;Ncoup,"",1/(1+YTM/Freq)^((60-1)+Wfrac))</f>
        <v/>
      </c>
      <c r="H78" s="28">
        <f>IF(60&gt;Ncoup,"",$E$78*$G$78)</f>
        <v/>
      </c>
      <c r="I78" s="25">
        <f>IF(60&gt;Ncoup,"",$E$78*((60-1)+Wfrac)*((60-1)+Wfrac+1)/(1+YTM/Freq)^((60-1)+Wfrac+2))</f>
        <v/>
      </c>
      <c r="J78" s="25">
        <f>IF(60&gt;Ncoup,"",$F$78*$H$78)</f>
        <v/>
      </c>
    </row>
    <row r="79">
      <c r="A79" s="19">
        <f>IF(61&gt;Ncoup,"",61)</f>
        <v/>
      </c>
      <c r="B79" s="24">
        <f>IF(61&gt;Ncoup,"",EDATE(Ncd,(12/Freq)*(61-1)))</f>
        <v/>
      </c>
      <c r="C79" s="28">
        <f>IF(61&gt;Ncoup,"",IF(IsZero=1,0,CouponRate/Freq*Face))</f>
        <v/>
      </c>
      <c r="D79" s="28">
        <f>IF(61&gt;Ncoup,"",IF(61=Ncoup,Face,0))</f>
        <v/>
      </c>
      <c r="E79" s="28">
        <f>IF(61&gt;Ncoup,"",$C$79+$D$79)</f>
        <v/>
      </c>
      <c r="F79" s="29">
        <f>IF(61&gt;Ncoup,"",((61-1)+Wfrac)/Freq)</f>
        <v/>
      </c>
      <c r="G79" s="25">
        <f>IF(61&gt;Ncoup,"",1/(1+YTM/Freq)^((61-1)+Wfrac))</f>
        <v/>
      </c>
      <c r="H79" s="28">
        <f>IF(61&gt;Ncoup,"",$E$79*$G$79)</f>
        <v/>
      </c>
      <c r="I79" s="25">
        <f>IF(61&gt;Ncoup,"",$E$79*((61-1)+Wfrac)*((61-1)+Wfrac+1)/(1+YTM/Freq)^((61-1)+Wfrac+2))</f>
        <v/>
      </c>
      <c r="J79" s="25">
        <f>IF(61&gt;Ncoup,"",$F$79*$H$79)</f>
        <v/>
      </c>
    </row>
    <row r="80">
      <c r="A80" s="19">
        <f>IF(62&gt;Ncoup,"",62)</f>
        <v/>
      </c>
      <c r="B80" s="24">
        <f>IF(62&gt;Ncoup,"",EDATE(Ncd,(12/Freq)*(62-1)))</f>
        <v/>
      </c>
      <c r="C80" s="28">
        <f>IF(62&gt;Ncoup,"",IF(IsZero=1,0,CouponRate/Freq*Face))</f>
        <v/>
      </c>
      <c r="D80" s="28">
        <f>IF(62&gt;Ncoup,"",IF(62=Ncoup,Face,0))</f>
        <v/>
      </c>
      <c r="E80" s="28">
        <f>IF(62&gt;Ncoup,"",$C$80+$D$80)</f>
        <v/>
      </c>
      <c r="F80" s="29">
        <f>IF(62&gt;Ncoup,"",((62-1)+Wfrac)/Freq)</f>
        <v/>
      </c>
      <c r="G80" s="25">
        <f>IF(62&gt;Ncoup,"",1/(1+YTM/Freq)^((62-1)+Wfrac))</f>
        <v/>
      </c>
      <c r="H80" s="28">
        <f>IF(62&gt;Ncoup,"",$E$80*$G$80)</f>
        <v/>
      </c>
      <c r="I80" s="25">
        <f>IF(62&gt;Ncoup,"",$E$80*((62-1)+Wfrac)*((62-1)+Wfrac+1)/(1+YTM/Freq)^((62-1)+Wfrac+2))</f>
        <v/>
      </c>
      <c r="J80" s="25">
        <f>IF(62&gt;Ncoup,"",$F$80*$H$80)</f>
        <v/>
      </c>
    </row>
    <row r="81">
      <c r="A81" s="30" t="inlineStr">
        <is>
          <t>Totals</t>
        </is>
      </c>
      <c r="C81" s="31">
        <f>SUM(C19:C80)</f>
        <v/>
      </c>
      <c r="D81" s="31">
        <f>SUM(D19:D80)</f>
        <v/>
      </c>
      <c r="E81" s="31">
        <f>SUM(E19:E80)</f>
        <v/>
      </c>
      <c r="H81" s="31">
        <f>SUM(H19:H80)</f>
        <v/>
      </c>
    </row>
    <row r="83" ht="18" customHeight="1">
      <c r="A83" s="5" t="inlineStr">
        <is>
          <t>From the schedule (auto)</t>
        </is>
      </c>
    </row>
    <row r="84">
      <c r="A84" s="8" t="inlineStr">
        <is>
          <t>Sum of PV  =  Dirty price</t>
        </is>
      </c>
      <c r="B84" s="32">
        <f>SUM(H19:H80)</f>
        <v/>
      </c>
      <c r="D84" s="12" t="inlineStr">
        <is>
          <t>Should equal the Dirty price on the Price &amp; Yield sheet (checked in Audit).</t>
        </is>
      </c>
    </row>
    <row r="85">
      <c r="A85" s="8" t="inlineStr">
        <is>
          <t>Macaulay duration (schedule)</t>
        </is>
      </c>
      <c r="B85" s="33">
        <f>SUM(J19:J80)/SUM(H19:H80)</f>
        <v/>
      </c>
    </row>
    <row r="86">
      <c r="A86" s="8" t="inlineStr">
        <is>
          <t>Convexity (schedule)</t>
        </is>
      </c>
      <c r="B86" s="34">
        <f>SUM(I19:I80)/(SUM(H19:H80)*Freq^2)</f>
        <v/>
      </c>
      <c r="D86" s="12" t="inlineStr">
        <is>
          <t>Excel has no convexity function, so it is computed from the schedule.</t>
        </is>
      </c>
    </row>
  </sheetData>
  <mergeCells count="13">
    <mergeCell ref="D14:J14"/>
    <mergeCell ref="A1:J1"/>
    <mergeCell ref="D84:J84"/>
    <mergeCell ref="A8:J8"/>
    <mergeCell ref="A9:J9"/>
    <mergeCell ref="A3:J3"/>
    <mergeCell ref="A83:J83"/>
    <mergeCell ref="D16:J16"/>
    <mergeCell ref="A7:J7"/>
    <mergeCell ref="D86:J86"/>
    <mergeCell ref="A2:J2"/>
    <mergeCell ref="A10:J10"/>
    <mergeCell ref="A13:J13"/>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F7A3D"/>
    <outlinePr summaryBelow="1" summaryRight="1"/>
    <pageSetUpPr fitToPage="1"/>
  </sheetPr>
  <dimension ref="A1:F27"/>
  <sheetViews>
    <sheetView showGridLines="0" workbookViewId="0">
      <pane ySplit="5" topLeftCell="A6" activePane="bottomLeft" state="frozen"/>
      <selection pane="bottomLeft" activeCell="A1" sqref="A1"/>
    </sheetView>
  </sheetViews>
  <sheetFormatPr baseColWidth="8" defaultRowHeight="15"/>
  <cols>
    <col width="28" customWidth="1" min="1" max="1"/>
    <col width="13" customWidth="1" min="2" max="2"/>
    <col width="8" customWidth="1" min="3" max="3"/>
    <col width="14" customWidth="1" min="4" max="4"/>
    <col width="14" customWidth="1" min="5" max="5"/>
    <col width="14" customWidth="1" min="6" max="6"/>
  </cols>
  <sheetData>
    <row r="1" ht="28" customHeight="1">
      <c r="A1" s="1" t="inlineStr">
        <is>
          <t>PRICE &amp; YIELD</t>
        </is>
      </c>
    </row>
    <row r="2">
      <c r="A2" s="2" t="inlineStr">
        <is>
          <t>Accrued interest, clean vs dirty price, yield and spread</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CLEAN PRICE is the quoted price. DIRTY PRICE is what you actually pay = clean price + accrued interest (the coupon that has built up since the last payment).</t>
        </is>
      </c>
    </row>
    <row r="9" ht="25" customHeight="1">
      <c r="A9" s="7" t="inlineStr">
        <is>
          <t>YIELD TO MATURITY is the single rate that discounts the bond's cash flows back to its price - the return if you hold to maturity. For a Treasury Bill it is computed from price, face and time to maturity.</t>
        </is>
      </c>
    </row>
    <row r="10" ht="14" customHeight="1">
      <c r="A10" s="7" t="inlineStr">
        <is>
          <t>SPREAD = yield - benchmark Treasury yield (optional; often ~0 for an on-the-run Treasury).</t>
        </is>
      </c>
    </row>
    <row r="13" ht="18" customHeight="1">
      <c r="A13" s="5" t="inlineStr">
        <is>
          <t>Results</t>
        </is>
      </c>
    </row>
    <row r="14">
      <c r="A14" s="8" t="inlineStr">
        <is>
          <t>Accrued interest (per 100)</t>
        </is>
      </c>
      <c r="B14" s="32">
        <f>IF(IsZero=1,0,COUPDAYBS(Settle,Maturity,Freq,Basis)/COUPDAYS(Settle,Maturity,Freq,Basis)*CouponRate/Freq*Face)</f>
        <v/>
      </c>
      <c r="C14" s="23" t="n"/>
      <c r="D14" s="12" t="inlineStr">
        <is>
          <t>Coupon built up since the last payment. Zero for a Treasury Bill.</t>
        </is>
      </c>
    </row>
    <row r="15">
      <c r="A15" s="8" t="inlineStr">
        <is>
          <t>Market clean price</t>
        </is>
      </c>
      <c r="B15" s="35">
        <f>MktClean</f>
        <v/>
      </c>
      <c r="D15" s="12" t="inlineStr">
        <is>
          <t>As entered on Bond Terms.</t>
        </is>
      </c>
    </row>
    <row r="16">
      <c r="A16" s="8" t="inlineStr">
        <is>
          <t>Dirty price (invoice price)</t>
        </is>
      </c>
      <c r="B16" s="32">
        <f>MktClean+Accrued</f>
        <v/>
      </c>
      <c r="C16" s="23" t="n"/>
      <c r="D16" s="12" t="inlineStr">
        <is>
          <t>What you actually pay = clean + accrued.</t>
        </is>
      </c>
    </row>
    <row r="17">
      <c r="A17" s="8" t="inlineStr">
        <is>
          <t>Yield to maturity (YTM)</t>
        </is>
      </c>
      <c r="B17" s="36">
        <f>IF(IsZero=1,(Face/MktClean)^(1/YearsToMat)-1,YIELD(Settle,Maturity,CouponRate,MktClean,Face,Freq,Basis))</f>
        <v/>
      </c>
      <c r="C17" s="23" t="n"/>
      <c r="D17" s="12" t="inlineStr">
        <is>
          <t>Return if held to maturity. Bill: (Face/Price)^(1/Years)-1 (effective annual).</t>
        </is>
      </c>
    </row>
    <row r="18">
      <c r="A18" s="8" t="inlineStr">
        <is>
          <t>Current yield</t>
        </is>
      </c>
      <c r="B18" s="37">
        <f>IF(IsZero=1,"N/A",(CouponRate*Face)/MktClean)</f>
        <v/>
      </c>
      <c r="C18" s="23" t="n"/>
      <c r="D18" s="12" t="inlineStr">
        <is>
          <t>Annual coupon / clean price. N/A for a Treasury Bill (no coupon).</t>
        </is>
      </c>
    </row>
    <row r="19">
      <c r="A19" s="8" t="inlineStr">
        <is>
          <t>Premium / discount to par</t>
        </is>
      </c>
      <c r="B19" s="32">
        <f>MktClean-Face</f>
        <v/>
      </c>
      <c r="C19" s="23" t="n"/>
      <c r="D19" s="12" t="inlineStr">
        <is>
          <t>Positive = premium (above 100); negative = discount (below 100).</t>
        </is>
      </c>
    </row>
    <row r="20">
      <c r="A20" s="8" t="inlineStr">
        <is>
          <t>Spread over benchmark</t>
        </is>
      </c>
      <c r="B20" s="36">
        <f>YTM-BenchYield</f>
        <v/>
      </c>
      <c r="C20" s="23" t="n"/>
      <c r="D20" s="12" t="inlineStr">
        <is>
          <t>Yield minus the benchmark Treasury yield.</t>
        </is>
      </c>
    </row>
    <row r="21">
      <c r="A21" s="8" t="inlineStr">
        <is>
          <t>Spread (basis points)</t>
        </is>
      </c>
      <c r="B21" s="38">
        <f>Spread*10000</f>
        <v/>
      </c>
    </row>
    <row r="22">
      <c r="A22" s="8" t="inlineStr">
        <is>
          <t>Model clean price (reprice at YTM)</t>
        </is>
      </c>
      <c r="B22" s="28">
        <f>IF(IsZero=1,Face/(1+YTM)^YearsToMat,PRICE(Settle,Maturity,CouponRate,YTM,Face,Freq,Basis))</f>
        <v/>
      </c>
      <c r="D22" s="12" t="inlineStr">
        <is>
          <t>Should equal the market clean price (checked in Audit).</t>
        </is>
      </c>
    </row>
    <row r="24" ht="18" customHeight="1">
      <c r="A24" s="5" t="inlineStr">
        <is>
          <t>Interpretation</t>
        </is>
      </c>
    </row>
    <row r="25">
      <c r="A25" s="8" t="inlineStr">
        <is>
          <t>Price vs par</t>
        </is>
      </c>
      <c r="B25" s="10">
        <f>IF(MktClean&gt;Face+0.25,"Premium - trades above par (coupon &gt; yield)",IF(MktClean&lt;Face-0.25,"Discount - trades below par (coupon &lt; yield)","Near par"))</f>
        <v/>
      </c>
    </row>
    <row r="26">
      <c r="A26" s="8" t="inlineStr">
        <is>
          <t>Yield &amp; price</t>
        </is>
      </c>
      <c r="B26" s="10">
        <f>"Remember: higher yield -&gt; lower price, and lower yield -&gt; higher price."</f>
        <v/>
      </c>
    </row>
    <row r="27">
      <c r="A27" s="8" t="inlineStr">
        <is>
          <t>Yield vs coupon</t>
        </is>
      </c>
      <c r="B27" s="10">
        <f>IF(IsZero=1,"Treasury Bill: all return comes from the discount to face value",IF(YTM&gt;CouponRate,"Yield above coupon - priced at a discount",IF(YTM&lt;CouponRate,"Yield below coupon - priced at a premium","Yield ~ coupon - priced near par")))</f>
        <v/>
      </c>
    </row>
  </sheetData>
  <mergeCells count="29">
    <mergeCell ref="B16:C16"/>
    <mergeCell ref="B25:F25"/>
    <mergeCell ref="B22:C22"/>
    <mergeCell ref="D17:F17"/>
    <mergeCell ref="A3:F3"/>
    <mergeCell ref="B18:C18"/>
    <mergeCell ref="D16:F16"/>
    <mergeCell ref="B27:F27"/>
    <mergeCell ref="A2:F2"/>
    <mergeCell ref="B21:C21"/>
    <mergeCell ref="A8:F8"/>
    <mergeCell ref="D18:F18"/>
    <mergeCell ref="B14:C14"/>
    <mergeCell ref="B17:C17"/>
    <mergeCell ref="D15:F15"/>
    <mergeCell ref="A10:F10"/>
    <mergeCell ref="D14:F14"/>
    <mergeCell ref="A13:F13"/>
    <mergeCell ref="B19:C19"/>
    <mergeCell ref="A9:F9"/>
    <mergeCell ref="D20:F20"/>
    <mergeCell ref="A24:F24"/>
    <mergeCell ref="D19:F19"/>
    <mergeCell ref="B15:C15"/>
    <mergeCell ref="A1:F1"/>
    <mergeCell ref="B20:C20"/>
    <mergeCell ref="D22:F22"/>
    <mergeCell ref="B26:F26"/>
    <mergeCell ref="A7:F7"/>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E5984"/>
    <outlinePr summaryBelow="1" summaryRight="1"/>
    <pageSetUpPr fitToPage="1"/>
  </sheetPr>
  <dimension ref="A1:F19"/>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DURATION &amp; CONVEXITY</t>
        </is>
      </c>
    </row>
    <row r="2">
      <c r="A2" s="2" t="inlineStr">
        <is>
          <t>Interest-rate sensitivity of the bond</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MACAULAY DURATION = the weighted-average time (years) to receive the cash flows. For a Treasury Bill it equals the time to maturity.</t>
        </is>
      </c>
    </row>
    <row r="9" ht="14" customHeight="1">
      <c r="A9" s="7" t="inlineStr">
        <is>
          <t>MODIFIED DURATION = the approximate % price change for a 1% (100 bps) yield move. Bigger = more rate risk.</t>
        </is>
      </c>
    </row>
    <row r="10" ht="25" customHeight="1">
      <c r="A10" s="7" t="inlineStr">
        <is>
          <t>DV01 = the price change for a 1 basis-point move (a price-risk measure).  CONVEXITY improves the estimate for larger moves: price change is approximately  -Modified x (yield change) + 0.5 x convexity x (yield change)^2.</t>
        </is>
      </c>
    </row>
    <row r="13" ht="18" customHeight="1">
      <c r="A13" s="5" t="inlineStr">
        <is>
          <t>Sensitivity measures</t>
        </is>
      </c>
    </row>
    <row r="14">
      <c r="A14" s="8" t="inlineStr">
        <is>
          <t>Macaulay duration</t>
        </is>
      </c>
      <c r="B14" s="33">
        <f>IF(IsZero=1,YearsToMat,DURATION(Settle,Maturity,CouponRate,YTM,Freq,Basis))</f>
        <v/>
      </c>
      <c r="C14" s="23" t="n"/>
      <c r="D14" s="12" t="inlineStr">
        <is>
          <t>For a Treasury Bill this equals the time to maturity.</t>
        </is>
      </c>
    </row>
    <row r="15">
      <c r="A15" s="8" t="inlineStr">
        <is>
          <t>Modified duration</t>
        </is>
      </c>
      <c r="B15" s="34">
        <f>IF(IsZero=1,YearsToMat/(1+YTM),MDURATION(Settle,Maturity,CouponRate,YTM,Freq,Basis))</f>
        <v/>
      </c>
      <c r="C15" s="23" t="n"/>
      <c r="D15" s="12" t="inlineStr">
        <is>
          <t>Approx % price fall if the yield rises 1% (100 bps).</t>
        </is>
      </c>
    </row>
    <row r="16">
      <c r="A16" s="8" t="inlineStr">
        <is>
          <t>Convexity</t>
        </is>
      </c>
      <c r="B16" s="39">
        <f>Convexity</f>
        <v/>
      </c>
      <c r="D16" s="12" t="inlineStr">
        <is>
          <t>Computed on the Cash Flows sheet (Excel has no convexity function).</t>
        </is>
      </c>
    </row>
    <row r="17">
      <c r="A17" s="8" t="inlineStr">
        <is>
          <t>DV01 (per 100 face)</t>
        </is>
      </c>
      <c r="B17" s="40">
        <f>ModDur*Dirty*0.0001</f>
        <v/>
      </c>
      <c r="C17" s="23" t="n"/>
      <c r="D17" s="12" t="inlineStr">
        <is>
          <t>Price change for a 1 basis-point yield move. Positive = the size of the risk.</t>
        </is>
      </c>
    </row>
    <row r="19">
      <c r="A19" s="3" t="inlineStr">
        <is>
          <t>Rule of thumb: a modified duration of D means about a D% price change for a 1% yield move. Longer-maturity Treasuries have larger duration and more price risk.</t>
        </is>
      </c>
    </row>
  </sheetData>
  <mergeCells count="17">
    <mergeCell ref="A2:F2"/>
    <mergeCell ref="A10:F10"/>
    <mergeCell ref="D14:F14"/>
    <mergeCell ref="B15:C15"/>
    <mergeCell ref="B16:C16"/>
    <mergeCell ref="A13:F13"/>
    <mergeCell ref="A19:F19"/>
    <mergeCell ref="A1:F1"/>
    <mergeCell ref="A9:F9"/>
    <mergeCell ref="A8:F8"/>
    <mergeCell ref="B14:C14"/>
    <mergeCell ref="D17:F17"/>
    <mergeCell ref="B17:C17"/>
    <mergeCell ref="A3:F3"/>
    <mergeCell ref="D15:F15"/>
    <mergeCell ref="D16:F16"/>
    <mergeCell ref="A7:F7"/>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C0641F"/>
    <outlinePr summaryBelow="1" summaryRight="1"/>
    <pageSetUpPr fitToPage="1"/>
  </sheetPr>
  <dimension ref="A1:F20"/>
  <sheetViews>
    <sheetView showGridLines="0" workbookViewId="0">
      <pane ySplit="5" topLeftCell="A6" activePane="bottomLeft" state="frozen"/>
      <selection pane="bottomLeft" activeCell="A1" sqref="A1"/>
    </sheetView>
  </sheetViews>
  <sheetFormatPr baseColWidth="8" defaultRowHeight="15"/>
  <cols>
    <col width="14" customWidth="1" min="1" max="1"/>
    <col width="14" customWidth="1" min="2" max="2"/>
    <col width="16" customWidth="1" min="3" max="3"/>
    <col width="16" customWidth="1" min="4" max="4"/>
    <col width="18" customWidth="1" min="5" max="5"/>
    <col width="30" customWidth="1" min="6" max="6"/>
  </cols>
  <sheetData>
    <row r="1" ht="28" customHeight="1">
      <c r="A1" s="1" t="inlineStr">
        <is>
          <t>RATE SHOCK</t>
        </is>
      </c>
    </row>
    <row r="2">
      <c r="A2" s="2" t="inlineStr">
        <is>
          <t>Estimated price impact if Treasury yields move</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WHAT THIS SHOWS:  how the clean price would change if the yield moved up or down. The estimate uses modified duration (the straight-line effect) and then adds convexity (the curve correction).</t>
        </is>
      </c>
    </row>
    <row r="9" ht="14" customHeight="1">
      <c r="A9" s="7" t="inlineStr">
        <is>
          <t>If yields RISE, Treasury prices FALL; if yields FALL, prices RISE. Longer-duration bonds move more.</t>
        </is>
      </c>
    </row>
    <row r="10" ht="14" customHeight="1">
      <c r="A10" s="7" t="inlineStr">
        <is>
          <t>These are approximations from duration and convexity, not a full reprice - good for small/medium moves.</t>
        </is>
      </c>
    </row>
    <row r="13" ht="26" customHeight="1">
      <c r="A13" s="27" t="inlineStr">
        <is>
          <t>Yield shock</t>
        </is>
      </c>
      <c r="B13" s="27" t="inlineStr">
        <is>
          <t>New est. yield</t>
        </is>
      </c>
      <c r="C13" s="27" t="inlineStr">
        <is>
          <t>Price change
(duration only)</t>
        </is>
      </c>
      <c r="D13" s="27" t="inlineStr">
        <is>
          <t>Price change
(dur + convexity)</t>
        </is>
      </c>
      <c r="E13" s="27" t="inlineStr">
        <is>
          <t>Est. new clean price</t>
        </is>
      </c>
      <c r="F13" s="26" t="inlineStr">
        <is>
          <t>Interpretation</t>
        </is>
      </c>
    </row>
    <row r="14">
      <c r="A14" s="8" t="inlineStr">
        <is>
          <t>-100 bps</t>
        </is>
      </c>
      <c r="B14" s="41">
        <f>YTM+-0.01</f>
        <v/>
      </c>
      <c r="C14" s="28">
        <f>-ModDur*(-0.01)*CleanPrice</f>
        <v/>
      </c>
      <c r="D14" s="28">
        <f>(-ModDur*(-0.01)+0.5*Convexity*(-0.01)^2)*CleanPrice</f>
        <v/>
      </c>
      <c r="E14" s="32">
        <f>CleanPrice+$D$14</f>
        <v/>
      </c>
      <c r="F14" s="10">
        <f>IF(-100&gt;0,"Yields up -&gt; price falls","Yields down -&gt; price rises")</f>
        <v/>
      </c>
    </row>
    <row r="15">
      <c r="A15" s="8" t="inlineStr">
        <is>
          <t>-50 bps</t>
        </is>
      </c>
      <c r="B15" s="41">
        <f>YTM+-0.005</f>
        <v/>
      </c>
      <c r="C15" s="28">
        <f>-ModDur*(-0.005)*CleanPrice</f>
        <v/>
      </c>
      <c r="D15" s="28">
        <f>(-ModDur*(-0.005)+0.5*Convexity*(-0.005)^2)*CleanPrice</f>
        <v/>
      </c>
      <c r="E15" s="32">
        <f>CleanPrice+$D$15</f>
        <v/>
      </c>
      <c r="F15" s="10">
        <f>IF(-50&gt;0,"Yields up -&gt; price falls","Yields down -&gt; price rises")</f>
        <v/>
      </c>
    </row>
    <row r="16">
      <c r="A16" s="8" t="inlineStr">
        <is>
          <t>-25 bps</t>
        </is>
      </c>
      <c r="B16" s="41">
        <f>YTM+-0.0025</f>
        <v/>
      </c>
      <c r="C16" s="28">
        <f>-ModDur*(-0.0025)*CleanPrice</f>
        <v/>
      </c>
      <c r="D16" s="28">
        <f>(-ModDur*(-0.0025)+0.5*Convexity*(-0.0025)^2)*CleanPrice</f>
        <v/>
      </c>
      <c r="E16" s="32">
        <f>CleanPrice+$D$16</f>
        <v/>
      </c>
      <c r="F16" s="10">
        <f>IF(-25&gt;0,"Yields up -&gt; price falls","Yields down -&gt; price rises")</f>
        <v/>
      </c>
    </row>
    <row r="17">
      <c r="A17" s="8" t="inlineStr">
        <is>
          <t>+25 bps</t>
        </is>
      </c>
      <c r="B17" s="41">
        <f>YTM+0.0025</f>
        <v/>
      </c>
      <c r="C17" s="28">
        <f>-ModDur*(0.0025)*CleanPrice</f>
        <v/>
      </c>
      <c r="D17" s="28">
        <f>(-ModDur*(0.0025)+0.5*Convexity*(0.0025)^2)*CleanPrice</f>
        <v/>
      </c>
      <c r="E17" s="32">
        <f>CleanPrice+$D$17</f>
        <v/>
      </c>
      <c r="F17" s="10">
        <f>IF(25&gt;0,"Yields up -&gt; price falls","Yields down -&gt; price rises")</f>
        <v/>
      </c>
    </row>
    <row r="18">
      <c r="A18" s="8" t="inlineStr">
        <is>
          <t>+50 bps</t>
        </is>
      </c>
      <c r="B18" s="41">
        <f>YTM+0.005</f>
        <v/>
      </c>
      <c r="C18" s="28">
        <f>-ModDur*(0.005)*CleanPrice</f>
        <v/>
      </c>
      <c r="D18" s="28">
        <f>(-ModDur*(0.005)+0.5*Convexity*(0.005)^2)*CleanPrice</f>
        <v/>
      </c>
      <c r="E18" s="32">
        <f>CleanPrice+$D$18</f>
        <v/>
      </c>
      <c r="F18" s="10">
        <f>IF(50&gt;0,"Yields up -&gt; price falls","Yields down -&gt; price rises")</f>
        <v/>
      </c>
    </row>
    <row r="19">
      <c r="A19" s="8" t="inlineStr">
        <is>
          <t>+100 bps</t>
        </is>
      </c>
      <c r="B19" s="41">
        <f>YTM+0.01</f>
        <v/>
      </c>
      <c r="C19" s="28">
        <f>-ModDur*(0.01)*CleanPrice</f>
        <v/>
      </c>
      <c r="D19" s="28">
        <f>(-ModDur*(0.01)+0.5*Convexity*(0.01)^2)*CleanPrice</f>
        <v/>
      </c>
      <c r="E19" s="32">
        <f>CleanPrice+$D$19</f>
        <v/>
      </c>
      <c r="F19" s="10">
        <f>IF(100&gt;0,"Yields up -&gt; price falls","Yields down -&gt; price rises")</f>
        <v/>
      </c>
    </row>
    <row r="20">
      <c r="A20" s="3" t="inlineStr">
        <is>
          <t>Note: change applied to the clean price using modified duration and convexity. Convexity makes the gain on a rally slightly larger than the loss on an equal sell-off.</t>
        </is>
      </c>
    </row>
  </sheetData>
  <mergeCells count="8">
    <mergeCell ref="A2:F2"/>
    <mergeCell ref="A10:F10"/>
    <mergeCell ref="A1:F1"/>
    <mergeCell ref="A9:F9"/>
    <mergeCell ref="A8:F8"/>
    <mergeCell ref="A3:F3"/>
    <mergeCell ref="A20:F20"/>
    <mergeCell ref="A7:F7"/>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7.xml><?xml version="1.0" encoding="utf-8"?>
<worksheet xmlns="http://schemas.openxmlformats.org/spreadsheetml/2006/main">
  <sheetPr>
    <tabColor rgb="002E5984"/>
    <outlinePr summaryBelow="1" summaryRight="1"/>
    <pageSetUpPr fitToPage="1"/>
  </sheetPr>
  <dimension ref="A1:F25"/>
  <sheetViews>
    <sheetView showGridLines="0" workbookViewId="0">
      <pane ySplit="5" topLeftCell="A6"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s>
  <sheetData>
    <row r="1" ht="28" customHeight="1">
      <c r="A1" s="1" t="inlineStr">
        <is>
          <t>YIELD CURVE</t>
        </is>
      </c>
    </row>
    <row r="2">
      <c r="A2" s="2" t="inlineStr">
        <is>
          <t>Where this bond sits on the US Treasury curve</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14" customHeight="1">
      <c r="A8" s="7" t="inlineStr">
        <is>
          <t>WHAT THIS SHOWS:  the Treasury yield curve (yield by maturity) and where your bond sits on it.</t>
        </is>
      </c>
    </row>
    <row r="9" ht="25" customHeight="1">
      <c r="A9" s="7" t="inlineStr">
        <is>
          <t>A NORMAL curve slopes up (longer = higher yield). A FLAT curve is roughly level. An INVERTED curve slopes down (short yields above long yields) - often a recession signal.</t>
        </is>
      </c>
    </row>
    <row r="10" ht="14" customHeight="1">
      <c r="A10" s="7" t="inlineStr">
        <is>
          <t>Enter current Treasury yields in the yellow cells; the chart and the read update.</t>
        </is>
      </c>
    </row>
    <row r="13" ht="18" customHeight="1">
      <c r="A13" s="5" t="inlineStr">
        <is>
          <t>Treasury yields</t>
        </is>
      </c>
    </row>
    <row r="14">
      <c r="A14" s="26" t="inlineStr">
        <is>
          <t>Tenor</t>
        </is>
      </c>
      <c r="B14" s="27" t="inlineStr">
        <is>
          <t>Yield</t>
        </is>
      </c>
    </row>
    <row r="15">
      <c r="A15" s="8" t="inlineStr">
        <is>
          <t>3-month</t>
        </is>
      </c>
      <c r="B15" s="16" t="n">
        <v>0.0435</v>
      </c>
    </row>
    <row r="16">
      <c r="A16" s="8" t="inlineStr">
        <is>
          <t>2-year</t>
        </is>
      </c>
      <c r="B16" s="16" t="n">
        <v>0.0415</v>
      </c>
    </row>
    <row r="17">
      <c r="A17" s="8" t="inlineStr">
        <is>
          <t>5-year</t>
        </is>
      </c>
      <c r="B17" s="16" t="n">
        <v>0.042</v>
      </c>
    </row>
    <row r="18">
      <c r="A18" s="8" t="inlineStr">
        <is>
          <t>10-year</t>
        </is>
      </c>
      <c r="B18" s="16" t="n">
        <v>0.0445</v>
      </c>
    </row>
    <row r="19">
      <c r="A19" s="8" t="inlineStr">
        <is>
          <t>30-year</t>
        </is>
      </c>
      <c r="B19" s="16" t="n">
        <v>0.0465</v>
      </c>
    </row>
    <row r="21" ht="18" customHeight="1">
      <c r="A21" s="5" t="inlineStr">
        <is>
          <t>Where this bond sits</t>
        </is>
      </c>
    </row>
    <row r="22">
      <c r="A22" s="8" t="inlineStr">
        <is>
          <t>Years to maturity</t>
        </is>
      </c>
      <c r="B22" s="42">
        <f>YearsToMat</f>
        <v/>
      </c>
    </row>
    <row r="23">
      <c r="A23" s="8" t="inlineStr">
        <is>
          <t>Maturity bucket</t>
        </is>
      </c>
      <c r="B23" s="11">
        <f>IF(YearsToMat&lt;=3,"Short-term",IF(YearsToMat&lt;=10,"Intermediate-term","Long-term"))</f>
        <v/>
      </c>
      <c r="C23" s="23" t="n"/>
    </row>
    <row r="24">
      <c r="A24" s="8" t="inlineStr">
        <is>
          <t>Curve slope (10y - 2y)</t>
        </is>
      </c>
      <c r="B24" s="38">
        <f>(Y10Y-Y2Y)*10000</f>
        <v/>
      </c>
    </row>
    <row r="25">
      <c r="A25" s="8" t="inlineStr">
        <is>
          <t>Curve shape</t>
        </is>
      </c>
      <c r="B25" s="11">
        <f>IF(N(Y10Y)=0,"Enter curve yields above",IF(Y10Y-Y2Y&gt;0.001,"Normal (upward-sloping)",IF(Y10Y-Y2Y&lt;-0.001,"Inverted (downward-sloping)","Flat")))</f>
        <v/>
      </c>
      <c r="C25" s="43" t="n"/>
      <c r="D25" s="23" t="n"/>
    </row>
  </sheetData>
  <mergeCells count="11">
    <mergeCell ref="A2:F2"/>
    <mergeCell ref="A10:F10"/>
    <mergeCell ref="A13:F13"/>
    <mergeCell ref="A1:F1"/>
    <mergeCell ref="A9:F9"/>
    <mergeCell ref="A8:F8"/>
    <mergeCell ref="B23:C23"/>
    <mergeCell ref="A3:F3"/>
    <mergeCell ref="A21:F21"/>
    <mergeCell ref="B25:D25"/>
    <mergeCell ref="A7:F7"/>
  </mergeCells>
  <conditionalFormatting sqref="B25">
    <cfRule type="expression" priority="1" dxfId="0" stopIfTrue="1">
      <formula>OR(ISNUMBER(SEARCH("PASS",B25)),ISNUMBER(SEARCH("OK",B25)),ISNUMBER(SEARCH("Low",B25)),ISNUMBER(SEARCH("Normal",B25)),ISNUMBER(SEARCH("Buy",B25)),ISNUMBER(SEARCH("Short",B25)),ISNUMBER(SEARCH("Yes",B25)),ISNUMBER(SEARCH("Within",B25)))</formula>
    </cfRule>
    <cfRule type="expression" priority="2" dxfId="1" stopIfTrue="1">
      <formula>OR(ISNUMBER(SEARCH("WARNING",B25)),ISNUMBER(SEARCH("WARN",B25)),ISNUMBER(SEARCH("Medium",B25)),ISNUMBER(SEARCH("Flat",B25)),ISNUMBER(SEARCH("Hold",B25)),ISNUMBER(SEARCH("Intermediate",B25)),ISNUMBER(SEARCH("Review",B25)),ISNUMBER(SEARCH("Watch",B25)))</formula>
    </cfRule>
    <cfRule type="expression" priority="3" dxfId="2" stopIfTrue="1">
      <formula>OR(ISNUMBER(SEARCH("FAIL",B25)),ISNUMBER(SEARCH("High",B25)),ISNUMBER(SEARCH("Inverted",B25)),ISNUMBER(SEARCH("Avoid",B25)),ISNUMBER(SEARCH("Long",B25)),ISNUMBER(SEARCH("Negative",B25)),ISNUMBER(SEARCH("No",B25)))</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drawing xmlns:r="http://schemas.openxmlformats.org/officeDocument/2006/relationships" r:id="rId13"/>
</worksheet>
</file>

<file path=xl/worksheets/sheet8.xml><?xml version="1.0" encoding="utf-8"?>
<worksheet xmlns="http://schemas.openxmlformats.org/spreadsheetml/2006/main">
  <sheetPr>
    <tabColor rgb="009C6500"/>
    <outlinePr summaryBelow="1" summaryRight="1"/>
    <pageSetUpPr fitToPage="1"/>
  </sheetPr>
  <dimension ref="A1:F21"/>
  <sheetViews>
    <sheetView showGridLines="0" workbookViewId="0">
      <pane ySplit="5" topLeftCell="A6" activePane="bottomLeft" state="frozen"/>
      <selection pane="bottomLeft" activeCell="A1" sqref="A1"/>
    </sheetView>
  </sheetViews>
  <sheetFormatPr baseColWidth="8" defaultRowHeight="15"/>
  <cols>
    <col width="22" customWidth="1" min="1" max="1"/>
    <col width="60" customWidth="1" min="2" max="2"/>
    <col width="12" customWidth="1" min="3" max="3"/>
    <col width="44" customWidth="1" min="4" max="4"/>
  </cols>
  <sheetData>
    <row r="1" ht="28" customHeight="1">
      <c r="A1" s="1" t="inlineStr">
        <is>
          <t>RISK SUMMARY</t>
        </is>
      </c>
    </row>
    <row r="2">
      <c r="A2" s="2" t="inlineStr">
        <is>
          <t>The main risks of holding a US Treasury bond</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For a US Treasury, the main risks are INTEREST-RATE and INFLATION risk - not credit risk. The US government's own securities are treated as the risk-free benchmark, so default/credit risk is not the focus.</t>
        </is>
      </c>
    </row>
    <row r="9" ht="14" customHeight="1">
      <c r="A9" s="7" t="inlineStr">
        <is>
          <t>Set each risk to Low / Medium / High (drop-down) and add a short comment. The sample text is a starting point.</t>
        </is>
      </c>
    </row>
    <row r="12" ht="18" customHeight="1">
      <c r="A12" s="27" t="inlineStr">
        <is>
          <t>Risk</t>
        </is>
      </c>
      <c r="B12" s="26" t="inlineStr">
        <is>
          <t>Description</t>
        </is>
      </c>
      <c r="C12" s="27" t="inlineStr">
        <is>
          <t>Assessment</t>
        </is>
      </c>
      <c r="D12" s="27" t="inlineStr">
        <is>
          <t>Analyst comment</t>
        </is>
      </c>
    </row>
    <row r="13" ht="30" customHeight="1">
      <c r="A13" s="8" t="inlineStr">
        <is>
          <t>Interest-rate risk</t>
        </is>
      </c>
      <c r="B13" s="12" t="inlineStr">
        <is>
          <t>Price falls when market yields rise. This is the MAIN risk for a US Treasury.</t>
        </is>
      </c>
      <c r="C13" s="9" t="inlineStr">
        <is>
          <t>Medium</t>
        </is>
      </c>
      <c r="D13" s="13" t="inlineStr">
        <is>
          <t>~7.4y modified duration; a 1% rate rise cuts the price ~7%.</t>
        </is>
      </c>
    </row>
    <row r="14" ht="30" customHeight="1">
      <c r="A14" s="8" t="inlineStr">
        <is>
          <t>Duration risk</t>
        </is>
      </c>
      <c r="B14" s="12" t="inlineStr">
        <is>
          <t>Longer duration means bigger price swings for a given yield move.</t>
        </is>
      </c>
      <c r="C14" s="9" t="inlineStr">
        <is>
          <t>Medium</t>
        </is>
      </c>
      <c r="D14" s="13" t="inlineStr">
        <is>
          <t>Intermediate maturity - meaningful price sensitivity to yields.</t>
        </is>
      </c>
    </row>
    <row r="15" ht="30" customHeight="1">
      <c r="A15" s="8" t="inlineStr">
        <is>
          <t>Reinvestment risk</t>
        </is>
      </c>
      <c r="B15" s="12" t="inlineStr">
        <is>
          <t>Coupons (and principal at maturity) may have to be reinvested at lower rates.</t>
        </is>
      </c>
      <c r="C15" s="9" t="inlineStr">
        <is>
          <t>Medium</t>
        </is>
      </c>
      <c r="D15" s="13" t="inlineStr">
        <is>
          <t>Semiannual coupons must be reinvested, possibly at lower rates.</t>
        </is>
      </c>
    </row>
    <row r="16" ht="30" customHeight="1">
      <c r="A16" s="8" t="inlineStr">
        <is>
          <t>Inflation risk</t>
        </is>
      </c>
      <c r="B16" s="12" t="inlineStr">
        <is>
          <t>Fixed nominal coupons lose purchasing power if inflation rises.</t>
        </is>
      </c>
      <c r="C16" s="9" t="inlineStr">
        <is>
          <t>Medium</t>
        </is>
      </c>
      <c r="D16" s="13" t="inlineStr">
        <is>
          <t>Fixed coupons lose real value if inflation rises (nominal Treasury).</t>
        </is>
      </c>
    </row>
    <row r="17" ht="30" customHeight="1">
      <c r="A17" s="8" t="inlineStr">
        <is>
          <t>Opportunity cost risk</t>
        </is>
      </c>
      <c r="B17" s="12" t="inlineStr">
        <is>
          <t>Locking in today's yield; if yields rise later you miss the higher income.</t>
        </is>
      </c>
      <c r="C17" s="9" t="inlineStr">
        <is>
          <t>Medium</t>
        </is>
      </c>
      <c r="D17" s="13" t="inlineStr">
        <is>
          <t>If yields rise you are locked into a lower coupon.</t>
        </is>
      </c>
    </row>
    <row r="18" ht="30" customHeight="1">
      <c r="A18" s="8" t="inlineStr">
        <is>
          <t>Liquidity risk</t>
        </is>
      </c>
      <c r="B18" s="12" t="inlineStr">
        <is>
          <t>Ability to sell quickly at a fair price. Treasuries are highly liquid, so usually low.</t>
        </is>
      </c>
      <c r="C18" s="9" t="inlineStr">
        <is>
          <t>Low</t>
        </is>
      </c>
      <c r="D18" s="13" t="inlineStr">
        <is>
          <t>US Treasuries are among the most liquid securities in the world.</t>
        </is>
      </c>
    </row>
    <row r="19" ht="30" customHeight="1">
      <c r="A19" s="8" t="inlineStr">
        <is>
          <t>Curve risk</t>
        </is>
      </c>
      <c r="B19" s="12" t="inlineStr">
        <is>
          <t>Value depends on the shape and shifts of the yield curve at this maturity.</t>
        </is>
      </c>
      <c r="C19" s="9" t="inlineStr">
        <is>
          <t>Low</t>
        </is>
      </c>
      <c r="D19" s="13" t="inlineStr">
        <is>
          <t>Value depends on the part of the curve this maturity sits on.</t>
        </is>
      </c>
    </row>
    <row r="21">
      <c r="A21" s="3" t="inlineStr">
        <is>
          <t>Note: credit risk is not a major section for US Treasuries - it is the benchmark against which other bonds' credit risk is measured.</t>
        </is>
      </c>
    </row>
  </sheetData>
  <mergeCells count="7">
    <mergeCell ref="A1:D1"/>
    <mergeCell ref="A9:D9"/>
    <mergeCell ref="A8:D8"/>
    <mergeCell ref="A3:D3"/>
    <mergeCell ref="A21:D21"/>
    <mergeCell ref="A7:D7"/>
    <mergeCell ref="A2:D2"/>
  </mergeCells>
  <conditionalFormatting sqref="C13:C19">
    <cfRule type="expression" priority="1" dxfId="0" stopIfTrue="1">
      <formula>OR(ISNUMBER(SEARCH("PASS",C13)),ISNUMBER(SEARCH("OK",C13)),ISNUMBER(SEARCH("Low",C13)),ISNUMBER(SEARCH("Normal",C13)),ISNUMBER(SEARCH("Buy",C13)),ISNUMBER(SEARCH("Short",C13)),ISNUMBER(SEARCH("Yes",C13)),ISNUMBER(SEARCH("Within",C13)))</formula>
    </cfRule>
    <cfRule type="expression" priority="2" dxfId="1" stopIfTrue="1">
      <formula>OR(ISNUMBER(SEARCH("WARNING",C13)),ISNUMBER(SEARCH("WARN",C13)),ISNUMBER(SEARCH("Medium",C13)),ISNUMBER(SEARCH("Flat",C13)),ISNUMBER(SEARCH("Hold",C13)),ISNUMBER(SEARCH("Intermediate",C13)),ISNUMBER(SEARCH("Review",C13)),ISNUMBER(SEARCH("Watch",C13)))</formula>
    </cfRule>
    <cfRule type="expression" priority="3" dxfId="2" stopIfTrue="1">
      <formula>OR(ISNUMBER(SEARCH("FAIL",C13)),ISNUMBER(SEARCH("High",C13)),ISNUMBER(SEARCH("Inverted",C13)),ISNUMBER(SEARCH("Avoid",C13)),ISNUMBER(SEARCH("Long",C13)),ISNUMBER(SEARCH("Negative",C13)),ISNUMBER(SEARCH("No",C13)))</formula>
    </cfRule>
  </conditionalFormatting>
  <dataValidations count="7">
    <dataValidation sqref="C13" showDropDown="0" showInputMessage="0" showErrorMessage="1" allowBlank="1" type="list">
      <formula1>"Low,Medium,High"</formula1>
    </dataValidation>
    <dataValidation sqref="C14" showDropDown="0" showInputMessage="0" showErrorMessage="1" allowBlank="1" type="list">
      <formula1>"Low,Medium,High"</formula1>
    </dataValidation>
    <dataValidation sqref="C15" showDropDown="0" showInputMessage="0" showErrorMessage="1" allowBlank="1" type="list">
      <formula1>"Low,Medium,High"</formula1>
    </dataValidation>
    <dataValidation sqref="C16" showDropDown="0" showInputMessage="0" showErrorMessage="1" allowBlank="1" type="list">
      <formula1>"Low,Medium,High"</formula1>
    </dataValidation>
    <dataValidation sqref="C17" showDropDown="0" showInputMessage="0" showErrorMessage="1" allowBlank="1" type="list">
      <formula1>"Low,Medium,High"</formula1>
    </dataValidation>
    <dataValidation sqref="C18" showDropDown="0" showInputMessage="0" showErrorMessage="1" allowBlank="1" type="list">
      <formula1>"Low,Medium,High"</formula1>
    </dataValidation>
    <dataValidation sqref="C19" showDropDown="0" showInputMessage="0" showErrorMessage="1" allowBlank="1" type="list">
      <formula1>"Low,Medium,High"</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9.xml><?xml version="1.0" encoding="utf-8"?>
<worksheet xmlns="http://schemas.openxmlformats.org/spreadsheetml/2006/main">
  <sheetPr>
    <tabColor rgb="001F3A5F"/>
    <outlinePr summaryBelow="1" summaryRight="1"/>
    <pageSetUpPr fitToPage="1"/>
  </sheetPr>
  <dimension ref="A1:F57"/>
  <sheetViews>
    <sheetView showGridLines="0" workbookViewId="0">
      <pane ySplit="5" topLeftCell="A6" activePane="bottomLeft" state="frozen"/>
      <selection pane="bottomLeft" activeCell="A1" sqref="A1"/>
    </sheetView>
  </sheetViews>
  <sheetFormatPr baseColWidth="8" defaultRowHeight="15"/>
  <cols>
    <col width="22" customWidth="1" min="1" max="1"/>
    <col width="14" customWidth="1" min="2" max="2"/>
    <col width="8" customWidth="1" min="3" max="3"/>
    <col width="16" customWidth="1" min="4" max="4"/>
    <col width="14" customWidth="1" min="5" max="5"/>
    <col width="12" customWidth="1" min="6" max="6"/>
  </cols>
  <sheetData>
    <row r="1" ht="28" customHeight="1">
      <c r="A1" s="1" t="inlineStr">
        <is>
          <t>RECOMMENDATION</t>
        </is>
      </c>
    </row>
    <row r="2">
      <c r="A2" s="2" t="inlineStr">
        <is>
          <t>One-page US Treasury summary and analyst view</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A one-page summary of price, yield, duration and curve context, plus a simple Investment Attractiveness View. The hints and score are automatic; the final views (Buy/Hold/Avoid and Attractive/Neutral/Not Attractive) are yours to set.</t>
        </is>
      </c>
    </row>
    <row r="11">
      <c r="A11" s="8" t="inlineStr">
        <is>
          <t>Recommendation (Buy/Hold/Avoid)</t>
        </is>
      </c>
      <c r="C11" s="9" t="inlineStr">
        <is>
          <t>Hold</t>
        </is>
      </c>
      <c r="D11" s="14" t="n"/>
      <c r="E11" s="12" t="inlineStr">
        <is>
          <t>Your trading call - manual.</t>
        </is>
      </c>
    </row>
    <row r="13" ht="18" customHeight="1">
      <c r="A13" s="5" t="inlineStr">
        <is>
          <t>Security &amp; pricing</t>
        </is>
      </c>
      <c r="D13" s="5" t="inlineStr">
        <is>
          <t>Risk &amp; curve</t>
        </is>
      </c>
    </row>
    <row r="14">
      <c r="A14" s="8" t="inlineStr">
        <is>
          <t>Security</t>
        </is>
      </c>
      <c r="B14" s="44">
        <f>SecName</f>
        <v/>
      </c>
      <c r="D14" s="8" t="inlineStr">
        <is>
          <t>Macaulay duration</t>
        </is>
      </c>
      <c r="E14" s="42">
        <f>MacDur</f>
        <v/>
      </c>
    </row>
    <row r="15">
      <c r="A15" s="8" t="inlineStr">
        <is>
          <t>Type</t>
        </is>
      </c>
      <c r="B15" s="44">
        <f>SecType</f>
        <v/>
      </c>
      <c r="D15" s="8" t="inlineStr">
        <is>
          <t>Modified duration</t>
        </is>
      </c>
      <c r="E15" s="39">
        <f>ModDur</f>
        <v/>
      </c>
    </row>
    <row r="16">
      <c r="A16" s="8" t="inlineStr">
        <is>
          <t>Maturity</t>
        </is>
      </c>
      <c r="B16" s="45">
        <f>Maturity</f>
        <v/>
      </c>
      <c r="D16" s="8" t="inlineStr">
        <is>
          <t>Convexity</t>
        </is>
      </c>
      <c r="E16" s="39">
        <f>Convexity</f>
        <v/>
      </c>
    </row>
    <row r="17">
      <c r="A17" s="8" t="inlineStr">
        <is>
          <t>Coupon</t>
        </is>
      </c>
      <c r="B17" s="46">
        <f>CouponRate</f>
        <v/>
      </c>
      <c r="D17" s="8" t="inlineStr">
        <is>
          <t>DV01 (per 100)</t>
        </is>
      </c>
      <c r="E17" s="47">
        <f>DV01</f>
        <v/>
      </c>
    </row>
    <row r="18">
      <c r="A18" s="8" t="inlineStr">
        <is>
          <t>Clean price</t>
        </is>
      </c>
      <c r="B18" s="35">
        <f>MktClean</f>
        <v/>
      </c>
      <c r="D18" s="8" t="inlineStr">
        <is>
          <t>Price if +100 bps</t>
        </is>
      </c>
      <c r="E18" s="35">
        <f>(-ModDur*0.01+0.5*Convexity*0.01^2)*CleanPrice</f>
        <v/>
      </c>
    </row>
    <row r="19">
      <c r="A19" s="8" t="inlineStr">
        <is>
          <t>Dirty price</t>
        </is>
      </c>
      <c r="B19" s="35">
        <f>Dirty</f>
        <v/>
      </c>
      <c r="D19" s="8" t="inlineStr">
        <is>
          <t>Maturity bucket</t>
        </is>
      </c>
      <c r="E19" s="44">
        <f>IF(YearsToMat&lt;=3,"Short-term",IF(YearsToMat&lt;=10,"Intermediate-term","Long-term"))</f>
        <v/>
      </c>
    </row>
    <row r="20">
      <c r="A20" s="8" t="inlineStr">
        <is>
          <t>Yield to maturity</t>
        </is>
      </c>
      <c r="B20" s="48">
        <f>YTM</f>
        <v/>
      </c>
      <c r="D20" s="8" t="inlineStr">
        <is>
          <t>Curve slope 10y-2y</t>
        </is>
      </c>
      <c r="E20" s="49">
        <f>(Y10Y-Y2Y)*10000</f>
        <v/>
      </c>
    </row>
    <row r="21">
      <c r="A21" s="8" t="inlineStr">
        <is>
          <t>Current yield</t>
        </is>
      </c>
      <c r="B21" s="46">
        <f>CurrentYield</f>
        <v/>
      </c>
      <c r="D21" s="8" t="inlineStr">
        <is>
          <t>Spread (bps)</t>
        </is>
      </c>
      <c r="E21" s="49">
        <f>SpreadBps</f>
        <v/>
      </c>
    </row>
    <row r="23" ht="18" customHeight="1">
      <c r="A23" s="5" t="inlineStr">
        <is>
          <t>Automatic interpretation (hints)</t>
        </is>
      </c>
    </row>
    <row r="24">
      <c r="A24" s="10">
        <f>IF(ModDur&lt;3,"Rate sensitivity: LOW (short duration) - little price risk if yields move.",IF(ModDur&lt;8,"Rate sensitivity: MODERATE (intermediate duration).","Rate sensitivity: HIGH (long duration) - big price moves if yields change."))</f>
        <v/>
      </c>
    </row>
    <row r="25">
      <c r="A25" s="10">
        <f>IF(IsZero=1,"Treasury Bill: low duration and high liquidity - good for parking cash.",IF(MktClean&gt;Face,"Priced at a premium (coupon above current yields).",IF(MktClean&lt;Face,"Priced at a discount (coupon below current yields).","Priced near par.")))</f>
        <v/>
      </c>
    </row>
    <row r="27" ht="18" customHeight="1">
      <c r="A27" s="5" t="inlineStr">
        <is>
          <t>INVESTMENT ATTRACTIVENESS VIEW</t>
        </is>
      </c>
    </row>
    <row r="28" ht="16" customHeight="1">
      <c r="A28" s="6" t="inlineStr">
        <is>
          <t>What this view is (and is not)</t>
        </is>
      </c>
    </row>
    <row r="29" ht="37" customHeight="1">
      <c r="A29" s="7" t="inlineStr">
        <is>
          <t>Is this bond a good investment? This is a SIMPLE, transparent score based only on the bond's yield, duration/rate risk, price sensitivity, curve context and the fact that it is a liquid Treasury. It cannot know your personal situation - use it as a starting point, not an answer.</t>
        </is>
      </c>
    </row>
    <row r="31">
      <c r="A31" s="26" t="inlineStr">
        <is>
          <t>Category</t>
        </is>
      </c>
      <c r="B31" s="27" t="inlineStr">
        <is>
          <t>Score</t>
        </is>
      </c>
      <c r="C31" s="27" t="inlineStr">
        <is>
          <t>Max</t>
        </is>
      </c>
      <c r="D31" s="26" t="inlineStr">
        <is>
          <t>How it is scored</t>
        </is>
      </c>
    </row>
    <row r="32">
      <c r="A32" s="8" t="inlineStr">
        <is>
          <t>Yield attractiveness</t>
        </is>
      </c>
      <c r="B32" s="19">
        <f>IF(YTM&gt;=0.045,3,IF(YTM&gt;=0.035,2,IF(YTM&gt;=0.025,1,0)))</f>
        <v/>
      </c>
      <c r="C32" s="12" t="inlineStr">
        <is>
          <t>/ 3</t>
        </is>
      </c>
      <c r="D32" s="12" t="inlineStr">
        <is>
          <t>3 if YTM &gt;= 4.5%, 2 if &gt;= 3.5%, 1 if &gt;= 2.5%, else 0 (higher yield = more income).</t>
        </is>
      </c>
    </row>
    <row r="33">
      <c r="A33" s="8" t="inlineStr">
        <is>
          <t>Duration / rate risk</t>
        </is>
      </c>
      <c r="B33" s="19">
        <f>IF(ModDur&lt;=3,3,IF(ModDur&lt;=7,2,IF(ModDur&lt;=12,1,0)))</f>
        <v/>
      </c>
      <c r="C33" s="12" t="inlineStr">
        <is>
          <t>/ 3</t>
        </is>
      </c>
      <c r="D33" s="12" t="inlineStr">
        <is>
          <t>Lower duration scores higher (less rate risk): 3 if &lt;= 3, 2 if &lt;= 7, 1 if &lt;= 12, else 0.</t>
        </is>
      </c>
    </row>
    <row r="34">
      <c r="A34" s="8" t="inlineStr">
        <is>
          <t>Price sensitivity (DV01)</t>
        </is>
      </c>
      <c r="B34" s="19">
        <f>IF(DV01&lt;=0.03,2,IF(DV01&lt;=0.08,1,0))</f>
        <v/>
      </c>
      <c r="C34" s="12" t="inlineStr">
        <is>
          <t>/ 2</t>
        </is>
      </c>
      <c r="D34" s="12" t="inlineStr">
        <is>
          <t>Lower DV01 = smaller price move per 1 bp: 2 if &lt;= 0.03, 1 if &lt;= 0.08, else 0.</t>
        </is>
      </c>
    </row>
    <row r="35">
      <c r="A35" s="8" t="inlineStr">
        <is>
          <t>Yield curve context</t>
        </is>
      </c>
      <c r="B35" s="19">
        <f>IF(N(Y10Y)=0,0,IF(Y10Y&gt;Y2Y,1,0))</f>
        <v/>
      </c>
      <c r="C35" s="12" t="inlineStr">
        <is>
          <t>/ 1</t>
        </is>
      </c>
      <c r="D35" s="12" t="inlineStr">
        <is>
          <t>1 if the curve is normal/upward (positive roll-down); 0 if flat/inverted or no curve entered.</t>
        </is>
      </c>
    </row>
    <row r="36">
      <c r="A36" s="8" t="inlineStr">
        <is>
          <t>Liquidity / simplicity</t>
        </is>
      </c>
      <c r="B36" s="19">
        <f>1</f>
        <v/>
      </c>
      <c r="C36" s="12" t="inlineStr">
        <is>
          <t>/ 1</t>
        </is>
      </c>
      <c r="D36" s="12" t="inlineStr">
        <is>
          <t>US Treasuries are highly liquid and simple, so this scores 1.</t>
        </is>
      </c>
    </row>
    <row r="37">
      <c r="A37" s="30" t="inlineStr">
        <is>
          <t>TOTAL SCORE</t>
        </is>
      </c>
      <c r="B37" s="50">
        <f>SUM(B32:B36)</f>
        <v/>
      </c>
      <c r="C37" s="51" t="inlineStr">
        <is>
          <t>/ 10</t>
        </is>
      </c>
      <c r="D37" s="12" t="inlineStr">
        <is>
          <t>8-10 = Attractive,  5-7 = Neutral,  0-4 = Not Attractive.</t>
        </is>
      </c>
    </row>
    <row r="39">
      <c r="A39" s="8" t="inlineStr">
        <is>
          <t>Model suggests</t>
        </is>
      </c>
      <c r="B39" s="52">
        <f>IF(AttractScore&gt;=8,"Attractive",IF(AttractScore&gt;=5,"Neutral","Not Attractive"))</f>
        <v/>
      </c>
      <c r="C39" s="53" t="n"/>
      <c r="D39" s="10">
        <f>"Score "&amp;AttractScore&amp;" / 10"</f>
        <v/>
      </c>
    </row>
    <row r="40" ht="26" customHeight="1">
      <c r="A40" s="8" t="inlineStr">
        <is>
          <t>Main reason</t>
        </is>
      </c>
      <c r="B40" s="10">
        <f>IF(AttractScore&gt;=8,"Attractive because the yield is reasonable and the rate risk is manageable.",IF(AttractScore&gt;=5,IF(ModDur&gt;7,"Neutral because the yield is acceptable, but price sensitivity to rates is high.","Neutral because the yield and the rate risk are broadly balanced."),"Not attractive because the yield does not compensate enough for the duration / rate risk."))</f>
        <v/>
      </c>
    </row>
    <row r="41" ht="24" customHeight="1">
      <c r="A41" s="8" t="inlineStr">
        <is>
          <t>Key supporting factor</t>
        </is>
      </c>
      <c r="B41" s="10">
        <f>IF(YTM&gt;=0.04,"Yield of "&amp;TEXT(YTM,"0.00%")&amp;" gives reasonable income for a government bond.",IF(ModDur&lt;=3,"Low rate risk - modified duration is only "&amp;TEXT(ModDur,"0.0")&amp;".","Highly liquid, simple, default-free US Treasury exposure."))</f>
        <v/>
      </c>
    </row>
    <row r="42" ht="24" customHeight="1">
      <c r="A42" s="8" t="inlineStr">
        <is>
          <t>Key risk</t>
        </is>
      </c>
      <c r="B42" s="10">
        <f>IF(ModDur&gt;7,"High duration ("&amp;TEXT(ModDur,"0.0")&amp;") - the price falls a lot if yields rise.",IF(YTM&lt;0.03,"Low yield - limited income for the interest-rate risk taken.",IF(AND(N(Y10Y)&gt;0,Y10Y&lt;Y2Y),"Inverted curve - a possible macro / recession signal.","Interest-rate risk - the price moves opposite to yields.")))</f>
        <v/>
      </c>
    </row>
    <row r="44" ht="18" customHeight="1">
      <c r="A44" s="5" t="inlineStr">
        <is>
          <t>Your rate outlook (optional)</t>
        </is>
      </c>
    </row>
    <row r="45">
      <c r="A45" s="8" t="inlineStr">
        <is>
          <t>Rate outlook</t>
        </is>
      </c>
      <c r="C45" s="13" t="inlineStr">
        <is>
          <t>Expect yields to stay stable</t>
        </is>
      </c>
      <c r="D45" s="54" t="n"/>
      <c r="E45" s="54" t="n"/>
      <c r="F45" s="14" t="n"/>
    </row>
    <row r="46" ht="26" customHeight="1">
      <c r="A46" s="8" t="inlineStr">
        <is>
          <t>What that implies</t>
        </is>
      </c>
      <c r="B46" s="10">
        <f>IF(RateOutlook="Expect yields to rise","If yields rise, SHORTER-duration bonds are usually more attractive (less price loss). This bond has a modified duration of "&amp;TEXT(ModDur,"0.0")&amp;".",IF(RateOutlook="Expect yields to fall","If yields fall, LONGER-duration bonds usually gain more. This bond has a modified duration of "&amp;TEXT(ModDur,"0.0")&amp;".","If yields stay stable, the yield you earn (carry) matters most. This bond has a YTM of "&amp;TEXT(YTM,"0.00%")&amp;"."))</f>
        <v/>
      </c>
    </row>
    <row r="48" ht="18" customHeight="1">
      <c r="A48" s="5" t="inlineStr">
        <is>
          <t>Analyst override &amp; final view</t>
        </is>
      </c>
    </row>
    <row r="49">
      <c r="A49" s="8" t="inlineStr">
        <is>
          <t>Analyst override</t>
        </is>
      </c>
      <c r="C49" s="13" t="inlineStr">
        <is>
          <t>Use model view</t>
        </is>
      </c>
      <c r="D49" s="14" t="n"/>
      <c r="E49" s="12" t="inlineStr">
        <is>
          <t>Override the model if you disagree.</t>
        </is>
      </c>
    </row>
    <row r="50">
      <c r="A50" s="8" t="inlineStr">
        <is>
          <t>Final investment view</t>
        </is>
      </c>
      <c r="B50" s="52">
        <f>IF(AnalystOverride="Use model view",ModelView,AnalystOverride)</f>
        <v/>
      </c>
      <c r="C50" s="53" t="n"/>
    </row>
    <row r="52" ht="20" customHeight="1">
      <c r="A52" s="8" t="inlineStr">
        <is>
          <t>Final output</t>
        </is>
      </c>
      <c r="B52" s="11">
        <f>"Based on this simple framework, this bond currently appears: "&amp;ModelView&amp;"."</f>
        <v/>
      </c>
      <c r="C52" s="43" t="n"/>
      <c r="D52" s="43" t="n"/>
      <c r="E52" s="43" t="n"/>
      <c r="F52" s="23" t="n"/>
    </row>
    <row r="54" ht="28" customHeight="1">
      <c r="A54" s="8" t="inlineStr">
        <is>
          <t>Final analyst comment</t>
        </is>
      </c>
      <c r="B54" s="13" t="inlineStr"/>
      <c r="C54" s="54" t="n"/>
      <c r="D54" s="54" t="n"/>
      <c r="E54" s="54" t="n"/>
      <c r="F54" s="14" t="n"/>
    </row>
    <row r="56" ht="16" customHeight="1">
      <c r="A56" s="6" t="inlineStr">
        <is>
          <t>Important</t>
        </is>
      </c>
    </row>
    <row r="57" ht="37" customHeight="1">
      <c r="A57" s="7" t="inlineStr">
        <is>
          <t>This is not a guaranteed investment recommendation. It is a structured view based on the bond's yield, duration, price sensitivity, and market-rate assumptions. A bond may be attractive for one investor and unsuitable for another depending on investment horizon, liquidity needs, and rate outlook.</t>
        </is>
      </c>
    </row>
  </sheetData>
  <mergeCells count="37">
    <mergeCell ref="D13:F13"/>
    <mergeCell ref="B54:F54"/>
    <mergeCell ref="D32:F32"/>
    <mergeCell ref="A27:F27"/>
    <mergeCell ref="B46:F46"/>
    <mergeCell ref="A56:F56"/>
    <mergeCell ref="A3:F3"/>
    <mergeCell ref="B52:F52"/>
    <mergeCell ref="B39:C39"/>
    <mergeCell ref="A2:F2"/>
    <mergeCell ref="A57:F57"/>
    <mergeCell ref="D37:F37"/>
    <mergeCell ref="B42:F42"/>
    <mergeCell ref="A23:F23"/>
    <mergeCell ref="A8:F8"/>
    <mergeCell ref="D39:F39"/>
    <mergeCell ref="D33:F33"/>
    <mergeCell ref="A29:F29"/>
    <mergeCell ref="C49:D49"/>
    <mergeCell ref="A13:C13"/>
    <mergeCell ref="A28:F28"/>
    <mergeCell ref="C45:F45"/>
    <mergeCell ref="A44:F44"/>
    <mergeCell ref="C11:D11"/>
    <mergeCell ref="E11:F11"/>
    <mergeCell ref="E49:F49"/>
    <mergeCell ref="D35:F35"/>
    <mergeCell ref="A48:F48"/>
    <mergeCell ref="B40:F40"/>
    <mergeCell ref="D34:F34"/>
    <mergeCell ref="A24:F24"/>
    <mergeCell ref="A1:F1"/>
    <mergeCell ref="D36:F36"/>
    <mergeCell ref="B50:C50"/>
    <mergeCell ref="B41:F41"/>
    <mergeCell ref="A7:F7"/>
    <mergeCell ref="A25:F25"/>
  </mergeCells>
  <conditionalFormatting sqref="B39">
    <cfRule type="cellIs" priority="1" operator="equal" dxfId="0">
      <formula>"Attractive"</formula>
    </cfRule>
    <cfRule type="cellIs" priority="2" operator="equal" dxfId="1">
      <formula>"Neutral"</formula>
    </cfRule>
    <cfRule type="cellIs" priority="3" operator="equal" dxfId="2">
      <formula>"Not Attractive"</formula>
    </cfRule>
  </conditionalFormatting>
  <conditionalFormatting sqref="B50">
    <cfRule type="cellIs" priority="4" operator="equal" dxfId="0">
      <formula>"Attractive"</formula>
    </cfRule>
    <cfRule type="cellIs" priority="5" operator="equal" dxfId="1">
      <formula>"Neutral"</formula>
    </cfRule>
    <cfRule type="cellIs" priority="6" operator="equal" dxfId="2">
      <formula>"Not Attractive"</formula>
    </cfRule>
  </conditionalFormatting>
  <dataValidations count="3">
    <dataValidation sqref="C11" showDropDown="0" showInputMessage="0" showErrorMessage="1" allowBlank="1" type="list">
      <formula1>"Buy,Hold,Avoid"</formula1>
    </dataValidation>
    <dataValidation sqref="C45" showDropDown="0" showInputMessage="0" showErrorMessage="1" allowBlank="1" type="list">
      <formula1>"Expect yields to rise,Expect yields to fall,Expect yields to stay stable"</formula1>
    </dataValidation>
    <dataValidation sqref="C49" showDropDown="0" showInputMessage="0" showErrorMessage="1" allowBlank="1" type="list">
      <formula1>"Use model view,Attractive,Neutral,Not Attractive"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0.xml><?xml version="1.0" encoding="utf-8"?>
<worksheet xmlns="http://schemas.openxmlformats.org/spreadsheetml/2006/main">
  <sheetPr>
    <tabColor rgb="006B7986"/>
    <outlinePr summaryBelow="1" summaryRight="1"/>
    <pageSetUpPr fitToPage="1"/>
  </sheetPr>
  <dimension ref="A1:J135"/>
  <sheetViews>
    <sheetView showGridLines="0" workbookViewId="0">
      <pane ySplit="5" topLeftCell="A6"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8" customHeight="1">
      <c r="A1" s="1" t="inlineStr">
        <is>
          <t>FORMULA &amp; CONCEPT EXPLANATIONS</t>
        </is>
      </c>
    </row>
    <row r="2">
      <c r="A2" s="2" t="inlineStr">
        <is>
          <t>Every key idea in plain English - for a beginner bond analyst</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Read this once and you can understand every number in the workbook. For each concept you get the formula, a simple explanation, why a US Treasury analyst cares, how to read it, and a quick example.</t>
        </is>
      </c>
    </row>
    <row r="11" ht="18" customHeight="1">
      <c r="A11" s="5" t="inlineStr">
        <is>
          <t>Clean price</t>
        </is>
      </c>
    </row>
    <row r="12" ht="15" customHeight="1">
      <c r="A12" s="55" t="inlineStr">
        <is>
          <t>Formula</t>
        </is>
      </c>
      <c r="B12" s="10" t="inlineStr">
        <is>
          <t>The quoted market price (per 100 face)</t>
        </is>
      </c>
    </row>
    <row r="13" ht="25" customHeight="1">
      <c r="A13" s="55" t="inlineStr">
        <is>
          <t>In plain English</t>
        </is>
      </c>
      <c r="B13" s="12" t="inlineStr">
        <is>
          <t>Clean price is the quoted market price of the bond. It does not include the interest that has built up since the last coupon.</t>
        </is>
      </c>
    </row>
    <row r="14" ht="15" customHeight="1">
      <c r="A14" s="55" t="inlineStr">
        <is>
          <t>Why it matters</t>
        </is>
      </c>
      <c r="B14" s="12" t="inlineStr">
        <is>
          <t>It is what you compare across bonds and what screens and brokers show.</t>
        </is>
      </c>
    </row>
    <row r="15" ht="15" customHeight="1">
      <c r="A15" s="55" t="inlineStr">
        <is>
          <t>How to interpret</t>
        </is>
      </c>
      <c r="B15" s="12" t="inlineStr">
        <is>
          <t>Above 100 = premium, below 100 = discount.</t>
        </is>
      </c>
    </row>
    <row r="16" ht="15" customHeight="1">
      <c r="A16" s="55" t="inlineStr">
        <is>
          <t>Example</t>
        </is>
      </c>
      <c r="B16" s="12" t="inlineStr">
        <is>
          <t>A note quoted at 96.50 has a clean price of 96.50 per 100 of face value.</t>
        </is>
      </c>
    </row>
    <row r="18" ht="18" customHeight="1">
      <c r="A18" s="5" t="inlineStr">
        <is>
          <t>Dirty price</t>
        </is>
      </c>
    </row>
    <row r="19" ht="15" customHeight="1">
      <c r="A19" s="55" t="inlineStr">
        <is>
          <t>Formula</t>
        </is>
      </c>
      <c r="B19" s="10" t="inlineStr">
        <is>
          <t>Dirty price = clean price + accrued interest</t>
        </is>
      </c>
    </row>
    <row r="20" ht="25" customHeight="1">
      <c r="A20" s="55" t="inlineStr">
        <is>
          <t>In plain English</t>
        </is>
      </c>
      <c r="B20" s="12" t="inlineStr">
        <is>
          <t>Dirty price is the actual amount the buyer pays, because it includes the accrued interest owed to the seller.</t>
        </is>
      </c>
    </row>
    <row r="21" ht="15" customHeight="1">
      <c r="A21" s="55" t="inlineStr">
        <is>
          <t>Why it matters</t>
        </is>
      </c>
      <c r="B21" s="12" t="inlineStr">
        <is>
          <t>It is the real cash cost of buying the bond - the amount that changes hands on settlement.</t>
        </is>
      </c>
    </row>
    <row r="22" ht="25" customHeight="1">
      <c r="A22" s="55" t="inlineStr">
        <is>
          <t>How to interpret</t>
        </is>
      </c>
      <c r="B22" s="12" t="inlineStr">
        <is>
          <t>Always a bit higher than the clean price between coupon dates (equal to it right after a coupon).</t>
        </is>
      </c>
    </row>
    <row r="23" ht="15" customHeight="1">
      <c r="A23" s="55" t="inlineStr">
        <is>
          <t>Example</t>
        </is>
      </c>
      <c r="B23" s="12" t="inlineStr">
        <is>
          <t>Clean 96.50 + accrued 0.36 = dirty 96.86 - you pay 96.86.</t>
        </is>
      </c>
    </row>
    <row r="25" ht="18" customHeight="1">
      <c r="A25" s="5" t="inlineStr">
        <is>
          <t>Accrued interest</t>
        </is>
      </c>
    </row>
    <row r="26" ht="15" customHeight="1">
      <c r="A26" s="55" t="inlineStr">
        <is>
          <t>Formula</t>
        </is>
      </c>
      <c r="B26" s="10" t="inlineStr">
        <is>
          <t>(days since last coupon / days in period) x periodic coupon</t>
        </is>
      </c>
    </row>
    <row r="27" ht="25" customHeight="1">
      <c r="A27" s="55" t="inlineStr">
        <is>
          <t>In plain English</t>
        </is>
      </c>
      <c r="B27" s="12" t="inlineStr">
        <is>
          <t>Accrued interest is the slice of the next coupon that the seller has already earned by holding the bond, and which you reimburse when you buy.</t>
        </is>
      </c>
    </row>
    <row r="28" ht="25" customHeight="1">
      <c r="A28" s="55" t="inlineStr">
        <is>
          <t>Why it matters</t>
        </is>
      </c>
      <c r="B28" s="12" t="inlineStr">
        <is>
          <t>It explains why you pay more than the quoted price, and it is zero for a Treasury Bill (no coupons).</t>
        </is>
      </c>
    </row>
    <row r="29" ht="15" customHeight="1">
      <c r="A29" s="55" t="inlineStr">
        <is>
          <t>How to interpret</t>
        </is>
      </c>
      <c r="B29" s="12" t="inlineStr">
        <is>
          <t>Grows a little each day and resets to zero right after each coupon is paid.</t>
        </is>
      </c>
    </row>
    <row r="30" ht="15" customHeight="1">
      <c r="A30" s="55" t="inlineStr">
        <is>
          <t>Example</t>
        </is>
      </c>
      <c r="B30" s="12" t="inlineStr">
        <is>
          <t>Halfway through a semiannual period on a 4% coupon: about half of 2.0 = ~1.0 per 100.</t>
        </is>
      </c>
    </row>
    <row r="32" ht="18" customHeight="1">
      <c r="A32" s="5" t="inlineStr">
        <is>
          <t>Yield to maturity (YTM)</t>
        </is>
      </c>
    </row>
    <row r="33" ht="15" customHeight="1">
      <c r="A33" s="55" t="inlineStr">
        <is>
          <t>Formula</t>
        </is>
      </c>
      <c r="B33" s="10" t="inlineStr">
        <is>
          <t>The rate that makes PV of cash flows = price (Excel YIELD)</t>
        </is>
      </c>
    </row>
    <row r="34" ht="25" customHeight="1">
      <c r="A34" s="55" t="inlineStr">
        <is>
          <t>In plain English</t>
        </is>
      </c>
      <c r="B34" s="12" t="inlineStr">
        <is>
          <t>Yield to maturity is the annual return implied by the bond's current price if you hold it to maturity and receive all payments as expected.</t>
        </is>
      </c>
    </row>
    <row r="35" ht="25" customHeight="1">
      <c r="A35" s="55" t="inlineStr">
        <is>
          <t>Why it matters</t>
        </is>
      </c>
      <c r="B35" s="12" t="inlineStr">
        <is>
          <t>It is the single best summary of the return you lock in today - the main number analysts compare.</t>
        </is>
      </c>
    </row>
    <row r="36" ht="25" customHeight="1">
      <c r="A36" s="55" t="inlineStr">
        <is>
          <t>How to interpret</t>
        </is>
      </c>
      <c r="B36" s="12" t="inlineStr">
        <is>
          <t>Higher price means lower YTM, and lower price means higher YTM. It assumes you hold to maturity.</t>
        </is>
      </c>
    </row>
    <row r="37" ht="15" customHeight="1">
      <c r="A37" s="55" t="inlineStr">
        <is>
          <t>Example</t>
        </is>
      </c>
      <c r="B37" s="12" t="inlineStr">
        <is>
          <t>A note at a discount (below 100) has a YTM above its coupon rate.</t>
        </is>
      </c>
    </row>
    <row r="39" ht="18" customHeight="1">
      <c r="A39" s="5" t="inlineStr">
        <is>
          <t>Current yield</t>
        </is>
      </c>
    </row>
    <row r="40" ht="15" customHeight="1">
      <c r="A40" s="55" t="inlineStr">
        <is>
          <t>Formula</t>
        </is>
      </c>
      <c r="B40" s="10" t="inlineStr">
        <is>
          <t>Annual coupon / clean price</t>
        </is>
      </c>
    </row>
    <row r="41" ht="25" customHeight="1">
      <c r="A41" s="55" t="inlineStr">
        <is>
          <t>In plain English</t>
        </is>
      </c>
      <c r="B41" s="12" t="inlineStr">
        <is>
          <t>Current yield is just the annual coupon divided by the price - a quick snapshot of the income you get.</t>
        </is>
      </c>
    </row>
    <row r="42" ht="25" customHeight="1">
      <c r="A42" s="55" t="inlineStr">
        <is>
          <t>Why it matters</t>
        </is>
      </c>
      <c r="B42" s="12" t="inlineStr">
        <is>
          <t>It shows the cash income yield, but it ignores any gain or loss versus par and the timing of cash flows.</t>
        </is>
      </c>
    </row>
    <row r="43" ht="15" customHeight="1">
      <c r="A43" s="55" t="inlineStr">
        <is>
          <t>How to interpret</t>
        </is>
      </c>
      <c r="B43" s="12" t="inlineStr">
        <is>
          <t>Only a rough guide; YTM is the fuller measure. It is N/A for a Treasury Bill (no coupon).</t>
        </is>
      </c>
    </row>
    <row r="44" ht="15" customHeight="1">
      <c r="A44" s="55" t="inlineStr">
        <is>
          <t>Example</t>
        </is>
      </c>
      <c r="B44" s="12" t="inlineStr">
        <is>
          <t>A 4% coupon bond priced at 96.50 has a current yield of 4 / 96.50 = ~4.15%.</t>
        </is>
      </c>
    </row>
    <row r="46" ht="18" customHeight="1">
      <c r="A46" s="5" t="inlineStr">
        <is>
          <t>Premium / discount to par</t>
        </is>
      </c>
    </row>
    <row r="47" ht="15" customHeight="1">
      <c r="A47" s="55" t="inlineStr">
        <is>
          <t>Formula</t>
        </is>
      </c>
      <c r="B47" s="10" t="inlineStr">
        <is>
          <t>Clean price - 100</t>
        </is>
      </c>
    </row>
    <row r="48" ht="15" customHeight="1">
      <c r="A48" s="55" t="inlineStr">
        <is>
          <t>In plain English</t>
        </is>
      </c>
      <c r="B48" s="12" t="inlineStr">
        <is>
          <t>Whether the bond trades above par (premium) or below par (discount).</t>
        </is>
      </c>
    </row>
    <row r="49" ht="15" customHeight="1">
      <c r="A49" s="55" t="inlineStr">
        <is>
          <t>Why it matters</t>
        </is>
      </c>
      <c r="B49" s="12" t="inlineStr">
        <is>
          <t>It tells you at a glance whether the coupon is above or below current market yields.</t>
        </is>
      </c>
    </row>
    <row r="50" ht="15" customHeight="1">
      <c r="A50" s="55" t="inlineStr">
        <is>
          <t>How to interpret</t>
        </is>
      </c>
      <c r="B50" s="12" t="inlineStr">
        <is>
          <t>Premium: coupon is higher than the yield. Discount: coupon is lower than the yield.</t>
        </is>
      </c>
    </row>
    <row r="51" ht="15" customHeight="1">
      <c r="A51" s="55" t="inlineStr">
        <is>
          <t>Example</t>
        </is>
      </c>
      <c r="B51" s="12" t="inlineStr">
        <is>
          <t>Price 102 = 2-point premium; price 96.50 = 3.50-point discount.</t>
        </is>
      </c>
    </row>
    <row r="53" ht="18" customHeight="1">
      <c r="A53" s="5" t="inlineStr">
        <is>
          <t>Macaulay duration</t>
        </is>
      </c>
    </row>
    <row r="54" ht="15" customHeight="1">
      <c r="A54" s="55" t="inlineStr">
        <is>
          <t>Formula</t>
        </is>
      </c>
      <c r="B54" s="10" t="inlineStr">
        <is>
          <t>sum(time x PV) / sum(PV)  (Excel DURATION)</t>
        </is>
      </c>
    </row>
    <row r="55" ht="49" customHeight="1">
      <c r="A55" s="55" t="inlineStr">
        <is>
          <t>In plain English</t>
        </is>
      </c>
      <c r="B55" s="12" t="inlineStr">
        <is>
          <t>Macaulay duration is the weighted-average time it takes to receive the bond's cash flows. For a zero-coupon bond it is close to the time to maturity because all the cash is received at the end; for a coupon bond it is usually shorter than maturity because some cash arrives earlier through coupons.</t>
        </is>
      </c>
    </row>
    <row r="56" ht="25" customHeight="1">
      <c r="A56" s="55" t="inlineStr">
        <is>
          <t>Why it matters</t>
        </is>
      </c>
      <c r="B56" s="12" t="inlineStr">
        <is>
          <t>It is the foundation of interest-rate risk and a quick sense of how long your money is tied up.</t>
        </is>
      </c>
    </row>
    <row r="57" ht="15" customHeight="1">
      <c r="A57" s="55" t="inlineStr">
        <is>
          <t>How to interpret</t>
        </is>
      </c>
      <c r="B57" s="12" t="inlineStr">
        <is>
          <t>Measured in years. Longer duration = the bond's cash is, on average, further away.</t>
        </is>
      </c>
    </row>
    <row r="58" ht="15" customHeight="1">
      <c r="A58" s="55" t="inlineStr">
        <is>
          <t>Example</t>
        </is>
      </c>
      <c r="B58" s="12" t="inlineStr">
        <is>
          <t>A 10-year Treasury note might have a Macaulay duration of ~7.5 years.</t>
        </is>
      </c>
    </row>
    <row r="60" ht="18" customHeight="1">
      <c r="A60" s="5" t="inlineStr">
        <is>
          <t>Modified duration</t>
        </is>
      </c>
    </row>
    <row r="61" ht="15" customHeight="1">
      <c r="A61" s="55" t="inlineStr">
        <is>
          <t>Formula</t>
        </is>
      </c>
      <c r="B61" s="10" t="inlineStr">
        <is>
          <t>Macaulay duration / (1 + yield/2)  (Excel MDURATION)</t>
        </is>
      </c>
    </row>
    <row r="62" ht="37" customHeight="1">
      <c r="A62" s="55" t="inlineStr">
        <is>
          <t>In plain English</t>
        </is>
      </c>
      <c r="B62" s="12" t="inlineStr">
        <is>
          <t>Modified duration shows the approximate percentage price change for a 1% (100 bps) move in yield. If modified duration is 5, then a 1% rise in yield would reduce the price by about 5%, before considering convexity.</t>
        </is>
      </c>
    </row>
    <row r="63" ht="25" customHeight="1">
      <c r="A63" s="55" t="inlineStr">
        <is>
          <t>Why it matters</t>
        </is>
      </c>
      <c r="B63" s="12" t="inlineStr">
        <is>
          <t>It is the main interest-rate risk number - how much price you can gain or lose when rates move.</t>
        </is>
      </c>
    </row>
    <row r="64" ht="15" customHeight="1">
      <c r="A64" s="55" t="inlineStr">
        <is>
          <t>How to interpret</t>
        </is>
      </c>
      <c r="B64" s="12" t="inlineStr">
        <is>
          <t>Bigger modified duration = more price risk. Longer bonds have larger modified duration.</t>
        </is>
      </c>
    </row>
    <row r="65" ht="15" customHeight="1">
      <c r="A65" s="55" t="inlineStr">
        <is>
          <t>Example</t>
        </is>
      </c>
      <c r="B65" s="12" t="inlineStr">
        <is>
          <t>Modified duration 7.4 -&gt; a 1% yield rise cuts the price by roughly 7.4%.</t>
        </is>
      </c>
    </row>
    <row r="67" ht="18" customHeight="1">
      <c r="A67" s="5" t="inlineStr">
        <is>
          <t>Convexity</t>
        </is>
      </c>
    </row>
    <row r="68" ht="15" customHeight="1">
      <c r="A68" s="55" t="inlineStr">
        <is>
          <t>Formula</t>
        </is>
      </c>
      <c r="B68" s="10" t="inlineStr">
        <is>
          <t>sum(CF x t x (t+1)/(1+y/2)^(t+2)) / (price x 4)</t>
        </is>
      </c>
    </row>
    <row r="69" ht="61" customHeight="1">
      <c r="A69" s="55" t="inlineStr">
        <is>
          <t>In plain English</t>
        </is>
      </c>
      <c r="B69" s="12" t="inlineStr">
        <is>
          <t>Convexity measures how much the bond's duration changes when yields move. Duration gives a straight-line estimate of price sensitivity, but bond prices do not move in a perfect straight line. Convexity improves the estimate, especially when yields move a lot. For normal fixed-rate US Treasuries, convexity is usually positive, meaning the bond gains a bit more when yields fall and loses a bit less when yields rise compared with duration-only estimates.</t>
        </is>
      </c>
    </row>
    <row r="70" ht="25" customHeight="1">
      <c r="A70" s="55" t="inlineStr">
        <is>
          <t>Why it matters</t>
        </is>
      </c>
      <c r="B70" s="12" t="inlineStr">
        <is>
          <t>It makes your price-change estimates more accurate for larger rate moves, and it is a (small) plus for holders.</t>
        </is>
      </c>
    </row>
    <row r="71" ht="15" customHeight="1">
      <c r="A71" s="55" t="inlineStr">
        <is>
          <t>How to interpret</t>
        </is>
      </c>
      <c r="B71" s="12" t="inlineStr">
        <is>
          <t>Positive convexity is good for you. It matters most for big yield moves and long bonds.</t>
        </is>
      </c>
    </row>
    <row r="72" ht="25" customHeight="1">
      <c r="A72" s="55" t="inlineStr">
        <is>
          <t>Example</t>
        </is>
      </c>
      <c r="B72" s="12" t="inlineStr">
        <is>
          <t>For a +/-100 bps move, duration-only under-states the gain on the rally and over-states the loss on the sell-off.</t>
        </is>
      </c>
    </row>
    <row r="74" ht="18" customHeight="1">
      <c r="A74" s="5" t="inlineStr">
        <is>
          <t>DV01</t>
        </is>
      </c>
    </row>
    <row r="75" ht="15" customHeight="1">
      <c r="A75" s="55" t="inlineStr">
        <is>
          <t>Formula</t>
        </is>
      </c>
      <c r="B75" s="10" t="inlineStr">
        <is>
          <t>Modified duration x dirty price x 0.0001</t>
        </is>
      </c>
    </row>
    <row r="76" ht="37" customHeight="1">
      <c r="A76" s="55" t="inlineStr">
        <is>
          <t>In plain English</t>
        </is>
      </c>
      <c r="B76" s="12" t="inlineStr">
        <is>
          <t>DV01 shows the approximate price change for a 1 basis-point (0.01%) move in yield. If DV01 is 45, then a 1 bp rise in yield would reduce the bond value by about 45, while a 1 bp fall would increase it by about 45. It turns duration risk into money terms.</t>
        </is>
      </c>
    </row>
    <row r="77" ht="25" customHeight="1">
      <c r="A77" s="55" t="inlineStr">
        <is>
          <t>Why it matters</t>
        </is>
      </c>
      <c r="B77" s="12" t="inlineStr">
        <is>
          <t>It converts abstract duration into a concrete price/dollar risk per 1 bp - useful for sizing and hedging.</t>
        </is>
      </c>
    </row>
    <row r="78" ht="15" customHeight="1">
      <c r="A78" s="55" t="inlineStr">
        <is>
          <t>How to interpret</t>
        </is>
      </c>
      <c r="B78" s="12" t="inlineStr">
        <is>
          <t>Quoted as a positive number. Bigger DV01 = more price risk per basis point.</t>
        </is>
      </c>
    </row>
    <row r="79" ht="15" customHeight="1">
      <c r="A79" s="55" t="inlineStr">
        <is>
          <t>Example</t>
        </is>
      </c>
      <c r="B79" s="12" t="inlineStr">
        <is>
          <t>DV01 of 0.07 per 100 face means ~0.07 price move for each 1 bp change in yield.</t>
        </is>
      </c>
    </row>
    <row r="81" ht="18" customHeight="1">
      <c r="A81" s="5" t="inlineStr">
        <is>
          <t>Rate shock analysis</t>
        </is>
      </c>
    </row>
    <row r="82" ht="15" customHeight="1">
      <c r="A82" s="55" t="inlineStr">
        <is>
          <t>Formula</t>
        </is>
      </c>
      <c r="B82" s="10" t="inlineStr">
        <is>
          <t>price change ~ -Modified x (dy) + 0.5 x convexity x (dy)^2</t>
        </is>
      </c>
    </row>
    <row r="83" ht="25" customHeight="1">
      <c r="A83" s="55" t="inlineStr">
        <is>
          <t>In plain English</t>
        </is>
      </c>
      <c r="B83" s="12" t="inlineStr">
        <is>
          <t>A rate shock estimates how the price would change if the yield jumped up or down by a set amount, using duration (the straight-line part) plus convexity (the curve correction).</t>
        </is>
      </c>
    </row>
    <row r="84" ht="25" customHeight="1">
      <c r="A84" s="55" t="inlineStr">
        <is>
          <t>Why it matters</t>
        </is>
      </c>
      <c r="B84" s="12" t="inlineStr">
        <is>
          <t>It stress-tests the bond so you can see the downside if rates rise and the upside if they fall.</t>
        </is>
      </c>
    </row>
    <row r="85" ht="15" customHeight="1">
      <c r="A85" s="55" t="inlineStr">
        <is>
          <t>How to interpret</t>
        </is>
      </c>
      <c r="B85" s="12" t="inlineStr">
        <is>
          <t>Yields up -&gt; price down; yields down -&gt; price up. Longer-duration bonds move more.</t>
        </is>
      </c>
    </row>
    <row r="86" ht="15" customHeight="1">
      <c r="A86" s="55" t="inlineStr">
        <is>
          <t>Example</t>
        </is>
      </c>
      <c r="B86" s="12" t="inlineStr">
        <is>
          <t>+100 bps on a 7.4-duration bond: roughly -7.4% from duration, softened a little by convexity.</t>
        </is>
      </c>
    </row>
    <row r="88" ht="18" customHeight="1">
      <c r="A88" s="5" t="inlineStr">
        <is>
          <t>Yield curve</t>
        </is>
      </c>
    </row>
    <row r="89" ht="15" customHeight="1">
      <c r="A89" s="55" t="inlineStr">
        <is>
          <t>Formula</t>
        </is>
      </c>
      <c r="B89" s="10" t="inlineStr">
        <is>
          <t>Treasury yields plotted by maturity (3m, 2y, 5y, 10y, 30y)</t>
        </is>
      </c>
    </row>
    <row r="90" ht="25" customHeight="1">
      <c r="A90" s="55" t="inlineStr">
        <is>
          <t>In plain English</t>
        </is>
      </c>
      <c r="B90" s="12" t="inlineStr">
        <is>
          <t>The yield curve shows the yield you can earn at different maturities. It is the map of interest rates across time.</t>
        </is>
      </c>
    </row>
    <row r="91" ht="25" customHeight="1">
      <c r="A91" s="55" t="inlineStr">
        <is>
          <t>Why it matters</t>
        </is>
      </c>
      <c r="B91" s="12" t="inlineStr">
        <is>
          <t>It tells you whether longer bonds pay you more (normal) and where your bond sits versus other maturities.</t>
        </is>
      </c>
    </row>
    <row r="92" ht="15" customHeight="1">
      <c r="A92" s="55" t="inlineStr">
        <is>
          <t>How to interpret</t>
        </is>
      </c>
      <c r="B92" s="12" t="inlineStr">
        <is>
          <t>Normal = upward-sloping (longer = higher yield). Flat = roughly level.</t>
        </is>
      </c>
    </row>
    <row r="93" ht="15" customHeight="1">
      <c r="A93" s="55" t="inlineStr">
        <is>
          <t>Example</t>
        </is>
      </c>
      <c r="B93" s="12" t="inlineStr">
        <is>
          <t>If the 2y is 4.1% and the 10y is 4.5%, the curve is normal and upward-sloping.</t>
        </is>
      </c>
    </row>
    <row r="95" ht="18" customHeight="1">
      <c r="A95" s="5" t="inlineStr">
        <is>
          <t>Inverted yield curve</t>
        </is>
      </c>
    </row>
    <row r="96" ht="15" customHeight="1">
      <c r="A96" s="55" t="inlineStr">
        <is>
          <t>Formula</t>
        </is>
      </c>
      <c r="B96" s="10" t="inlineStr">
        <is>
          <t>Short-term yields higher than long-term yields (e.g. 2y &gt; 10y)</t>
        </is>
      </c>
    </row>
    <row r="97" ht="25" customHeight="1">
      <c r="A97" s="55" t="inlineStr">
        <is>
          <t>In plain English</t>
        </is>
      </c>
      <c r="B97" s="12" t="inlineStr">
        <is>
          <t>An inverted curve is when short maturities yield MORE than long maturities - the opposite of normal.</t>
        </is>
      </c>
    </row>
    <row r="98" ht="15" customHeight="1">
      <c r="A98" s="55" t="inlineStr">
        <is>
          <t>Why it matters</t>
        </is>
      </c>
      <c r="B98" s="12" t="inlineStr">
        <is>
          <t>It is watched closely because inversions have often (not always) preceded recessions.</t>
        </is>
      </c>
    </row>
    <row r="99" ht="15" customHeight="1">
      <c r="A99" s="55" t="inlineStr">
        <is>
          <t>How to interpret</t>
        </is>
      </c>
      <c r="B99" s="12" t="inlineStr">
        <is>
          <t>Inverted (downward-sloping) can signal that markets expect rate cuts / a slowdown.</t>
        </is>
      </c>
    </row>
    <row r="100" ht="15" customHeight="1">
      <c r="A100" s="55" t="inlineStr">
        <is>
          <t>Example</t>
        </is>
      </c>
      <c r="B100" s="12" t="inlineStr">
        <is>
          <t>If the 2y is 4.6% and the 10y is 4.3%, the curve is inverted by 30 bps.</t>
        </is>
      </c>
    </row>
    <row r="102" ht="18" customHeight="1">
      <c r="A102" s="5" t="inlineStr">
        <is>
          <t>Treasury bill / zero-coupon bond</t>
        </is>
      </c>
    </row>
    <row r="103" ht="15" customHeight="1">
      <c r="A103" s="55" t="inlineStr">
        <is>
          <t>Formula</t>
        </is>
      </c>
      <c r="B103" s="10" t="inlineStr">
        <is>
          <t>Yield = (Face / Price)^(1/Years) - 1</t>
        </is>
      </c>
    </row>
    <row r="104" ht="25" customHeight="1">
      <c r="A104" s="55" t="inlineStr">
        <is>
          <t>In plain English</t>
        </is>
      </c>
      <c r="B104" s="12" t="inlineStr">
        <is>
          <t>A Treasury Bill (or any zero-coupon bond) pays no coupons. You buy it below face value and get 100 back at maturity; the whole return is the discount.</t>
        </is>
      </c>
    </row>
    <row r="105" ht="15" customHeight="1">
      <c r="A105" s="55" t="inlineStr">
        <is>
          <t>Why it matters</t>
        </is>
      </c>
      <c r="B105" s="12" t="inlineStr">
        <is>
          <t>Bills are short, simple and very liquid - a common place to park cash with little rate risk.</t>
        </is>
      </c>
    </row>
    <row r="106" ht="15" customHeight="1">
      <c r="A106" s="55" t="inlineStr">
        <is>
          <t>How to interpret</t>
        </is>
      </c>
      <c r="B106" s="12" t="inlineStr">
        <is>
          <t>Accrued interest is zero, and the duration is essentially the time to maturity.</t>
        </is>
      </c>
    </row>
    <row r="107" ht="15" customHeight="1">
      <c r="A107" s="55" t="inlineStr">
        <is>
          <t>Example</t>
        </is>
      </c>
      <c r="B107" s="12" t="inlineStr">
        <is>
          <t>Buy a 1-year bill at 96, get 100 at maturity -&gt; return of about 4.2%.</t>
        </is>
      </c>
    </row>
    <row r="109" ht="18" customHeight="1">
      <c r="A109" s="5" t="inlineStr">
        <is>
          <t>Benchmark Treasury yield</t>
        </is>
      </c>
    </row>
    <row r="110" ht="15" customHeight="1">
      <c r="A110" s="55" t="inlineStr">
        <is>
          <t>Formula</t>
        </is>
      </c>
      <c r="B110" s="10" t="inlineStr">
        <is>
          <t>The yield of a similar-maturity Treasury you compare against</t>
        </is>
      </c>
    </row>
    <row r="111" ht="25" customHeight="1">
      <c r="A111" s="55" t="inlineStr">
        <is>
          <t>In plain English</t>
        </is>
      </c>
      <c r="B111" s="12" t="inlineStr">
        <is>
          <t>The benchmark yield is the reference rate for a bond of similar maturity - usually the on-the-run (most recent) Treasury.</t>
        </is>
      </c>
    </row>
    <row r="112" ht="25" customHeight="1">
      <c r="A112" s="55" t="inlineStr">
        <is>
          <t>Why it matters</t>
        </is>
      </c>
      <c r="B112" s="12" t="inlineStr">
        <is>
          <t>It is the yardstick for judging whether your bond's yield is high, low or fair for its maturity.</t>
        </is>
      </c>
    </row>
    <row r="113" ht="15" customHeight="1">
      <c r="A113" s="55" t="inlineStr">
        <is>
          <t>How to interpret</t>
        </is>
      </c>
      <c r="B113" s="12" t="inlineStr">
        <is>
          <t>Compare your bond's YTM to this benchmark to see if you are paid more or less.</t>
        </is>
      </c>
    </row>
    <row r="114" ht="15" customHeight="1">
      <c r="A114" s="55" t="inlineStr">
        <is>
          <t>Example</t>
        </is>
      </c>
      <c r="B114" s="12" t="inlineStr">
        <is>
          <t>If the 10y benchmark is 4.30% and your note yields 4.48%, you earn 18 bps more.</t>
        </is>
      </c>
    </row>
    <row r="116" ht="18" customHeight="1">
      <c r="A116" s="5" t="inlineStr">
        <is>
          <t>Spread versus benchmark</t>
        </is>
      </c>
    </row>
    <row r="117" ht="15" customHeight="1">
      <c r="A117" s="55" t="inlineStr">
        <is>
          <t>Formula</t>
        </is>
      </c>
      <c r="B117" s="10" t="inlineStr">
        <is>
          <t>Spread = YTM - benchmark yield  (in bps = x 10000)</t>
        </is>
      </c>
    </row>
    <row r="118" ht="25" customHeight="1">
      <c r="A118" s="55" t="inlineStr">
        <is>
          <t>In plain English</t>
        </is>
      </c>
      <c r="B118" s="12" t="inlineStr">
        <is>
          <t>The spread is the extra yield your bond offers over the benchmark Treasury of similar maturity.</t>
        </is>
      </c>
    </row>
    <row r="119" ht="25" customHeight="1">
      <c r="A119" s="55" t="inlineStr">
        <is>
          <t>Why it matters</t>
        </is>
      </c>
      <c r="B119" s="12" t="inlineStr">
        <is>
          <t>For a Treasury it is usually small; a positive spread can mean the bond is a touch cheap (e.g. off-the-run).</t>
        </is>
      </c>
    </row>
    <row r="120" ht="15" customHeight="1">
      <c r="A120" s="55" t="inlineStr">
        <is>
          <t>How to interpret</t>
        </is>
      </c>
      <c r="B120" s="12" t="inlineStr">
        <is>
          <t>Positive = you earn more than the benchmark; negative = you earn less.</t>
        </is>
      </c>
    </row>
    <row r="121" ht="15" customHeight="1">
      <c r="A121" s="55" t="inlineStr">
        <is>
          <t>Example</t>
        </is>
      </c>
      <c r="B121" s="12" t="inlineStr">
        <is>
          <t>A +18 bps spread means 0.18% more yield than the benchmark.</t>
        </is>
      </c>
    </row>
    <row r="123" ht="18" customHeight="1">
      <c r="A123" s="5" t="inlineStr">
        <is>
          <t>Investment attractiveness score</t>
        </is>
      </c>
    </row>
    <row r="124" ht="15" customHeight="1">
      <c r="A124" s="55" t="inlineStr">
        <is>
          <t>Formula</t>
        </is>
      </c>
      <c r="B124" s="10" t="inlineStr">
        <is>
          <t>Total of 5 simple category scores, out of 10</t>
        </is>
      </c>
    </row>
    <row r="125" ht="37" customHeight="1">
      <c r="A125" s="55" t="inlineStr">
        <is>
          <t>In plain English</t>
        </is>
      </c>
      <c r="B125" s="12" t="inlineStr">
        <is>
          <t>A simple, transparent score that adds up points for yield, low duration risk, low price sensitivity, a helpful curve, and Treasury liquidity. It is a starting point, not a personalised recommendation.</t>
        </is>
      </c>
    </row>
    <row r="126" ht="25" customHeight="1">
      <c r="A126" s="55" t="inlineStr">
        <is>
          <t>Why it matters</t>
        </is>
      </c>
      <c r="B126" s="12" t="inlineStr">
        <is>
          <t>It gives a consistent, explainable first read on whether a bond looks attractive - without pretending to know your situation.</t>
        </is>
      </c>
    </row>
    <row r="127" ht="15" customHeight="1">
      <c r="A127" s="55" t="inlineStr">
        <is>
          <t>How to interpret</t>
        </is>
      </c>
      <c r="B127" s="12" t="inlineStr">
        <is>
          <t>8-10 = Attractive, 5-7 = Neutral, 0-4 = Not Attractive. The analyst can override it.</t>
        </is>
      </c>
    </row>
    <row r="128" ht="15" customHeight="1">
      <c r="A128" s="55" t="inlineStr">
        <is>
          <t>Example</t>
        </is>
      </c>
      <c r="B128" s="12" t="inlineStr">
        <is>
          <t>A bond scoring 8/10 (good yield, moderate duration, liquid) shows as 'Attractive'.</t>
        </is>
      </c>
    </row>
    <row r="130" ht="18" customHeight="1">
      <c r="A130" s="5" t="inlineStr">
        <is>
          <t>Buy / Hold / Avoid recommendation</t>
        </is>
      </c>
    </row>
    <row r="131" ht="15" customHeight="1">
      <c r="A131" s="55" t="inlineStr">
        <is>
          <t>Formula</t>
        </is>
      </c>
      <c r="B131" s="10" t="inlineStr">
        <is>
          <t>A manual analyst decision</t>
        </is>
      </c>
    </row>
    <row r="132" ht="25" customHeight="1">
      <c r="A132" s="55" t="inlineStr">
        <is>
          <t>In plain English</t>
        </is>
      </c>
      <c r="B132" s="12" t="inlineStr">
        <is>
          <t>The final trading call. The model gives hints and an attractiveness score, but the Buy/Hold/Avoid decision is left to you.</t>
        </is>
      </c>
    </row>
    <row r="133" ht="15" customHeight="1">
      <c r="A133" s="55" t="inlineStr">
        <is>
          <t>Why it matters</t>
        </is>
      </c>
      <c r="B133" s="12" t="inlineStr">
        <is>
          <t>It keeps a human in the loop - the model informs the decision but does not make it.</t>
        </is>
      </c>
    </row>
    <row r="134" ht="15" customHeight="1">
      <c r="A134" s="55" t="inlineStr">
        <is>
          <t>How to interpret</t>
        </is>
      </c>
      <c r="B134" s="12" t="inlineStr">
        <is>
          <t>Combine the attractiveness view, your rate outlook and your own constraints to decide.</t>
        </is>
      </c>
    </row>
    <row r="135" ht="15" customHeight="1">
      <c r="A135" s="55" t="inlineStr">
        <is>
          <t>Example</t>
        </is>
      </c>
      <c r="B135" s="12" t="inlineStr">
        <is>
          <t>Attractive score + you expect yields to fall -&gt; you might lean Buy; you still decide.</t>
        </is>
      </c>
    </row>
  </sheetData>
  <mergeCells count="113">
    <mergeCell ref="B61:J61"/>
    <mergeCell ref="B14:J14"/>
    <mergeCell ref="B23:J23"/>
    <mergeCell ref="B13:J13"/>
    <mergeCell ref="B69:J69"/>
    <mergeCell ref="B78:J78"/>
    <mergeCell ref="B112:J112"/>
    <mergeCell ref="A130:J130"/>
    <mergeCell ref="B127:J127"/>
    <mergeCell ref="B40:J40"/>
    <mergeCell ref="B49:J49"/>
    <mergeCell ref="B55:J55"/>
    <mergeCell ref="B64:J64"/>
    <mergeCell ref="B33:J33"/>
    <mergeCell ref="B104:J104"/>
    <mergeCell ref="B51:J51"/>
    <mergeCell ref="B63:J63"/>
    <mergeCell ref="B26:J26"/>
    <mergeCell ref="B41:J41"/>
    <mergeCell ref="B35:J35"/>
    <mergeCell ref="B106:J106"/>
    <mergeCell ref="B16:J16"/>
    <mergeCell ref="B90:J90"/>
    <mergeCell ref="A3:J3"/>
    <mergeCell ref="B131:J131"/>
    <mergeCell ref="B27:J27"/>
    <mergeCell ref="A95:J95"/>
    <mergeCell ref="A32:J32"/>
    <mergeCell ref="B117:J117"/>
    <mergeCell ref="B132:J132"/>
    <mergeCell ref="A81:J81"/>
    <mergeCell ref="B119:J119"/>
    <mergeCell ref="B29:J29"/>
    <mergeCell ref="B103:J103"/>
    <mergeCell ref="B37:J37"/>
    <mergeCell ref="A67:J67"/>
    <mergeCell ref="B84:J84"/>
    <mergeCell ref="B118:J118"/>
    <mergeCell ref="A60:J60"/>
    <mergeCell ref="B15:J15"/>
    <mergeCell ref="A123:J123"/>
    <mergeCell ref="B89:J89"/>
    <mergeCell ref="B79:J79"/>
    <mergeCell ref="A7:J7"/>
    <mergeCell ref="B97:J97"/>
    <mergeCell ref="A25:J25"/>
    <mergeCell ref="B54:J54"/>
    <mergeCell ref="B72:J72"/>
    <mergeCell ref="B134:J134"/>
    <mergeCell ref="B121:J121"/>
    <mergeCell ref="A18:J18"/>
    <mergeCell ref="B56:J56"/>
    <mergeCell ref="B71:J71"/>
    <mergeCell ref="B105:J105"/>
    <mergeCell ref="A2:J2"/>
    <mergeCell ref="B43:J43"/>
    <mergeCell ref="B58:J58"/>
    <mergeCell ref="B120:J120"/>
    <mergeCell ref="B98:J98"/>
    <mergeCell ref="B42:J42"/>
    <mergeCell ref="B107:J107"/>
    <mergeCell ref="B57:J57"/>
    <mergeCell ref="B44:J44"/>
    <mergeCell ref="B19:J19"/>
    <mergeCell ref="B34:J34"/>
    <mergeCell ref="B28:J28"/>
    <mergeCell ref="B99:J99"/>
    <mergeCell ref="B83:J83"/>
    <mergeCell ref="B92:J92"/>
    <mergeCell ref="B30:J30"/>
    <mergeCell ref="B124:J124"/>
    <mergeCell ref="B20:J20"/>
    <mergeCell ref="B133:J133"/>
    <mergeCell ref="A88:J88"/>
    <mergeCell ref="B85:J85"/>
    <mergeCell ref="B126:J126"/>
    <mergeCell ref="B75:J75"/>
    <mergeCell ref="B135:J135"/>
    <mergeCell ref="B47:J47"/>
    <mergeCell ref="B62:J62"/>
    <mergeCell ref="B125:J125"/>
    <mergeCell ref="A74:J74"/>
    <mergeCell ref="B96:J96"/>
    <mergeCell ref="B70:J70"/>
    <mergeCell ref="B48:J48"/>
    <mergeCell ref="A116:J116"/>
    <mergeCell ref="A8:J8"/>
    <mergeCell ref="B111:J111"/>
    <mergeCell ref="A53:J53"/>
    <mergeCell ref="A109:J109"/>
    <mergeCell ref="B82:J82"/>
    <mergeCell ref="A102:J102"/>
    <mergeCell ref="B128:J128"/>
    <mergeCell ref="A39:J39"/>
    <mergeCell ref="B65:J65"/>
    <mergeCell ref="B68:J68"/>
    <mergeCell ref="A11:J11"/>
    <mergeCell ref="A1:J1"/>
    <mergeCell ref="B114:J114"/>
    <mergeCell ref="B36:J36"/>
    <mergeCell ref="B76:J76"/>
    <mergeCell ref="B50:J50"/>
    <mergeCell ref="B110:J110"/>
    <mergeCell ref="B113:J113"/>
    <mergeCell ref="B91:J91"/>
    <mergeCell ref="B100:J100"/>
    <mergeCell ref="A46:J46"/>
    <mergeCell ref="B22:J22"/>
    <mergeCell ref="B93:J93"/>
    <mergeCell ref="B12:J12"/>
    <mergeCell ref="B77:J77"/>
    <mergeCell ref="B21:J21"/>
    <mergeCell ref="B86:J86"/>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1.xml><?xml version="1.0" encoding="utf-8"?>
<worksheet xmlns="http://schemas.openxmlformats.org/spreadsheetml/2006/main">
  <sheetPr>
    <tabColor rgb="00C00000"/>
    <outlinePr summaryBelow="1" summaryRight="1"/>
    <pageSetUpPr fitToPage="1"/>
  </sheetPr>
  <dimension ref="A1:F31"/>
  <sheetViews>
    <sheetView showGridLines="0" workbookViewId="0">
      <pane ySplit="12" topLeftCell="A13" activePane="bottomLeft" state="frozen"/>
      <selection pane="bottomLeft" activeCell="A1" sqref="A1"/>
    </sheetView>
  </sheetViews>
  <sheetFormatPr baseColWidth="8" defaultRowHeight="15"/>
  <cols>
    <col width="24" customWidth="1" min="1" max="1"/>
    <col width="12" customWidth="1" min="2" max="2"/>
    <col width="12" customWidth="1" min="3" max="3"/>
    <col width="9" customWidth="1" min="4" max="4"/>
    <col width="10" customWidth="1" min="5" max="5"/>
    <col width="58" customWidth="1" min="6" max="6"/>
  </cols>
  <sheetData>
    <row r="1" ht="28" customHeight="1">
      <c r="A1" s="1" t="inlineStr">
        <is>
          <t>INDEPENDENT QUALITY CHECK / AUDIT</t>
        </is>
      </c>
    </row>
    <row r="2">
      <c r="A2" s="2" t="inlineStr">
        <is>
          <t>The main numbers, re-checked with independent methods</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Each row recomputes a result a DIFFERENT way and compares. Status: Pass = within tolerance; Warning = small difference to review; Fail = check the inputs.</t>
        </is>
      </c>
    </row>
    <row r="9" ht="25" customHeight="1">
      <c r="A9" s="7" t="inlineStr">
        <is>
          <t>Tolerances:  price +/- 0.05 per 100;  yield +/- 2.0 bps;  duration +/- 0.05 yrs;  DV01 +/- 0.005.  Small rounding differences are expected.</t>
        </is>
      </c>
    </row>
    <row r="12" ht="18" customHeight="1">
      <c r="A12" s="27" t="inlineStr">
        <is>
          <t>Check</t>
        </is>
      </c>
      <c r="B12" s="27" t="inlineStr">
        <is>
          <t>Model</t>
        </is>
      </c>
      <c r="C12" s="27" t="inlineStr">
        <is>
          <t>Independent</t>
        </is>
      </c>
      <c r="D12" s="27" t="inlineStr">
        <is>
          <t>Diff</t>
        </is>
      </c>
      <c r="E12" s="27" t="inlineStr">
        <is>
          <t>Status</t>
        </is>
      </c>
      <c r="F12" s="26" t="inlineStr">
        <is>
          <t>Explanation</t>
        </is>
      </c>
    </row>
    <row r="13">
      <c r="A13" s="8" t="inlineStr">
        <is>
          <t>Dirty price</t>
        </is>
      </c>
      <c r="B13" s="28">
        <f>Dirty</f>
        <v/>
      </c>
      <c r="C13" s="28">
        <f>DirtyCF</f>
        <v/>
      </c>
      <c r="D13" s="28">
        <f>IF(AND(ISNUMBER(B13),ISNUMBER(C13)),B13-C13,"")</f>
        <v/>
      </c>
      <c r="E13" s="22">
        <f>IF(NOT(AND(ISNUMBER(B13),ISNUMBER(C13))),"n/a",IF(ABS(D13)&lt;=0.05,"Pass",IF(ABS(D13)&lt;=0.15000000000000002,"Warning","Fail")))</f>
        <v/>
      </c>
      <c r="F13" s="12" t="inlineStr">
        <is>
          <t>Dirty price should equal the sum of the cash-flow present values.</t>
        </is>
      </c>
    </row>
    <row r="14">
      <c r="A14" s="8" t="inlineStr">
        <is>
          <t>Accrued interest</t>
        </is>
      </c>
      <c r="B14" s="28">
        <f>Accrued</f>
        <v/>
      </c>
      <c r="C14" s="28">
        <f>IF(IsZero=1,0,ACCRINT(COUPPCD(Settle,Maturity,Freq,Basis),COUPNCD(Settle,Maturity,Freq,Basis),Settle,CouponRate,Face,Freq,Basis))</f>
        <v/>
      </c>
      <c r="D14" s="28">
        <f>IF(AND(ISNUMBER(B14),ISNUMBER(C14)),B14-C14,"")</f>
        <v/>
      </c>
      <c r="E14" s="22">
        <f>IF(NOT(AND(ISNUMBER(B14),ISNUMBER(C14))),"n/a",IF(ABS(D14)&lt;=0.05,"Pass",IF(ABS(D14)&lt;=0.15000000000000002,"Warning","Fail")))</f>
        <v/>
      </c>
      <c r="F14" s="12" t="inlineStr">
        <is>
          <t>Independent accrued from Excel ACCRINT. Zero for a Treasury Bill.</t>
        </is>
      </c>
    </row>
    <row r="15">
      <c r="A15" s="8" t="inlineStr">
        <is>
          <t>YTM vs Excel YIELD</t>
        </is>
      </c>
      <c r="B15" s="41">
        <f>YTM</f>
        <v/>
      </c>
      <c r="C15" s="41">
        <f>IF(IsZero=1,(Face/MktClean)^(1/YearsToMat)-1,YIELD(Settle,Maturity,CouponRate,MktClean,Face,Freq,Basis))</f>
        <v/>
      </c>
      <c r="D15" s="41">
        <f>IF(AND(ISNUMBER(B15),ISNUMBER(C15)),B15-C15,"")</f>
        <v/>
      </c>
      <c r="E15" s="22">
        <f>IF(NOT(AND(ISNUMBER(B15),ISNUMBER(C15))),"n/a",IF(ABS(D15)&lt;=0.0002,"Pass",IF(ABS(D15)&lt;=0.0006000000000000001,"Warning","Fail")))</f>
        <v/>
      </c>
      <c r="F15" s="12" t="inlineStr">
        <is>
          <t>Notes/bonds: Excel YIELD. Bill: manual zero-coupon formula.</t>
        </is>
      </c>
    </row>
    <row r="16">
      <c r="A16" s="8" t="inlineStr">
        <is>
          <t>Price = PV at YTM</t>
        </is>
      </c>
      <c r="B16" s="28">
        <f>MktClean</f>
        <v/>
      </c>
      <c r="C16" s="28">
        <f>IF(IsZero=1,Face/(1+(YTM))^YearsToMat,PRICE(Settle,Maturity,CouponRate,YTM,Face,Freq,Basis))</f>
        <v/>
      </c>
      <c r="D16" s="28">
        <f>IF(AND(ISNUMBER(B16),ISNUMBER(C16)),B16-C16,"")</f>
        <v/>
      </c>
      <c r="E16" s="22">
        <f>IF(NOT(AND(ISNUMBER(B16),ISNUMBER(C16))),"n/a",IF(ABS(D16)&lt;=0.05,"Pass",IF(ABS(D16)&lt;=0.15000000000000002,"Warning","Fail")))</f>
        <v/>
      </c>
      <c r="F16" s="12" t="inlineStr">
        <is>
          <t>Repricing at the calculated yield returns the market clean price.</t>
        </is>
      </c>
    </row>
    <row r="17">
      <c r="A17" s="8" t="inlineStr">
        <is>
          <t>Macaulay duration</t>
        </is>
      </c>
      <c r="B17" s="21">
        <f>MacDur</f>
        <v/>
      </c>
      <c r="C17" s="21">
        <f>MacaulayCF</f>
        <v/>
      </c>
      <c r="D17" s="21">
        <f>IF(AND(ISNUMBER(B17),ISNUMBER(C17)),B17-C17,"")</f>
        <v/>
      </c>
      <c r="E17" s="22">
        <f>IF(NOT(AND(ISNUMBER(B17),ISNUMBER(C17))),"n/a",IF(ABS(D17)&lt;=0.05,"Pass",IF(ABS(D17)&lt;=0.15000000000000002,"Warning","Fail")))</f>
        <v/>
      </c>
      <c r="F17" s="12" t="inlineStr">
        <is>
          <t>Excel DURATION vs the schedule. For a bill it equals time to maturity.</t>
        </is>
      </c>
    </row>
    <row r="18">
      <c r="A18" s="8" t="inlineStr">
        <is>
          <t>Modified duration</t>
        </is>
      </c>
      <c r="B18" s="29">
        <f>ModDur</f>
        <v/>
      </c>
      <c r="C18" s="29">
        <f>IF(IsZero=1,YearsToMat/(1+YTM),MacaulayCF/(1+YTM/Freq))</f>
        <v/>
      </c>
      <c r="D18" s="29">
        <f>IF(AND(ISNUMBER(B18),ISNUMBER(C18)),B18-C18,"")</f>
        <v/>
      </c>
      <c r="E18" s="22">
        <f>IF(NOT(AND(ISNUMBER(B18),ISNUMBER(C18))),"n/a",IF(ABS(D18)&lt;=0.05,"Pass",IF(ABS(D18)&lt;=0.15000000000000002,"Warning","Fail")))</f>
        <v/>
      </c>
      <c r="F18" s="12" t="inlineStr">
        <is>
          <t>Modified duration cross-check.</t>
        </is>
      </c>
    </row>
    <row r="19">
      <c r="A19" s="8" t="inlineStr">
        <is>
          <t>DV01 (two methods)</t>
        </is>
      </c>
      <c r="B19" s="25">
        <f>DV01</f>
        <v/>
      </c>
      <c r="C19" s="25">
        <f>(IF(IsZero=1,Face/(1+(YTM-0.0001))^YearsToMat,PRICE(Settle,Maturity,CouponRate,YTM-0.0001,Face,Freq,Basis))-IF(IsZero=1,Face/(1+(YTM+0.0001))^YearsToMat,PRICE(Settle,Maturity,CouponRate,YTM+0.0001,Face,Freq,Basis)))/2</f>
        <v/>
      </c>
      <c r="D19" s="25">
        <f>IF(AND(ISNUMBER(B19),ISNUMBER(C19)),B19-C19,"")</f>
        <v/>
      </c>
      <c r="E19" s="22">
        <f>IF(NOT(AND(ISNUMBER(B19),ISNUMBER(C19))),"n/a",IF(ABS(D19)&lt;=0.005,"Pass",IF(ABS(D19)&lt;=0.015,"Warning","Fail")))</f>
        <v/>
      </c>
      <c r="F19" s="12" t="inlineStr">
        <is>
          <t>Duration approximation vs bump-and-reprice at +/-1 bp.</t>
        </is>
      </c>
    </row>
    <row r="20">
      <c r="A20" s="8" t="inlineStr">
        <is>
          <t>Convexity positive?</t>
        </is>
      </c>
      <c r="B20" s="56" t="inlineStr"/>
      <c r="C20" s="56" t="inlineStr"/>
      <c r="D20" s="56" t="inlineStr"/>
      <c r="E20" s="22">
        <f>IF(Convexity&gt;0,"Pass","Fail")</f>
        <v/>
      </c>
      <c r="F20" s="12" t="inlineStr">
        <is>
          <t>A normal fixed-rate Treasury has positive convexity.</t>
        </is>
      </c>
    </row>
    <row r="21">
      <c r="A21" s="8" t="inlineStr">
        <is>
          <t>Convexity reasonableness</t>
        </is>
      </c>
      <c r="B21" s="29">
        <f>Convexity</f>
        <v/>
      </c>
      <c r="C21" s="29">
        <f>(IF(IsZero=1,Face/(1+(YTM+0.001))^YearsToMat,PRICE(Settle,Maturity,CouponRate,YTM+0.001,Face,Freq,Basis))+IF(IsZero=1,Face/(1+(YTM-0.001))^YearsToMat,PRICE(Settle,Maturity,CouponRate,YTM-0.001,Face,Freq,Basis))-2*CleanModel)/(Dirty*0.001^2)</f>
        <v/>
      </c>
      <c r="D21" s="29">
        <f>IF(AND(ISNUMBER(B21),ISNUMBER(C21)),B21-C21,"")</f>
        <v/>
      </c>
      <c r="E21" s="22">
        <f>IF(NOT(AND(ISNUMBER(B21),ISNUMBER(C21))),"n/a",IF(ABS(D21)&lt;=1.5,"Pass",IF(ABS(D21)&lt;=4.5,"Warning","Fail")))</f>
        <v/>
      </c>
      <c r="F21" s="12" t="inlineStr">
        <is>
          <t>Schedule convexity vs a bump-and-reprice estimate.</t>
        </is>
      </c>
    </row>
    <row r="22">
      <c r="A22" s="8" t="inlineStr">
        <is>
          <t>Date order</t>
        </is>
      </c>
      <c r="B22" s="56" t="inlineStr"/>
      <c r="C22" s="56" t="inlineStr"/>
      <c r="D22" s="56" t="inlineStr"/>
      <c r="E22" s="22">
        <f>IF(Settle&lt;Maturity,"Pass","Fail")</f>
        <v/>
      </c>
      <c r="F22" s="12" t="inlineStr">
        <is>
          <t>Settlement must be before maturity.</t>
        </is>
      </c>
    </row>
    <row r="23">
      <c r="A23" s="8" t="inlineStr">
        <is>
          <t>No negative times</t>
        </is>
      </c>
      <c r="B23" s="56" t="inlineStr"/>
      <c r="C23" s="56" t="inlineStr"/>
      <c r="D23" s="56" t="inlineStr"/>
      <c r="E23" s="22">
        <f>IF(YearsToMat&gt;0,"Pass","Fail")</f>
        <v/>
      </c>
      <c r="F23" s="12" t="inlineStr">
        <is>
          <t>Only future cash flows are valued.</t>
        </is>
      </c>
    </row>
    <row r="24">
      <c r="A24" s="8" t="inlineStr">
        <is>
          <t>Frequency correct</t>
        </is>
      </c>
      <c r="B24" s="56" t="inlineStr"/>
      <c r="C24" s="56" t="inlineStr"/>
      <c r="D24" s="56" t="inlineStr"/>
      <c r="E24" s="22">
        <f>IF(SecType="Treasury Bill",IF(IsZero=1,"Pass","Fail"),IF(Freq=2,"Pass","Fail"))</f>
        <v/>
      </c>
      <c r="F24" s="12" t="inlineStr">
        <is>
          <t>Notes/bonds must be semiannual; bills must be zero-coupon.</t>
        </is>
      </c>
    </row>
    <row r="25">
      <c r="A25" s="8" t="inlineStr">
        <is>
          <t>Consistency check</t>
        </is>
      </c>
      <c r="B25" s="56" t="inlineStr"/>
      <c r="C25" s="56" t="inlineStr"/>
      <c r="D25" s="56" t="inlineStr"/>
      <c r="E25" s="22">
        <f>IF(FreqWarn="OK","Pass","Fail")</f>
        <v/>
      </c>
      <c r="F25" s="12" t="inlineStr">
        <is>
          <t>Security type and coupon frequency must be consistent (see Bond Terms).</t>
        </is>
      </c>
    </row>
    <row r="26">
      <c r="A26" s="8" t="inlineStr">
        <is>
          <t>Coupon count</t>
        </is>
      </c>
      <c r="B26" s="56" t="inlineStr"/>
      <c r="C26" s="56" t="inlineStr"/>
      <c r="D26" s="56" t="inlineStr"/>
      <c r="E26" s="22">
        <f>IF(IsZero=1,IF(Ncoup=1,"Pass","Warning"),IF(Ncoup&gt;0,"Pass","Fail"))</f>
        <v/>
      </c>
      <c r="F26" s="12" t="inlineStr">
        <is>
          <t>Number of scheduled payments matches the frequency.</t>
        </is>
      </c>
    </row>
    <row r="27">
      <c r="A27" s="8" t="inlineStr">
        <is>
          <t>Price vs par direction</t>
        </is>
      </c>
      <c r="B27" s="56" t="inlineStr"/>
      <c r="C27" s="56" t="inlineStr"/>
      <c r="D27" s="56" t="inlineStr"/>
      <c r="E27" s="22">
        <f>IF(IsZero=1,"n/a",IF(ABS(CouponRate-YTM)&lt;0.0005,"Pass",IF(SIGN(CouponRate-YTM)=SIGN(MktClean-Face),"Pass","Fail")))</f>
        <v/>
      </c>
      <c r="F27" s="12" t="inlineStr">
        <is>
          <t>Coupon above yield =&gt; price above par, and vice versa.</t>
        </is>
      </c>
    </row>
    <row r="28">
      <c r="A28" s="8" t="inlineStr">
        <is>
          <t>Duration positive</t>
        </is>
      </c>
      <c r="B28" s="56" t="inlineStr"/>
      <c r="C28" s="56" t="inlineStr"/>
      <c r="D28" s="56" t="inlineStr"/>
      <c r="E28" s="22">
        <f>IF(ModDur&gt;0,"Pass","Fail")</f>
        <v/>
      </c>
      <c r="F28" s="12" t="inlineStr">
        <is>
          <t>Price falls when yields rise (positive duration).</t>
        </is>
      </c>
    </row>
    <row r="29">
      <c r="A29" s="8" t="inlineStr">
        <is>
          <t>DV01 positive</t>
        </is>
      </c>
      <c r="B29" s="56" t="inlineStr"/>
      <c r="C29" s="56" t="inlineStr"/>
      <c r="D29" s="56" t="inlineStr"/>
      <c r="E29" s="22">
        <f>IF(DV01&gt;0,"Pass","Fail")</f>
        <v/>
      </c>
      <c r="F29" s="12" t="inlineStr">
        <is>
          <t>DV01 is quoted positive as a risk magnitude.</t>
        </is>
      </c>
    </row>
    <row r="31">
      <c r="A31" s="8" t="inlineStr">
        <is>
          <t>Summary</t>
        </is>
      </c>
      <c r="B31" s="11">
        <f>"Pass: "&amp;COUNTIF(E13:E29,"Pass")&amp;"   Warning: "&amp;COUNTIF(E13:E29,"Warning")&amp;"   Fail: "&amp;COUNTIF(E13:E29,"Fail")</f>
        <v/>
      </c>
      <c r="C31" s="43" t="n"/>
      <c r="D31" s="43" t="n"/>
      <c r="E31" s="43" t="n"/>
      <c r="F31" s="23" t="n"/>
    </row>
  </sheetData>
  <mergeCells count="7">
    <mergeCell ref="A2:F2"/>
    <mergeCell ref="A1:F1"/>
    <mergeCell ref="A9:F9"/>
    <mergeCell ref="A8:F8"/>
    <mergeCell ref="B31:F31"/>
    <mergeCell ref="A3:F3"/>
    <mergeCell ref="A7:F7"/>
  </mergeCells>
  <conditionalFormatting sqref="E13:E29">
    <cfRule type="expression" priority="1" dxfId="0" stopIfTrue="1">
      <formula>OR(ISNUMBER(SEARCH("PASS",E13)),ISNUMBER(SEARCH("OK",E13)),ISNUMBER(SEARCH("Low",E13)),ISNUMBER(SEARCH("Normal",E13)),ISNUMBER(SEARCH("Buy",E13)),ISNUMBER(SEARCH("Short",E13)),ISNUMBER(SEARCH("Yes",E13)),ISNUMBER(SEARCH("Within",E13)))</formula>
    </cfRule>
    <cfRule type="expression" priority="2" dxfId="1" stopIfTrue="1">
      <formula>OR(ISNUMBER(SEARCH("WARNING",E13)),ISNUMBER(SEARCH("WARN",E13)),ISNUMBER(SEARCH("Medium",E13)),ISNUMBER(SEARCH("Flat",E13)),ISNUMBER(SEARCH("Hold",E13)),ISNUMBER(SEARCH("Intermediate",E13)),ISNUMBER(SEARCH("Review",E13)),ISNUMBER(SEARCH("Watch",E13)))</formula>
    </cfRule>
    <cfRule type="expression" priority="3" dxfId="2" stopIfTrue="1">
      <formula>OR(ISNUMBER(SEARCH("FAIL",E13)),ISNUMBER(SEARCH("High",E13)),ISNUMBER(SEARCH("Inverted",E13)),ISNUMBER(SEARCH("Avoid",E13)),ISNUMBER(SEARCH("Long",E13)),ISNUMBER(SEARCH("Negative",E13)),ISNUMBER(SEARCH("No",E13)))</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2.xml><?xml version="1.0" encoding="utf-8"?>
<worksheet xmlns="http://schemas.openxmlformats.org/spreadsheetml/2006/main">
  <sheetPr>
    <tabColor rgb="006B7986"/>
    <outlinePr summaryBelow="1" summaryRight="1"/>
    <pageSetUpPr fitToPage="1"/>
  </sheetPr>
  <dimension ref="A1:H34"/>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8" customHeight="1">
      <c r="A1" s="1" t="inlineStr">
        <is>
          <t>LIMITATIONS &amp; FUTURE UPGRADES</t>
        </is>
      </c>
    </row>
    <row r="2">
      <c r="A2" s="2" t="inlineStr">
        <is>
          <t>What this simple model does not cover</t>
        </is>
      </c>
    </row>
    <row r="3">
      <c r="A3" s="3" t="inlineStr">
        <is>
          <t>US Treasury Bond Analyzer  -  v1.0</t>
        </is>
      </c>
    </row>
    <row r="5">
      <c r="A5" s="4" t="inlineStr">
        <is>
          <t>Cover</t>
        </is>
      </c>
      <c r="B5" s="4" t="inlineStr">
        <is>
          <t>Bond Terms</t>
        </is>
      </c>
      <c r="C5" s="4" t="inlineStr">
        <is>
          <t>Cash Flows</t>
        </is>
      </c>
      <c r="D5" s="4" t="inlineStr">
        <is>
          <t>Price &amp; Yield</t>
        </is>
      </c>
      <c r="E5" s="4" t="inlineStr">
        <is>
          <t>Duration &amp; Convexity</t>
        </is>
      </c>
      <c r="F5" s="4" t="inlineStr">
        <is>
          <t>Rate Shock</t>
        </is>
      </c>
    </row>
    <row r="6">
      <c r="A6" s="4" t="inlineStr">
        <is>
          <t>Yield Curve</t>
        </is>
      </c>
      <c r="B6" s="4" t="inlineStr">
        <is>
          <t>Risk Summary</t>
        </is>
      </c>
      <c r="C6" s="4" t="inlineStr">
        <is>
          <t>Recommendation</t>
        </is>
      </c>
      <c r="D6" s="4" t="inlineStr">
        <is>
          <t>Formula Explanations</t>
        </is>
      </c>
      <c r="E6" s="4" t="inlineStr">
        <is>
          <t>Audit</t>
        </is>
      </c>
      <c r="F6" s="4" t="inlineStr">
        <is>
          <t>Limitations</t>
        </is>
      </c>
    </row>
    <row r="7" ht="16" customHeight="1">
      <c r="A7" s="6" t="inlineStr">
        <is>
          <t>How to read this sheet</t>
        </is>
      </c>
    </row>
    <row r="8" ht="25" customHeight="1">
      <c r="A8" s="7" t="inlineStr">
        <is>
          <t>This model is intentionally simple: one plain US Treasury (fixed-coupon note/bond or zero-coupon bill). The items below are deliberately left out to keep it correct and easy to audit.</t>
        </is>
      </c>
    </row>
    <row r="11" ht="18" customHeight="1">
      <c r="A11" s="5" t="inlineStr">
        <is>
          <t>Not covered in this version</t>
        </is>
      </c>
    </row>
    <row r="12">
      <c r="A12" s="12" t="inlineStr">
        <is>
          <t>-  Corporate bonds</t>
        </is>
      </c>
    </row>
    <row r="13">
      <c r="A13" s="12" t="inlineStr">
        <is>
          <t>-  Credit spreads</t>
        </is>
      </c>
    </row>
    <row r="14">
      <c r="A14" s="12" t="inlineStr">
        <is>
          <t>-  Callable bonds</t>
        </is>
      </c>
    </row>
    <row r="15">
      <c r="A15" s="12" t="inlineStr">
        <is>
          <t>-  Floating-rate notes</t>
        </is>
      </c>
    </row>
    <row r="16">
      <c r="A16" s="12" t="inlineStr">
        <is>
          <t>-  TIPS</t>
        </is>
      </c>
    </row>
    <row r="17">
      <c r="A17" s="12" t="inlineStr">
        <is>
          <t>-  STRIPS complexity</t>
        </is>
      </c>
    </row>
    <row r="18">
      <c r="A18" s="12" t="inlineStr">
        <is>
          <t>-  Repo financing</t>
        </is>
      </c>
    </row>
    <row r="19">
      <c r="A19" s="12" t="inlineStr">
        <is>
          <t>-  Futures hedging</t>
        </is>
      </c>
    </row>
    <row r="20">
      <c r="A20" s="12" t="inlineStr">
        <is>
          <t>-  Key rate duration</t>
        </is>
      </c>
    </row>
    <row r="21">
      <c r="A21" s="12" t="inlineStr">
        <is>
          <t>-  Full yield-curve bootstrapping</t>
        </is>
      </c>
    </row>
    <row r="22">
      <c r="A22" s="12" t="inlineStr">
        <is>
          <t>-  Scenario probabilities</t>
        </is>
      </c>
    </row>
    <row r="23">
      <c r="A23" s="12" t="inlineStr">
        <is>
          <t>-  Portfolio-level bond analysis</t>
        </is>
      </c>
    </row>
    <row r="25" ht="18" customHeight="1">
      <c r="A25" s="5" t="inlineStr">
        <is>
          <t>Possible future upgrades</t>
        </is>
      </c>
    </row>
    <row r="26">
      <c r="A26" s="12" t="inlineStr">
        <is>
          <t>-  TIPS (inflation-linked) analysis</t>
        </is>
      </c>
    </row>
    <row r="27">
      <c r="A27" s="12" t="inlineStr">
        <is>
          <t>-  Key rate duration</t>
        </is>
      </c>
    </row>
    <row r="28">
      <c r="A28" s="12" t="inlineStr">
        <is>
          <t>-  Treasury curve interpolation / bootstrapping</t>
        </is>
      </c>
    </row>
    <row r="29">
      <c r="A29" s="12" t="inlineStr">
        <is>
          <t>-  Portfolio duration</t>
        </is>
      </c>
    </row>
    <row r="30">
      <c r="A30" s="12" t="inlineStr">
        <is>
          <t>-  Bond-ladder analysis</t>
        </is>
      </c>
    </row>
    <row r="31">
      <c r="A31" s="12" t="inlineStr">
        <is>
          <t>-  Comparison across multiple Treasuries</t>
        </is>
      </c>
    </row>
    <row r="33" ht="16" customHeight="1">
      <c r="A33" s="6" t="inlineStr">
        <is>
          <t>In short</t>
        </is>
      </c>
    </row>
    <row r="34" ht="25" customHeight="1">
      <c r="A34" s="7" t="inlineStr">
        <is>
          <t>For any of the above, use a dedicated fixed-income system. This tool is for understanding a single plain-vanilla US Treasury security.</t>
        </is>
      </c>
    </row>
  </sheetData>
  <mergeCells count="27">
    <mergeCell ref="A30:H30"/>
    <mergeCell ref="A15:H15"/>
    <mergeCell ref="A11:H11"/>
    <mergeCell ref="A1:H1"/>
    <mergeCell ref="A7:H7"/>
    <mergeCell ref="A25:H25"/>
    <mergeCell ref="A16:H16"/>
    <mergeCell ref="A27:H27"/>
    <mergeCell ref="A12:H12"/>
    <mergeCell ref="A18:H18"/>
    <mergeCell ref="A3:H3"/>
    <mergeCell ref="A21:H21"/>
    <mergeCell ref="A26:H26"/>
    <mergeCell ref="A2:H2"/>
    <mergeCell ref="A33:H33"/>
    <mergeCell ref="A14:H14"/>
    <mergeCell ref="A23:H23"/>
    <mergeCell ref="A8:H8"/>
    <mergeCell ref="A22:H22"/>
    <mergeCell ref="A17:H17"/>
    <mergeCell ref="A29:H29"/>
    <mergeCell ref="A20:H20"/>
    <mergeCell ref="A28:H28"/>
    <mergeCell ref="A13:H13"/>
    <mergeCell ref="A19:H19"/>
    <mergeCell ref="A31:H31"/>
    <mergeCell ref="A34:H34"/>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 Treasury Bond Analyzer v1.0</dc:creator>
  <dc:title>US Treasury Bond Analyzer</dc:title>
  <dcterms:created xsi:type="dcterms:W3CDTF">2026-07-05T09:13:16Z</dcterms:created>
  <dcterms:modified xsi:type="dcterms:W3CDTF">2026-07-05T09:13:16Z</dcterms:modified>
</cp:coreProperties>
</file>
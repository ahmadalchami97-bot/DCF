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nd Terms" sheetId="2" state="visible" r:id="rId2"/>
    <sheet name="Cash Flows" sheetId="3" state="visible" r:id="rId3"/>
    <sheet name="Price &amp; Yield" sheetId="4" state="visible" r:id="rId4"/>
    <sheet name="Duration &amp; Convexity" sheetId="5" state="visible" r:id="rId5"/>
    <sheet name="Rate Shock" sheetId="6" state="visible" r:id="rId6"/>
    <sheet name="Yield Curve" sheetId="7" state="visible" r:id="rId7"/>
    <sheet name="Risk Summary" sheetId="8" state="visible" r:id="rId8"/>
    <sheet name="Recommendation" sheetId="9" state="visible" r:id="rId9"/>
    <sheet name="Formula Explanations" sheetId="10" state="visible" r:id="rId10"/>
    <sheet name="Audit" sheetId="11" state="visible" r:id="rId11"/>
    <sheet name="Limitations" sheetId="12" state="visible" r:id="rId12"/>
  </sheets>
  <definedNames>
    <definedName name="SecName">'Bond Terms'!$B$16</definedName>
    <definedName name="CUSIP">'Bond Terms'!$B$17</definedName>
    <definedName name="SecType">'Bond Terms'!$B$18</definedName>
    <definedName name="Ccy">'Bond Terms'!$B$19</definedName>
    <definedName name="Face">'Bond Terms'!$B$21</definedName>
    <definedName name="CouponRate">'Bond Terms'!$B$22</definedName>
    <definedName name="FreqName">'Bond Terms'!$B$23</definedName>
    <definedName name="Basis">'Bond Terms'!$B$24</definedName>
    <definedName name="IssueDate">'Bond Terms'!$B$25</definedName>
    <definedName name="Settle">'Bond Terms'!$B$26</definedName>
    <definedName name="Maturity">'Bond Terms'!$B$27</definedName>
    <definedName name="MktClean">'Bond Terms'!$B$28</definedName>
    <definedName name="BenchYield">'Bond Terms'!$B$29</definedName>
    <definedName name="Analyst">'Bond Terms'!$B$31</definedName>
    <definedName name="AnalysisDate">'Bond Terms'!$B$32</definedName>
    <definedName name="IsZero">'Bond Terms'!$B$34</definedName>
    <definedName name="Freq">'Bond Terms'!$B$35</definedName>
    <definedName name="EffCoupon">'Bond Terms'!$B$36</definedName>
    <definedName name="YearsToMat">'Bond Terms'!$B$38</definedName>
    <definedName name="FreqWarn">'Bond Terms'!$B$39</definedName>
    <definedName name="Accrued">'Price &amp; Yield'!$B$14</definedName>
    <definedName name="CleanPrice">'Price &amp; Yield'!$B$15</definedName>
    <definedName name="Dirty">'Price &amp; Yield'!$B$16</definedName>
    <definedName name="YTM">'Price &amp; Yield'!$B$17</definedName>
    <definedName name="CurrentYield">'Price &amp; Yield'!$B$18</definedName>
    <definedName name="PremDisc">'Price &amp; Yield'!$B$19</definedName>
    <definedName name="Spread">'Price &amp; Yield'!$B$20</definedName>
    <definedName name="SpreadBps">'Price &amp; Yield'!$B$21</definedName>
    <definedName name="CleanModel">'Price &amp; Yield'!$B$22</definedName>
    <definedName name="Ncoup">'Cash Flows'!$B$14</definedName>
    <definedName name="Ncd">'Cash Flows'!$B$15</definedName>
    <definedName name="Wfrac">'Cash Flows'!$B$16</definedName>
    <definedName name="DirtyCF">'Cash Flows'!$B$84</definedName>
    <definedName name="MacaulayCF">'Cash Flows'!$B$85</definedName>
    <definedName name="Convexity">'Cash Flows'!$B$86</definedName>
    <definedName name="MacDur">'Duration &amp; Convexity'!$B$14</definedName>
    <definedName name="ModDur">'Duration &amp; Convexity'!$B$15</definedName>
    <definedName name="ConvexityView">'Duration &amp; Convexity'!$B$16</definedName>
    <definedName name="DV01">'Duration &amp; Convexity'!$B$17</definedName>
    <definedName name="Y3M">'Yield Curve'!$B$15</definedName>
    <definedName name="Y2Y">'Yield Curve'!$B$16</definedName>
    <definedName name="Y5Y">'Yield Curve'!$B$17</definedName>
    <definedName name="Y10Y">'Yield Curve'!$B$18</definedName>
    <definedName name="Y30Y">'Yield Curve'!$B$19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0.00&quot; yrs&quot;"/>
    <numFmt numFmtId="167" formatCode="0.000%"/>
    <numFmt numFmtId="168" formatCode="0.0&quot; bps&quot;"/>
    <numFmt numFmtId="169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FFFFFF"/>
      <sz val="10"/>
    </font>
    <font>
      <name val="Calibri"/>
      <b val="1"/>
      <color rgb="0020303F"/>
      <sz val="9"/>
    </font>
    <font>
      <name val="Calibri"/>
      <color rgb="0020303F"/>
      <sz val="9"/>
    </font>
    <font>
      <name val="Calibri"/>
      <b val="1"/>
      <color rgb="0020303F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1F7A3D"/>
      <sz val="10"/>
    </font>
    <font>
      <name val="Calibri"/>
      <color rgb="001F7A3D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4A789C"/>
        <bgColor rgb="004A789C"/>
      </patternFill>
    </fill>
    <fill>
      <patternFill patternType="solid">
        <fgColor rgb="00FFF8E1"/>
        <bgColor rgb="00FFF8E1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2E5984"/>
        <bgColor rgb="002E5984"/>
      </patternFill>
    </fill>
    <fill>
      <patternFill patternType="solid">
        <fgColor rgb="00E8EEF4"/>
        <bgColor rgb="00E8EEF4"/>
      </patternFill>
    </fill>
  </fills>
  <borders count="9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/>
      <right/>
      <top style="thin">
        <color rgb="00D5DCE4"/>
      </top>
      <bottom style="thin">
        <color rgb="00D5DCE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4" fontId="8" fillId="5" borderId="3" applyAlignment="1" applyProtection="1" pivotButton="0" quotePrefix="0" xfId="0">
      <alignment horizontal="right" vertical="center"/>
      <protection locked="0" hidden="0"/>
    </xf>
    <xf numFmtId="10" fontId="8" fillId="5" borderId="3" applyAlignment="1" applyProtection="1" pivotButton="0" quotePrefix="0" xfId="0">
      <alignment horizontal="right" vertical="center"/>
      <protection locked="0" hidden="0"/>
    </xf>
    <xf numFmtId="3" fontId="8" fillId="5" borderId="3" applyAlignment="1" applyProtection="1" pivotButton="0" quotePrefix="0" xfId="0">
      <alignment horizontal="center" vertical="center"/>
      <protection locked="0" hidden="0"/>
    </xf>
    <xf numFmtId="165" fontId="8" fillId="5" borderId="3" applyAlignment="1" applyProtection="1" pivotButton="0" quotePrefix="0" xfId="0">
      <alignment horizontal="center" vertical="center"/>
      <protection locked="0" hidden="0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0" fillId="0" borderId="6" pivotButton="0" quotePrefix="0" xfId="0"/>
    <xf numFmtId="165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7" fillId="8" borderId="7" applyAlignment="1" pivotButton="0" quotePrefix="0" xfId="0">
      <alignment horizontal="left" vertical="center"/>
    </xf>
    <xf numFmtId="4" fontId="7" fillId="8" borderId="7" applyAlignment="1" pivotButton="0" quotePrefix="0" xfId="0">
      <alignment horizontal="right" vertical="center"/>
    </xf>
    <xf numFmtId="4" fontId="10" fillId="6" borderId="3" applyAlignment="1" pivotButton="0" quotePrefix="0" xfId="0">
      <alignment horizontal="right" vertical="center"/>
    </xf>
    <xf numFmtId="166" fontId="10" fillId="6" borderId="3" applyAlignment="1" pivotButton="0" quotePrefix="0" xfId="0">
      <alignment horizontal="right" vertical="center"/>
    </xf>
    <xf numFmtId="2" fontId="10" fillId="6" borderId="3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167" fontId="10" fillId="6" borderId="3" applyAlignment="1" pivotButton="0" quotePrefix="0" xfId="0">
      <alignment horizontal="right" vertical="center"/>
    </xf>
    <xf numFmtId="10" fontId="10" fillId="6" borderId="3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9" fontId="10" fillId="6" borderId="3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0" fillId="0" borderId="8" pivotButton="0" quotePrefix="0" xfId="0"/>
    <xf numFmtId="0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169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0" fontId="0" fillId="0" borderId="8" applyProtection="1" pivotButton="0" quotePrefix="0" xfId="0">
      <protection locked="0" hidden="0"/>
    </xf>
    <xf numFmtId="0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alibri"/>
        <b val="1"/>
        <color rgb="001F7A3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Treasury yield curve</a:t>
            </a:r>
          </a:p>
        </rich>
      </tx>
    </title>
    <plotArea>
      <lineChart>
        <grouping val="standard"/>
        <ser>
          <idx val="0"/>
          <order val="0"/>
          <tx>
            <strRef>
              <f>'Yield Curve'!B14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'Yield Curve'!$A$15:$A$19</f>
            </numRef>
          </cat>
          <val>
            <numRef>
              <f>'Yield Curve'!$B$15:$B$19</f>
            </numRef>
          </val>
        </ser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Maturity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Treasury Analyzer</author>
  </authors>
  <commentList>
    <comment ref="B16" authorId="0" shapeId="0">
      <text>
        <t>How much of the current coupon period is still ahead of you, so the first payment is discounted over the correct partial period.</t>
      </text>
    </comment>
    <comment ref="I18" authorId="0" shapeId="0">
      <text>
        <t>Helper for convexity: Total x t x (t+1) / (1+y/2)^(t+2). Summed below.</t>
      </text>
    </comment>
    <comment ref="J18" authorId="0" shapeId="0">
      <text>
        <t>Helper for Macaulay duration: Time x PV. Summed and divided by total PV.</t>
      </text>
    </comment>
    <comment ref="B85" authorId="0" shapeId="0">
      <text>
        <t>Weighted-average time to get your money back: sum(time x PV) / sum(PV).</t>
      </text>
    </comment>
  </commentList>
</comments>
</file>

<file path=xl/comments/comment2.xml><?xml version="1.0" encoding="utf-8"?>
<comments xmlns="http://schemas.openxmlformats.org/spreadsheetml/2006/main">
  <authors>
    <author>Treasury Analyzer</author>
  </authors>
  <commentList>
    <comment ref="B14" authorId="0" shapeId="0">
      <text>
        <t>Accrued = (days since last coupon / days in the period) x periodic coupon.</t>
      </text>
    </comment>
    <comment ref="B16" authorId="0" shapeId="0">
      <text>
        <t>Dirty price = clean price + accrued interest.</t>
      </text>
    </comment>
    <comment ref="B17" authorId="0" shapeId="0">
      <text>
        <t>Notes/bonds use Excel YIELD(); a Treasury Bill uses the manual zero-coupon formula.</t>
      </text>
    </comment>
  </commentList>
</comments>
</file>

<file path=xl/comments/comment3.xml><?xml version="1.0" encoding="utf-8"?>
<comments xmlns="http://schemas.openxmlformats.org/spreadsheetml/2006/main">
  <authors>
    <author>Treasury Analyzer</author>
  </authors>
  <commentList>
    <comment ref="B14" authorId="0" shapeId="0">
      <text>
        <t>Excel DURATION() for coupon Treasuries; = time-to-maturity for a bill.</t>
      </text>
    </comment>
    <comment ref="B17" authorId="0" shapeId="0">
      <text>
        <t>DV01 = Modified duration x Dirty price x 0.0001.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Relationship Type="http://schemas.openxmlformats.org/officeDocument/2006/relationships/drawing" Target="/xl/drawings/drawing1.xml" Id="rId13" /></Relationships>
</file>

<file path=xl/worksheets/_rels/sheet8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Bond Terms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Price &amp; Yield'!A1" TargetMode="External" Id="rId4" /><Relationship Type="http://schemas.openxmlformats.org/officeDocument/2006/relationships/hyperlink" Target="#'Duration &amp; Convexity'!A1" TargetMode="External" Id="rId5" /><Relationship Type="http://schemas.openxmlformats.org/officeDocument/2006/relationships/hyperlink" Target="#'Rate Shock'!A1" TargetMode="External" Id="rId6" /><Relationship Type="http://schemas.openxmlformats.org/officeDocument/2006/relationships/hyperlink" Target="#'Yield Curve'!A1" TargetMode="External" Id="rId7" /><Relationship Type="http://schemas.openxmlformats.org/officeDocument/2006/relationships/hyperlink" Target="#'Risk Summary'!A1" TargetMode="External" Id="rId8" /><Relationship Type="http://schemas.openxmlformats.org/officeDocument/2006/relationships/hyperlink" Target="#'Recommendation'!A1" TargetMode="External" Id="rId9" /><Relationship Type="http://schemas.openxmlformats.org/officeDocument/2006/relationships/hyperlink" Target="#'Formula Explanations'!A1" TargetMode="External" Id="rId10" /><Relationship Type="http://schemas.openxmlformats.org/officeDocument/2006/relationships/hyperlink" Target="#'Audit'!A1" TargetMode="External" Id="rId11" /><Relationship Type="http://schemas.openxmlformats.org/officeDocument/2006/relationships/hyperlink" Target="#'Limitations'!A1" TargetMode="External" Id="rId12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J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US TREASURY BOND ANALYZER</t>
        </is>
      </c>
    </row>
    <row r="2">
      <c r="A2" s="2" t="inlineStr">
        <is>
          <t>A simple, clean model to value and analyze one US Treasury security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8" customHeight="1">
      <c r="A7" s="5" t="inlineStr">
        <is>
          <t>What this model does</t>
        </is>
      </c>
    </row>
    <row r="8" ht="37" customHeight="1">
      <c r="A8" s="3" t="inlineStr">
        <is>
          <t>It values and analyzes a single US Treasury security: clean &amp; dirty price, accrued interest, yield to maturity, current yield, duration, convexity, DV01, a rate-shock table, yield-curve context, a risk checklist, a recommendation page, and an independent audit sheet.</t>
        </is>
      </c>
    </row>
    <row r="9" ht="25" customHeight="1">
      <c r="A9" s="3" t="inlineStr">
        <is>
          <t>It is built to be understood: inputs are yellow, results are green, every formula is visible, and the Formula Explanations sheet describes each calculation in plain English.</t>
        </is>
      </c>
    </row>
    <row r="10" ht="18" customHeight="1">
      <c r="A10" s="5" t="inlineStr">
        <is>
          <t>The main risk for a US Treasury is INTEREST-RATE risk</t>
        </is>
      </c>
    </row>
    <row r="11" ht="37" customHeight="1">
      <c r="A11" s="3" t="inlineStr">
        <is>
          <t>US Treasuries are backed by the US government and are treated as the risk-free benchmark, so credit/default risk is not the focus. What moves their price is INTEREST RATES: when yields rise, Treasury prices fall, and when yields fall, prices rise. INFLATION also matters because coupons are fixed in nominal terms.</t>
        </is>
      </c>
    </row>
    <row r="12" ht="18" customHeight="1">
      <c r="A12" s="5" t="inlineStr">
        <is>
          <t>What it supports</t>
        </is>
      </c>
    </row>
    <row r="13" ht="14" customHeight="1">
      <c r="A13" s="3" t="inlineStr">
        <is>
          <t>- Fixed-coupon Treasury Notes and Bonds (semiannual coupons).</t>
        </is>
      </c>
    </row>
    <row r="14" ht="14" customHeight="1">
      <c r="A14" s="3" t="inlineStr">
        <is>
          <t>- Zero-coupon Treasury Bills (and stripped zeros): no coupon, only principal at maturity.</t>
        </is>
      </c>
    </row>
    <row r="15" ht="14" customHeight="1">
      <c r="A15" s="3" t="inlineStr">
        <is>
          <t>- Face value = 100 (prices quoted per 100 face). Day-count basis = Actual/Actual (Treasury convention).</t>
        </is>
      </c>
    </row>
    <row r="16" ht="18" customHeight="1">
      <c r="A16" s="5" t="inlineStr">
        <is>
          <t>What it does NOT cover</t>
        </is>
      </c>
    </row>
    <row r="17" ht="25" customHeight="1">
      <c r="A17" s="3" t="inlineStr">
        <is>
          <t>Corporate bonds, credit spreads, callable bonds, floating-rate notes, TIPS, STRIPS complexity, and complex derivatives are out of scope - see the Limitations sheet. This keeps the model simple and correct for plain US Treasuries.</t>
        </is>
      </c>
    </row>
    <row r="18" ht="18" customHeight="1">
      <c r="A18" s="5" t="inlineStr">
        <is>
          <t>How to use this model</t>
        </is>
      </c>
    </row>
    <row r="19" ht="14" customHeight="1">
      <c r="A19" s="3" t="inlineStr">
        <is>
          <t>1.  Go to 'Bond Terms' and fill the yellow cells (security type, coupon, dates, market price).</t>
        </is>
      </c>
    </row>
    <row r="20" ht="14" customHeight="1">
      <c r="A20" s="3" t="inlineStr">
        <is>
          <t>2.  Read 'Price &amp; Yield' and 'Duration &amp; Convexity' for value and interest-rate risk.</t>
        </is>
      </c>
    </row>
    <row r="21" ht="14" customHeight="1">
      <c r="A21" s="3" t="inlineStr">
        <is>
          <t>3.  Use 'Rate Shock' to see price impact if yields move, and 'Yield Curve' for curve context.</t>
        </is>
      </c>
    </row>
    <row r="22" ht="14" customHeight="1">
      <c r="A22" s="3" t="inlineStr">
        <is>
          <t>4.  Review the 'Risk Summary', then use 'Recommendation' to summarise and make your Buy/Hold/Avoid call.</t>
        </is>
      </c>
    </row>
    <row r="23" ht="14" customHeight="1">
      <c r="A23" s="3" t="inlineStr">
        <is>
          <t>5.  Open 'Audit' to confirm the numbers pass the independent checks; use 'Formula Explanations' when unsure.</t>
        </is>
      </c>
    </row>
    <row r="25" ht="16" customHeight="1">
      <c r="A25" s="6" t="inlineStr">
        <is>
          <t>Important</t>
        </is>
      </c>
    </row>
    <row r="26" ht="25" customHeight="1">
      <c r="A26" s="7" t="inlineStr">
        <is>
          <t>This is a simplified educational model for a single US Treasury security. It is a decision-support tool, not investment advice.</t>
        </is>
      </c>
    </row>
  </sheetData>
  <mergeCells count="22">
    <mergeCell ref="A23:J23"/>
    <mergeCell ref="A8:J8"/>
    <mergeCell ref="A14:J14"/>
    <mergeCell ref="A22:J22"/>
    <mergeCell ref="A17:J17"/>
    <mergeCell ref="A20:J20"/>
    <mergeCell ref="A10:J10"/>
    <mergeCell ref="A19:J19"/>
    <mergeCell ref="A13:J13"/>
    <mergeCell ref="A9:J9"/>
    <mergeCell ref="A15:J15"/>
    <mergeCell ref="A11:J11"/>
    <mergeCell ref="A1:J1"/>
    <mergeCell ref="A7:J7"/>
    <mergeCell ref="A16:J16"/>
    <mergeCell ref="A25:J25"/>
    <mergeCell ref="A18:J18"/>
    <mergeCell ref="A3:J3"/>
    <mergeCell ref="A21:J21"/>
    <mergeCell ref="A12:J12"/>
    <mergeCell ref="A26:J26"/>
    <mergeCell ref="A2:J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BOND TERMS</t>
        </is>
      </c>
    </row>
    <row r="2">
      <c r="A2" s="2" t="inlineStr">
        <is>
          <t>Type the Treasury's details here. Every other sheet reads from this page.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WHAT TO DO:  fill the yellow cells. Use the drop-downs for security type and coupon frequency.</t>
        </is>
      </c>
    </row>
    <row r="9" ht="14" customHeight="1">
      <c r="A9" s="7" t="inlineStr">
        <is>
          <t>TREASURY BILL:  set Security type = Treasury Bill and Coupon frequency = Zero-coupon; the coupon rate is 0%.</t>
        </is>
      </c>
    </row>
    <row r="10" ht="14" customHeight="1">
      <c r="A10" s="7" t="inlineStr">
        <is>
          <t>TREASURY NOTE / BOND:  set Coupon frequency = Semiannual (US Treasuries pay coupons twice a year).</t>
        </is>
      </c>
    </row>
    <row r="11" ht="14" customHeight="1">
      <c r="A11" s="7" t="inlineStr">
        <is>
          <t>Day-count basis is Actual/Actual (1) - the US Treasury convention.</t>
        </is>
      </c>
    </row>
    <row r="13">
      <c r="A13" s="8" t="inlineStr">
        <is>
          <t>Legend:</t>
        </is>
      </c>
      <c r="B13" s="9" t="inlineStr">
        <is>
          <t>Input (type here)</t>
        </is>
      </c>
      <c r="D13" s="10" t="inlineStr">
        <is>
          <t>Formula</t>
        </is>
      </c>
      <c r="E13" s="11" t="inlineStr">
        <is>
          <t>Key output</t>
        </is>
      </c>
      <c r="G13" s="12" t="inlineStr">
        <is>
          <t>blue = input - black = formula - green = key output</t>
        </is>
      </c>
    </row>
    <row r="15" ht="18" customHeight="1">
      <c r="A15" s="5" t="inlineStr">
        <is>
          <t>Security identification</t>
        </is>
      </c>
    </row>
    <row r="16">
      <c r="A16" s="8" t="inlineStr">
        <is>
          <t>Security name</t>
        </is>
      </c>
      <c r="B16" s="13" t="inlineStr">
        <is>
          <t>&lt;Security name&gt;</t>
        </is>
      </c>
      <c r="C16" s="14" t="n"/>
    </row>
    <row r="17">
      <c r="A17" s="8" t="inlineStr">
        <is>
          <t>CUSIP / ticker</t>
        </is>
      </c>
      <c r="B17" s="13" t="inlineStr"/>
      <c r="C17" s="14" t="n"/>
    </row>
    <row r="18">
      <c r="A18" s="8" t="inlineStr">
        <is>
          <t>Security type</t>
        </is>
      </c>
      <c r="B18" s="9" t="inlineStr">
        <is>
          <t>Treasury Note</t>
        </is>
      </c>
      <c r="C18" s="14" t="n"/>
      <c r="D18" s="12" t="inlineStr">
        <is>
          <t>Treasury Bill (zero-coupon), Treasury Note (2-10y), or Treasury Bond (20-30y).</t>
        </is>
      </c>
    </row>
    <row r="19">
      <c r="A19" s="8" t="inlineStr">
        <is>
          <t>Currency</t>
        </is>
      </c>
      <c r="B19" s="9" t="inlineStr">
        <is>
          <t>USD</t>
        </is>
      </c>
      <c r="C19" s="14" t="n"/>
    </row>
    <row r="20" ht="18" customHeight="1">
      <c r="A20" s="5" t="inlineStr">
        <is>
          <t>Economic terms</t>
        </is>
      </c>
    </row>
    <row r="21">
      <c r="A21" s="8" t="inlineStr">
        <is>
          <t>Face value (per bond)</t>
        </is>
      </c>
      <c r="B21" s="15" t="n">
        <v>100</v>
      </c>
      <c r="C21" s="14" t="n"/>
      <c r="D21" s="12" t="inlineStr">
        <is>
          <t>Prices are quoted per 100 face. Keep this 100.</t>
        </is>
      </c>
    </row>
    <row r="22">
      <c r="A22" s="8" t="inlineStr">
        <is>
          <t>Coupon rate (annual)</t>
        </is>
      </c>
      <c r="B22" s="16" t="n">
        <v>0.04</v>
      </c>
      <c r="C22" s="14" t="n"/>
      <c r="D22" s="12" t="inlineStr">
        <is>
          <t>Fixed rate for notes/bonds. Use 0% for a Treasury Bill.</t>
        </is>
      </c>
    </row>
    <row r="23">
      <c r="A23" s="8" t="inlineStr">
        <is>
          <t>Coupon frequency</t>
        </is>
      </c>
      <c r="B23" s="9" t="inlineStr">
        <is>
          <t>Semiannual</t>
        </is>
      </c>
      <c r="C23" s="14" t="n"/>
      <c r="D23" s="12" t="inlineStr">
        <is>
          <t>Semiannual for notes/bonds; Zero-coupon for bills.</t>
        </is>
      </c>
    </row>
    <row r="24">
      <c r="A24" s="8" t="inlineStr">
        <is>
          <t>Day-count basis</t>
        </is>
      </c>
      <c r="B24" s="17" t="n">
        <v>1</v>
      </c>
      <c r="C24" s="14" t="n"/>
      <c r="D24" s="12" t="inlineStr">
        <is>
          <t>1 = Actual/Actual (Treasury convention).</t>
        </is>
      </c>
    </row>
    <row r="25">
      <c r="A25" s="8" t="inlineStr">
        <is>
          <t>Issue date</t>
        </is>
      </c>
      <c r="B25" s="18" t="n">
        <v>45337</v>
      </c>
      <c r="C25" s="14" t="n"/>
    </row>
    <row r="26">
      <c r="A26" s="8" t="inlineStr">
        <is>
          <t>Settlement date</t>
        </is>
      </c>
      <c r="B26" s="18" t="n">
        <v>45736</v>
      </c>
      <c r="C26" s="14" t="n"/>
      <c r="D26" s="12" t="inlineStr">
        <is>
          <t>The date you buy/value the security.</t>
        </is>
      </c>
    </row>
    <row r="27">
      <c r="A27" s="8" t="inlineStr">
        <is>
          <t>Maturity date</t>
        </is>
      </c>
      <c r="B27" s="18" t="n">
        <v>48990</v>
      </c>
      <c r="C27" s="14" t="n"/>
    </row>
    <row r="28">
      <c r="A28" s="8" t="inlineStr">
        <is>
          <t>Market clean price</t>
        </is>
      </c>
      <c r="B28" s="15" t="n">
        <v>100</v>
      </c>
      <c r="C28" s="14" t="n"/>
      <c r="D28" s="12" t="inlineStr">
        <is>
          <t>Quoted price per 100 face (excludes accrued interest).</t>
        </is>
      </c>
    </row>
    <row r="29">
      <c r="A29" s="8" t="inlineStr">
        <is>
          <t>Benchmark Treasury yield</t>
        </is>
      </c>
      <c r="B29" s="16" t="n">
        <v>0.043</v>
      </c>
      <c r="C29" s="14" t="n"/>
      <c r="D29" s="12" t="inlineStr">
        <is>
          <t>Yield of a Treasury of similar maturity (for the spread). Optional.</t>
        </is>
      </c>
    </row>
    <row r="30" ht="18" customHeight="1">
      <c r="A30" s="5" t="inlineStr">
        <is>
          <t>Analyst</t>
        </is>
      </c>
    </row>
    <row r="31">
      <c r="A31" s="8" t="inlineStr">
        <is>
          <t>Analyst name</t>
        </is>
      </c>
      <c r="B31" s="13" t="inlineStr"/>
      <c r="C31" s="14" t="n"/>
    </row>
    <row r="32">
      <c r="A32" s="8" t="inlineStr">
        <is>
          <t>Analysis date</t>
        </is>
      </c>
      <c r="B32" s="18" t="n">
        <v>45736</v>
      </c>
      <c r="C32" s="14" t="n"/>
    </row>
    <row r="33" ht="18" customHeight="1">
      <c r="A33" s="5" t="inlineStr">
        <is>
          <t>Derived values (auto - do not edit)</t>
        </is>
      </c>
    </row>
    <row r="34">
      <c r="A34" s="8" t="inlineStr">
        <is>
          <t>Zero-coupon?</t>
        </is>
      </c>
      <c r="B34" s="19">
        <f>IF(FreqName="Zero-coupon",1,0)</f>
        <v/>
      </c>
      <c r="D34" s="12" t="inlineStr">
        <is>
          <t>1 = bill / zero-coupon (only principal at maturity).</t>
        </is>
      </c>
    </row>
    <row r="35">
      <c r="A35" s="8" t="inlineStr">
        <is>
          <t>Payments per year</t>
        </is>
      </c>
      <c r="B35" s="19">
        <f>IF(IsZero=1,1,2)</f>
        <v/>
      </c>
    </row>
    <row r="36">
      <c r="A36" s="8" t="inlineStr">
        <is>
          <t>Effective coupon rate</t>
        </is>
      </c>
      <c r="B36" s="20">
        <f>IF(IsZero=1,0,CouponRate)</f>
        <v/>
      </c>
    </row>
    <row r="37">
      <c r="A37" s="8" t="inlineStr">
        <is>
          <t>Day-count basis used</t>
        </is>
      </c>
      <c r="B37" s="10">
        <f>CHOOSE(Basis+1,"US 30/360","Actual/Actual","Actual/360","Actual/365","European 30/360")</f>
        <v/>
      </c>
    </row>
    <row r="38">
      <c r="A38" s="8" t="inlineStr">
        <is>
          <t>Years to maturity</t>
        </is>
      </c>
      <c r="B38" s="21">
        <f>YEARFRAC(Settle,Maturity,Basis)</f>
        <v/>
      </c>
    </row>
    <row r="39">
      <c r="A39" s="8" t="inlineStr">
        <is>
          <t>Consistency check</t>
        </is>
      </c>
      <c r="B39" s="22">
        <f>IF(AND(SecType="Treasury Bill",FreqName&lt;&gt;"Zero-coupon"),"WARNING: a Treasury Bill must be Zero-coupon",IF(AND(SecType&lt;&gt;"Treasury Bill",FreqName&lt;&gt;"Semiannual"),"WARNING: notes/bonds must be Semiannual","OK"))</f>
        <v/>
      </c>
      <c r="C39" s="23" t="n"/>
    </row>
  </sheetData>
  <mergeCells count="39">
    <mergeCell ref="D18:G18"/>
    <mergeCell ref="B16:C16"/>
    <mergeCell ref="B25:C25"/>
    <mergeCell ref="A8:G8"/>
    <mergeCell ref="A20:G20"/>
    <mergeCell ref="B22:C22"/>
    <mergeCell ref="D24:G24"/>
    <mergeCell ref="B31:C31"/>
    <mergeCell ref="D29:G29"/>
    <mergeCell ref="B18:C18"/>
    <mergeCell ref="B27:C27"/>
    <mergeCell ref="A10:G10"/>
    <mergeCell ref="B39:C39"/>
    <mergeCell ref="D23:G23"/>
    <mergeCell ref="B21:C21"/>
    <mergeCell ref="D26:G26"/>
    <mergeCell ref="A9:G9"/>
    <mergeCell ref="B23:C23"/>
    <mergeCell ref="A30:G30"/>
    <mergeCell ref="A15:G15"/>
    <mergeCell ref="D34:G34"/>
    <mergeCell ref="B17:C17"/>
    <mergeCell ref="A11:G11"/>
    <mergeCell ref="D22:G22"/>
    <mergeCell ref="A1:G1"/>
    <mergeCell ref="B29:C29"/>
    <mergeCell ref="B19:C19"/>
    <mergeCell ref="B37:C37"/>
    <mergeCell ref="B28:C28"/>
    <mergeCell ref="D21:G21"/>
    <mergeCell ref="A7:G7"/>
    <mergeCell ref="G13"/>
    <mergeCell ref="B24:C24"/>
    <mergeCell ref="A3:G3"/>
    <mergeCell ref="A2:G2"/>
    <mergeCell ref="B32:C32"/>
    <mergeCell ref="B26:C26"/>
    <mergeCell ref="A33:G33"/>
    <mergeCell ref="D28:G28"/>
  </mergeCells>
  <conditionalFormatting sqref="B39">
    <cfRule type="expression" priority="1" dxfId="0" stopIfTrue="1">
      <formula>OR(ISNUMBER(SEARCH("PASS",B39)),ISNUMBER(SEARCH("OK",B39)),ISNUMBER(SEARCH("Low",B39)),ISNUMBER(SEARCH("Normal",B39)),ISNUMBER(SEARCH("Buy",B39)),ISNUMBER(SEARCH("Short",B39)),ISNUMBER(SEARCH("Yes",B39)),ISNUMBER(SEARCH("Within",B39)))</formula>
    </cfRule>
    <cfRule type="expression" priority="2" dxfId="1" stopIfTrue="1">
      <formula>OR(ISNUMBER(SEARCH("WARNING",B39)),ISNUMBER(SEARCH("WARN",B39)),ISNUMBER(SEARCH("Medium",B39)),ISNUMBER(SEARCH("Flat",B39)),ISNUMBER(SEARCH("Hold",B39)),ISNUMBER(SEARCH("Intermediate",B39)),ISNUMBER(SEARCH("Review",B39)),ISNUMBER(SEARCH("Watch",B39)))</formula>
    </cfRule>
    <cfRule type="expression" priority="3" dxfId="2" stopIfTrue="1">
      <formula>OR(ISNUMBER(SEARCH("FAIL",B39)),ISNUMBER(SEARCH("High",B39)),ISNUMBER(SEARCH("Inverted",B39)),ISNUMBER(SEARCH("Avoid",B39)),ISNUMBER(SEARCH("Long",B39)),ISNUMBER(SEARCH("Negative",B39)),ISNUMBER(SEARCH("No",B39)))</formula>
    </cfRule>
  </conditionalFormatting>
  <dataValidations count="3">
    <dataValidation sqref="B18" showDropDown="0" showInputMessage="0" showErrorMessage="1" allowBlank="1" type="list">
      <formula1>"Treasury Bill,Treasury Note,Treasury Bond"</formula1>
    </dataValidation>
    <dataValidation sqref="B23" showDropDown="0" showInputMessage="0" showErrorMessage="1" allowBlank="1" type="list">
      <formula1>"Semiannual,Zero-coupon"</formula1>
    </dataValidation>
    <dataValidation sqref="B24" showDropDown="0" showInputMessage="0" showErrorMessage="1" allowBlank="1" type="list">
      <formula1>"0,1,2,3,4"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J86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CASH FLOWS</t>
        </is>
      </c>
    </row>
    <row r="2">
      <c r="A2" s="2" t="inlineStr">
        <is>
          <t>Every future payment, its timing, and its present value at the yield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each remaining coupon and the final principal, discounted back to today at the yield. The present values add up to the DIRTY price.</t>
        </is>
      </c>
    </row>
    <row r="9" ht="14" customHeight="1">
      <c r="A9" s="7" t="inlineStr">
        <is>
          <t>Only payments AFTER settlement are shown. Notes/bonds pay 2 coupons per year; a bill pays only principal at maturity.</t>
        </is>
      </c>
    </row>
    <row r="10" ht="14" customHeight="1">
      <c r="A10" s="7" t="inlineStr">
        <is>
          <t>Discount factor = 1 / (1 + yield/2) ^ (periods to payment).  PV = Total cash flow x Discount factor.</t>
        </is>
      </c>
    </row>
    <row r="13" ht="18" customHeight="1">
      <c r="A13" s="5" t="inlineStr">
        <is>
          <t>Schedule parameters (auto)</t>
        </is>
      </c>
    </row>
    <row r="14">
      <c r="A14" s="8" t="inlineStr">
        <is>
          <t>Remaining payments</t>
        </is>
      </c>
      <c r="B14" s="19">
        <f>IF(IsZero=1,1,COUPNUM(Settle,Maturity,Freq,Basis))</f>
        <v/>
      </c>
      <c r="D14" s="12" t="inlineStr">
        <is>
          <t>Future payments (capped at 62 rows).</t>
        </is>
      </c>
    </row>
    <row r="15">
      <c r="A15" s="8" t="inlineStr">
        <is>
          <t>Next payment date</t>
        </is>
      </c>
      <c r="B15" s="24">
        <f>IF(IsZero=1,Maturity,COUPNCD(Settle,Maturity,Freq,Basis))</f>
        <v/>
      </c>
    </row>
    <row r="16">
      <c r="A16" s="8" t="inlineStr">
        <is>
          <t>Fraction of 1st period left</t>
        </is>
      </c>
      <c r="B16" s="25">
        <f>IF(IsZero=1,YearsToMat,COUPDAYSNC(Settle,Maturity,Freq,Basis)/COUPDAYS(Settle,Maturity,Freq,Basis))</f>
        <v/>
      </c>
    </row>
    <row r="18" ht="24" customHeight="1">
      <c r="A18" s="26" t="inlineStr">
        <is>
          <t>Payment #</t>
        </is>
      </c>
      <c r="B18" s="27" t="inlineStr">
        <is>
          <t>Payment date</t>
        </is>
      </c>
      <c r="C18" s="27" t="inlineStr">
        <is>
          <t>Coupon CF</t>
        </is>
      </c>
      <c r="D18" s="27" t="inlineStr">
        <is>
          <t>Principal CF</t>
        </is>
      </c>
      <c r="E18" s="27" t="inlineStr">
        <is>
          <t>Total CF</t>
        </is>
      </c>
      <c r="F18" s="27" t="inlineStr">
        <is>
          <t>Time (years)</t>
        </is>
      </c>
      <c r="G18" s="27" t="inlineStr">
        <is>
          <t>Discount factor</t>
        </is>
      </c>
      <c r="H18" s="27" t="inlineStr">
        <is>
          <t>PV of CF</t>
        </is>
      </c>
      <c r="I18" s="27" t="inlineStr">
        <is>
          <t>Convexity term</t>
        </is>
      </c>
      <c r="J18" s="27" t="inlineStr">
        <is>
          <t>Time x PV</t>
        </is>
      </c>
    </row>
    <row r="19">
      <c r="A19" s="19">
        <f>IF(1&gt;Ncoup,"",1)</f>
        <v/>
      </c>
      <c r="B19" s="24">
        <f>IF(1&gt;Ncoup,"",EDATE(Ncd,(12/Freq)*(1-1)))</f>
        <v/>
      </c>
      <c r="C19" s="28">
        <f>IF(1&gt;Ncoup,"",IF(IsZero=1,0,CouponRate/Freq*Face))</f>
        <v/>
      </c>
      <c r="D19" s="28">
        <f>IF(1&gt;Ncoup,"",IF(1=Ncoup,Face,0))</f>
        <v/>
      </c>
      <c r="E19" s="28">
        <f>IF(1&gt;Ncoup,"",$C$19+$D$19)</f>
        <v/>
      </c>
      <c r="F19" s="29">
        <f>IF(1&gt;Ncoup,"",((1-1)+Wfrac)/Freq)</f>
        <v/>
      </c>
      <c r="G19" s="25">
        <f>IF(1&gt;Ncoup,"",1/(1+YTM/Freq)^((1-1)+Wfrac))</f>
        <v/>
      </c>
      <c r="H19" s="28">
        <f>IF(1&gt;Ncoup,"",$E$19*$G$19)</f>
        <v/>
      </c>
      <c r="I19" s="25">
        <f>IF(1&gt;Ncoup,"",$E$19*((1-1)+Wfrac)*((1-1)+Wfrac+1)/(1+YTM/Freq)^((1-1)+Wfrac+2))</f>
        <v/>
      </c>
      <c r="J19" s="25">
        <f>IF(1&gt;Ncoup,"",$F$19*$H$19)</f>
        <v/>
      </c>
    </row>
    <row r="20">
      <c r="A20" s="19">
        <f>IF(2&gt;Ncoup,"",2)</f>
        <v/>
      </c>
      <c r="B20" s="24">
        <f>IF(2&gt;Ncoup,"",EDATE(Ncd,(12/Freq)*(2-1)))</f>
        <v/>
      </c>
      <c r="C20" s="28">
        <f>IF(2&gt;Ncoup,"",IF(IsZero=1,0,CouponRate/Freq*Face))</f>
        <v/>
      </c>
      <c r="D20" s="28">
        <f>IF(2&gt;Ncoup,"",IF(2=Ncoup,Face,0))</f>
        <v/>
      </c>
      <c r="E20" s="28">
        <f>IF(2&gt;Ncoup,"",$C$20+$D$20)</f>
        <v/>
      </c>
      <c r="F20" s="29">
        <f>IF(2&gt;Ncoup,"",((2-1)+Wfrac)/Freq)</f>
        <v/>
      </c>
      <c r="G20" s="25">
        <f>IF(2&gt;Ncoup,"",1/(1+YTM/Freq)^((2-1)+Wfrac))</f>
        <v/>
      </c>
      <c r="H20" s="28">
        <f>IF(2&gt;Ncoup,"",$E$20*$G$20)</f>
        <v/>
      </c>
      <c r="I20" s="25">
        <f>IF(2&gt;Ncoup,"",$E$20*((2-1)+Wfrac)*((2-1)+Wfrac+1)/(1+YTM/Freq)^((2-1)+Wfrac+2))</f>
        <v/>
      </c>
      <c r="J20" s="25">
        <f>IF(2&gt;Ncoup,"",$F$20*$H$20)</f>
        <v/>
      </c>
    </row>
    <row r="21">
      <c r="A21" s="19">
        <f>IF(3&gt;Ncoup,"",3)</f>
        <v/>
      </c>
      <c r="B21" s="24">
        <f>IF(3&gt;Ncoup,"",EDATE(Ncd,(12/Freq)*(3-1)))</f>
        <v/>
      </c>
      <c r="C21" s="28">
        <f>IF(3&gt;Ncoup,"",IF(IsZero=1,0,CouponRate/Freq*Face))</f>
        <v/>
      </c>
      <c r="D21" s="28">
        <f>IF(3&gt;Ncoup,"",IF(3=Ncoup,Face,0))</f>
        <v/>
      </c>
      <c r="E21" s="28">
        <f>IF(3&gt;Ncoup,"",$C$21+$D$21)</f>
        <v/>
      </c>
      <c r="F21" s="29">
        <f>IF(3&gt;Ncoup,"",((3-1)+Wfrac)/Freq)</f>
        <v/>
      </c>
      <c r="G21" s="25">
        <f>IF(3&gt;Ncoup,"",1/(1+YTM/Freq)^((3-1)+Wfrac))</f>
        <v/>
      </c>
      <c r="H21" s="28">
        <f>IF(3&gt;Ncoup,"",$E$21*$G$21)</f>
        <v/>
      </c>
      <c r="I21" s="25">
        <f>IF(3&gt;Ncoup,"",$E$21*((3-1)+Wfrac)*((3-1)+Wfrac+1)/(1+YTM/Freq)^((3-1)+Wfrac+2))</f>
        <v/>
      </c>
      <c r="J21" s="25">
        <f>IF(3&gt;Ncoup,"",$F$21*$H$21)</f>
        <v/>
      </c>
    </row>
    <row r="22">
      <c r="A22" s="19">
        <f>IF(4&gt;Ncoup,"",4)</f>
        <v/>
      </c>
      <c r="B22" s="24">
        <f>IF(4&gt;Ncoup,"",EDATE(Ncd,(12/Freq)*(4-1)))</f>
        <v/>
      </c>
      <c r="C22" s="28">
        <f>IF(4&gt;Ncoup,"",IF(IsZero=1,0,CouponRate/Freq*Face))</f>
        <v/>
      </c>
      <c r="D22" s="28">
        <f>IF(4&gt;Ncoup,"",IF(4=Ncoup,Face,0))</f>
        <v/>
      </c>
      <c r="E22" s="28">
        <f>IF(4&gt;Ncoup,"",$C$22+$D$22)</f>
        <v/>
      </c>
      <c r="F22" s="29">
        <f>IF(4&gt;Ncoup,"",((4-1)+Wfrac)/Freq)</f>
        <v/>
      </c>
      <c r="G22" s="25">
        <f>IF(4&gt;Ncoup,"",1/(1+YTM/Freq)^((4-1)+Wfrac))</f>
        <v/>
      </c>
      <c r="H22" s="28">
        <f>IF(4&gt;Ncoup,"",$E$22*$G$22)</f>
        <v/>
      </c>
      <c r="I22" s="25">
        <f>IF(4&gt;Ncoup,"",$E$22*((4-1)+Wfrac)*((4-1)+Wfrac+1)/(1+YTM/Freq)^((4-1)+Wfrac+2))</f>
        <v/>
      </c>
      <c r="J22" s="25">
        <f>IF(4&gt;Ncoup,"",$F$22*$H$22)</f>
        <v/>
      </c>
    </row>
    <row r="23">
      <c r="A23" s="19">
        <f>IF(5&gt;Ncoup,"",5)</f>
        <v/>
      </c>
      <c r="B23" s="24">
        <f>IF(5&gt;Ncoup,"",EDATE(Ncd,(12/Freq)*(5-1)))</f>
        <v/>
      </c>
      <c r="C23" s="28">
        <f>IF(5&gt;Ncoup,"",IF(IsZero=1,0,CouponRate/Freq*Face))</f>
        <v/>
      </c>
      <c r="D23" s="28">
        <f>IF(5&gt;Ncoup,"",IF(5=Ncoup,Face,0))</f>
        <v/>
      </c>
      <c r="E23" s="28">
        <f>IF(5&gt;Ncoup,"",$C$23+$D$23)</f>
        <v/>
      </c>
      <c r="F23" s="29">
        <f>IF(5&gt;Ncoup,"",((5-1)+Wfrac)/Freq)</f>
        <v/>
      </c>
      <c r="G23" s="25">
        <f>IF(5&gt;Ncoup,"",1/(1+YTM/Freq)^((5-1)+Wfrac))</f>
        <v/>
      </c>
      <c r="H23" s="28">
        <f>IF(5&gt;Ncoup,"",$E$23*$G$23)</f>
        <v/>
      </c>
      <c r="I23" s="25">
        <f>IF(5&gt;Ncoup,"",$E$23*((5-1)+Wfrac)*((5-1)+Wfrac+1)/(1+YTM/Freq)^((5-1)+Wfrac+2))</f>
        <v/>
      </c>
      <c r="J23" s="25">
        <f>IF(5&gt;Ncoup,"",$F$23*$H$23)</f>
        <v/>
      </c>
    </row>
    <row r="24">
      <c r="A24" s="19">
        <f>IF(6&gt;Ncoup,"",6)</f>
        <v/>
      </c>
      <c r="B24" s="24">
        <f>IF(6&gt;Ncoup,"",EDATE(Ncd,(12/Freq)*(6-1)))</f>
        <v/>
      </c>
      <c r="C24" s="28">
        <f>IF(6&gt;Ncoup,"",IF(IsZero=1,0,CouponRate/Freq*Face))</f>
        <v/>
      </c>
      <c r="D24" s="28">
        <f>IF(6&gt;Ncoup,"",IF(6=Ncoup,Face,0))</f>
        <v/>
      </c>
      <c r="E24" s="28">
        <f>IF(6&gt;Ncoup,"",$C$24+$D$24)</f>
        <v/>
      </c>
      <c r="F24" s="29">
        <f>IF(6&gt;Ncoup,"",((6-1)+Wfrac)/Freq)</f>
        <v/>
      </c>
      <c r="G24" s="25">
        <f>IF(6&gt;Ncoup,"",1/(1+YTM/Freq)^((6-1)+Wfrac))</f>
        <v/>
      </c>
      <c r="H24" s="28">
        <f>IF(6&gt;Ncoup,"",$E$24*$G$24)</f>
        <v/>
      </c>
      <c r="I24" s="25">
        <f>IF(6&gt;Ncoup,"",$E$24*((6-1)+Wfrac)*((6-1)+Wfrac+1)/(1+YTM/Freq)^((6-1)+Wfrac+2))</f>
        <v/>
      </c>
      <c r="J24" s="25">
        <f>IF(6&gt;Ncoup,"",$F$24*$H$24)</f>
        <v/>
      </c>
    </row>
    <row r="25">
      <c r="A25" s="19">
        <f>IF(7&gt;Ncoup,"",7)</f>
        <v/>
      </c>
      <c r="B25" s="24">
        <f>IF(7&gt;Ncoup,"",EDATE(Ncd,(12/Freq)*(7-1)))</f>
        <v/>
      </c>
      <c r="C25" s="28">
        <f>IF(7&gt;Ncoup,"",IF(IsZero=1,0,CouponRate/Freq*Face))</f>
        <v/>
      </c>
      <c r="D25" s="28">
        <f>IF(7&gt;Ncoup,"",IF(7=Ncoup,Face,0))</f>
        <v/>
      </c>
      <c r="E25" s="28">
        <f>IF(7&gt;Ncoup,"",$C$25+$D$25)</f>
        <v/>
      </c>
      <c r="F25" s="29">
        <f>IF(7&gt;Ncoup,"",((7-1)+Wfrac)/Freq)</f>
        <v/>
      </c>
      <c r="G25" s="25">
        <f>IF(7&gt;Ncoup,"",1/(1+YTM/Freq)^((7-1)+Wfrac))</f>
        <v/>
      </c>
      <c r="H25" s="28">
        <f>IF(7&gt;Ncoup,"",$E$25*$G$25)</f>
        <v/>
      </c>
      <c r="I25" s="25">
        <f>IF(7&gt;Ncoup,"",$E$25*((7-1)+Wfrac)*((7-1)+Wfrac+1)/(1+YTM/Freq)^((7-1)+Wfrac+2))</f>
        <v/>
      </c>
      <c r="J25" s="25">
        <f>IF(7&gt;Ncoup,"",$F$25*$H$25)</f>
        <v/>
      </c>
    </row>
    <row r="26">
      <c r="A26" s="19">
        <f>IF(8&gt;Ncoup,"",8)</f>
        <v/>
      </c>
      <c r="B26" s="24">
        <f>IF(8&gt;Ncoup,"",EDATE(Ncd,(12/Freq)*(8-1)))</f>
        <v/>
      </c>
      <c r="C26" s="28">
        <f>IF(8&gt;Ncoup,"",IF(IsZero=1,0,CouponRate/Freq*Face))</f>
        <v/>
      </c>
      <c r="D26" s="28">
        <f>IF(8&gt;Ncoup,"",IF(8=Ncoup,Face,0))</f>
        <v/>
      </c>
      <c r="E26" s="28">
        <f>IF(8&gt;Ncoup,"",$C$26+$D$26)</f>
        <v/>
      </c>
      <c r="F26" s="29">
        <f>IF(8&gt;Ncoup,"",((8-1)+Wfrac)/Freq)</f>
        <v/>
      </c>
      <c r="G26" s="25">
        <f>IF(8&gt;Ncoup,"",1/(1+YTM/Freq)^((8-1)+Wfrac))</f>
        <v/>
      </c>
      <c r="H26" s="28">
        <f>IF(8&gt;Ncoup,"",$E$26*$G$26)</f>
        <v/>
      </c>
      <c r="I26" s="25">
        <f>IF(8&gt;Ncoup,"",$E$26*((8-1)+Wfrac)*((8-1)+Wfrac+1)/(1+YTM/Freq)^((8-1)+Wfrac+2))</f>
        <v/>
      </c>
      <c r="J26" s="25">
        <f>IF(8&gt;Ncoup,"",$F$26*$H$26)</f>
        <v/>
      </c>
    </row>
    <row r="27">
      <c r="A27" s="19">
        <f>IF(9&gt;Ncoup,"",9)</f>
        <v/>
      </c>
      <c r="B27" s="24">
        <f>IF(9&gt;Ncoup,"",EDATE(Ncd,(12/Freq)*(9-1)))</f>
        <v/>
      </c>
      <c r="C27" s="28">
        <f>IF(9&gt;Ncoup,"",IF(IsZero=1,0,CouponRate/Freq*Face))</f>
        <v/>
      </c>
      <c r="D27" s="28">
        <f>IF(9&gt;Ncoup,"",IF(9=Ncoup,Face,0))</f>
        <v/>
      </c>
      <c r="E27" s="28">
        <f>IF(9&gt;Ncoup,"",$C$27+$D$27)</f>
        <v/>
      </c>
      <c r="F27" s="29">
        <f>IF(9&gt;Ncoup,"",((9-1)+Wfrac)/Freq)</f>
        <v/>
      </c>
      <c r="G27" s="25">
        <f>IF(9&gt;Ncoup,"",1/(1+YTM/Freq)^((9-1)+Wfrac))</f>
        <v/>
      </c>
      <c r="H27" s="28">
        <f>IF(9&gt;Ncoup,"",$E$27*$G$27)</f>
        <v/>
      </c>
      <c r="I27" s="25">
        <f>IF(9&gt;Ncoup,"",$E$27*((9-1)+Wfrac)*((9-1)+Wfrac+1)/(1+YTM/Freq)^((9-1)+Wfrac+2))</f>
        <v/>
      </c>
      <c r="J27" s="25">
        <f>IF(9&gt;Ncoup,"",$F$27*$H$27)</f>
        <v/>
      </c>
    </row>
    <row r="28">
      <c r="A28" s="19">
        <f>IF(10&gt;Ncoup,"",10)</f>
        <v/>
      </c>
      <c r="B28" s="24">
        <f>IF(10&gt;Ncoup,"",EDATE(Ncd,(12/Freq)*(10-1)))</f>
        <v/>
      </c>
      <c r="C28" s="28">
        <f>IF(10&gt;Ncoup,"",IF(IsZero=1,0,CouponRate/Freq*Face))</f>
        <v/>
      </c>
      <c r="D28" s="28">
        <f>IF(10&gt;Ncoup,"",IF(10=Ncoup,Face,0))</f>
        <v/>
      </c>
      <c r="E28" s="28">
        <f>IF(10&gt;Ncoup,"",$C$28+$D$28)</f>
        <v/>
      </c>
      <c r="F28" s="29">
        <f>IF(10&gt;Ncoup,"",((10-1)+Wfrac)/Freq)</f>
        <v/>
      </c>
      <c r="G28" s="25">
        <f>IF(10&gt;Ncoup,"",1/(1+YTM/Freq)^((10-1)+Wfrac))</f>
        <v/>
      </c>
      <c r="H28" s="28">
        <f>IF(10&gt;Ncoup,"",$E$28*$G$28)</f>
        <v/>
      </c>
      <c r="I28" s="25">
        <f>IF(10&gt;Ncoup,"",$E$28*((10-1)+Wfrac)*((10-1)+Wfrac+1)/(1+YTM/Freq)^((10-1)+Wfrac+2))</f>
        <v/>
      </c>
      <c r="J28" s="25">
        <f>IF(10&gt;Ncoup,"",$F$28*$H$28)</f>
        <v/>
      </c>
    </row>
    <row r="29">
      <c r="A29" s="19">
        <f>IF(11&gt;Ncoup,"",11)</f>
        <v/>
      </c>
      <c r="B29" s="24">
        <f>IF(11&gt;Ncoup,"",EDATE(Ncd,(12/Freq)*(11-1)))</f>
        <v/>
      </c>
      <c r="C29" s="28">
        <f>IF(11&gt;Ncoup,"",IF(IsZero=1,0,CouponRate/Freq*Face))</f>
        <v/>
      </c>
      <c r="D29" s="28">
        <f>IF(11&gt;Ncoup,"",IF(11=Ncoup,Face,0))</f>
        <v/>
      </c>
      <c r="E29" s="28">
        <f>IF(11&gt;Ncoup,"",$C$29+$D$29)</f>
        <v/>
      </c>
      <c r="F29" s="29">
        <f>IF(11&gt;Ncoup,"",((11-1)+Wfrac)/Freq)</f>
        <v/>
      </c>
      <c r="G29" s="25">
        <f>IF(11&gt;Ncoup,"",1/(1+YTM/Freq)^((11-1)+Wfrac))</f>
        <v/>
      </c>
      <c r="H29" s="28">
        <f>IF(11&gt;Ncoup,"",$E$29*$G$29)</f>
        <v/>
      </c>
      <c r="I29" s="25">
        <f>IF(11&gt;Ncoup,"",$E$29*((11-1)+Wfrac)*((11-1)+Wfrac+1)/(1+YTM/Freq)^((11-1)+Wfrac+2))</f>
        <v/>
      </c>
      <c r="J29" s="25">
        <f>IF(11&gt;Ncoup,"",$F$29*$H$29)</f>
        <v/>
      </c>
    </row>
    <row r="30">
      <c r="A30" s="19">
        <f>IF(12&gt;Ncoup,"",12)</f>
        <v/>
      </c>
      <c r="B30" s="24">
        <f>IF(12&gt;Ncoup,"",EDATE(Ncd,(12/Freq)*(12-1)))</f>
        <v/>
      </c>
      <c r="C30" s="28">
        <f>IF(12&gt;Ncoup,"",IF(IsZero=1,0,CouponRate/Freq*Face))</f>
        <v/>
      </c>
      <c r="D30" s="28">
        <f>IF(12&gt;Ncoup,"",IF(12=Ncoup,Face,0))</f>
        <v/>
      </c>
      <c r="E30" s="28">
        <f>IF(12&gt;Ncoup,"",$C$30+$D$30)</f>
        <v/>
      </c>
      <c r="F30" s="29">
        <f>IF(12&gt;Ncoup,"",((12-1)+Wfrac)/Freq)</f>
        <v/>
      </c>
      <c r="G30" s="25">
        <f>IF(12&gt;Ncoup,"",1/(1+YTM/Freq)^((12-1)+Wfrac))</f>
        <v/>
      </c>
      <c r="H30" s="28">
        <f>IF(12&gt;Ncoup,"",$E$30*$G$30)</f>
        <v/>
      </c>
      <c r="I30" s="25">
        <f>IF(12&gt;Ncoup,"",$E$30*((12-1)+Wfrac)*((12-1)+Wfrac+1)/(1+YTM/Freq)^((12-1)+Wfrac+2))</f>
        <v/>
      </c>
      <c r="J30" s="25">
        <f>IF(12&gt;Ncoup,"",$F$30*$H$30)</f>
        <v/>
      </c>
    </row>
    <row r="31">
      <c r="A31" s="19">
        <f>IF(13&gt;Ncoup,"",13)</f>
        <v/>
      </c>
      <c r="B31" s="24">
        <f>IF(13&gt;Ncoup,"",EDATE(Ncd,(12/Freq)*(13-1)))</f>
        <v/>
      </c>
      <c r="C31" s="28">
        <f>IF(13&gt;Ncoup,"",IF(IsZero=1,0,CouponRate/Freq*Face))</f>
        <v/>
      </c>
      <c r="D31" s="28">
        <f>IF(13&gt;Ncoup,"",IF(13=Ncoup,Face,0))</f>
        <v/>
      </c>
      <c r="E31" s="28">
        <f>IF(13&gt;Ncoup,"",$C$31+$D$31)</f>
        <v/>
      </c>
      <c r="F31" s="29">
        <f>IF(13&gt;Ncoup,"",((13-1)+Wfrac)/Freq)</f>
        <v/>
      </c>
      <c r="G31" s="25">
        <f>IF(13&gt;Ncoup,"",1/(1+YTM/Freq)^((13-1)+Wfrac))</f>
        <v/>
      </c>
      <c r="H31" s="28">
        <f>IF(13&gt;Ncoup,"",$E$31*$G$31)</f>
        <v/>
      </c>
      <c r="I31" s="25">
        <f>IF(13&gt;Ncoup,"",$E$31*((13-1)+Wfrac)*((13-1)+Wfrac+1)/(1+YTM/Freq)^((13-1)+Wfrac+2))</f>
        <v/>
      </c>
      <c r="J31" s="25">
        <f>IF(13&gt;Ncoup,"",$F$31*$H$31)</f>
        <v/>
      </c>
    </row>
    <row r="32">
      <c r="A32" s="19">
        <f>IF(14&gt;Ncoup,"",14)</f>
        <v/>
      </c>
      <c r="B32" s="24">
        <f>IF(14&gt;Ncoup,"",EDATE(Ncd,(12/Freq)*(14-1)))</f>
        <v/>
      </c>
      <c r="C32" s="28">
        <f>IF(14&gt;Ncoup,"",IF(IsZero=1,0,CouponRate/Freq*Face))</f>
        <v/>
      </c>
      <c r="D32" s="28">
        <f>IF(14&gt;Ncoup,"",IF(14=Ncoup,Face,0))</f>
        <v/>
      </c>
      <c r="E32" s="28">
        <f>IF(14&gt;Ncoup,"",$C$32+$D$32)</f>
        <v/>
      </c>
      <c r="F32" s="29">
        <f>IF(14&gt;Ncoup,"",((14-1)+Wfrac)/Freq)</f>
        <v/>
      </c>
      <c r="G32" s="25">
        <f>IF(14&gt;Ncoup,"",1/(1+YTM/Freq)^((14-1)+Wfrac))</f>
        <v/>
      </c>
      <c r="H32" s="28">
        <f>IF(14&gt;Ncoup,"",$E$32*$G$32)</f>
        <v/>
      </c>
      <c r="I32" s="25">
        <f>IF(14&gt;Ncoup,"",$E$32*((14-1)+Wfrac)*((14-1)+Wfrac+1)/(1+YTM/Freq)^((14-1)+Wfrac+2))</f>
        <v/>
      </c>
      <c r="J32" s="25">
        <f>IF(14&gt;Ncoup,"",$F$32*$H$32)</f>
        <v/>
      </c>
    </row>
    <row r="33">
      <c r="A33" s="19">
        <f>IF(15&gt;Ncoup,"",15)</f>
        <v/>
      </c>
      <c r="B33" s="24">
        <f>IF(15&gt;Ncoup,"",EDATE(Ncd,(12/Freq)*(15-1)))</f>
        <v/>
      </c>
      <c r="C33" s="28">
        <f>IF(15&gt;Ncoup,"",IF(IsZero=1,0,CouponRate/Freq*Face))</f>
        <v/>
      </c>
      <c r="D33" s="28">
        <f>IF(15&gt;Ncoup,"",IF(15=Ncoup,Face,0))</f>
        <v/>
      </c>
      <c r="E33" s="28">
        <f>IF(15&gt;Ncoup,"",$C$33+$D$33)</f>
        <v/>
      </c>
      <c r="F33" s="29">
        <f>IF(15&gt;Ncoup,"",((15-1)+Wfrac)/Freq)</f>
        <v/>
      </c>
      <c r="G33" s="25">
        <f>IF(15&gt;Ncoup,"",1/(1+YTM/Freq)^((15-1)+Wfrac))</f>
        <v/>
      </c>
      <c r="H33" s="28">
        <f>IF(15&gt;Ncoup,"",$E$33*$G$33)</f>
        <v/>
      </c>
      <c r="I33" s="25">
        <f>IF(15&gt;Ncoup,"",$E$33*((15-1)+Wfrac)*((15-1)+Wfrac+1)/(1+YTM/Freq)^((15-1)+Wfrac+2))</f>
        <v/>
      </c>
      <c r="J33" s="25">
        <f>IF(15&gt;Ncoup,"",$F$33*$H$33)</f>
        <v/>
      </c>
    </row>
    <row r="34">
      <c r="A34" s="19">
        <f>IF(16&gt;Ncoup,"",16)</f>
        <v/>
      </c>
      <c r="B34" s="24">
        <f>IF(16&gt;Ncoup,"",EDATE(Ncd,(12/Freq)*(16-1)))</f>
        <v/>
      </c>
      <c r="C34" s="28">
        <f>IF(16&gt;Ncoup,"",IF(IsZero=1,0,CouponRate/Freq*Face))</f>
        <v/>
      </c>
      <c r="D34" s="28">
        <f>IF(16&gt;Ncoup,"",IF(16=Ncoup,Face,0))</f>
        <v/>
      </c>
      <c r="E34" s="28">
        <f>IF(16&gt;Ncoup,"",$C$34+$D$34)</f>
        <v/>
      </c>
      <c r="F34" s="29">
        <f>IF(16&gt;Ncoup,"",((16-1)+Wfrac)/Freq)</f>
        <v/>
      </c>
      <c r="G34" s="25">
        <f>IF(16&gt;Ncoup,"",1/(1+YTM/Freq)^((16-1)+Wfrac))</f>
        <v/>
      </c>
      <c r="H34" s="28">
        <f>IF(16&gt;Ncoup,"",$E$34*$G$34)</f>
        <v/>
      </c>
      <c r="I34" s="25">
        <f>IF(16&gt;Ncoup,"",$E$34*((16-1)+Wfrac)*((16-1)+Wfrac+1)/(1+YTM/Freq)^((16-1)+Wfrac+2))</f>
        <v/>
      </c>
      <c r="J34" s="25">
        <f>IF(16&gt;Ncoup,"",$F$34*$H$34)</f>
        <v/>
      </c>
    </row>
    <row r="35">
      <c r="A35" s="19">
        <f>IF(17&gt;Ncoup,"",17)</f>
        <v/>
      </c>
      <c r="B35" s="24">
        <f>IF(17&gt;Ncoup,"",EDATE(Ncd,(12/Freq)*(17-1)))</f>
        <v/>
      </c>
      <c r="C35" s="28">
        <f>IF(17&gt;Ncoup,"",IF(IsZero=1,0,CouponRate/Freq*Face))</f>
        <v/>
      </c>
      <c r="D35" s="28">
        <f>IF(17&gt;Ncoup,"",IF(17=Ncoup,Face,0))</f>
        <v/>
      </c>
      <c r="E35" s="28">
        <f>IF(17&gt;Ncoup,"",$C$35+$D$35)</f>
        <v/>
      </c>
      <c r="F35" s="29">
        <f>IF(17&gt;Ncoup,"",((17-1)+Wfrac)/Freq)</f>
        <v/>
      </c>
      <c r="G35" s="25">
        <f>IF(17&gt;Ncoup,"",1/(1+YTM/Freq)^((17-1)+Wfrac))</f>
        <v/>
      </c>
      <c r="H35" s="28">
        <f>IF(17&gt;Ncoup,"",$E$35*$G$35)</f>
        <v/>
      </c>
      <c r="I35" s="25">
        <f>IF(17&gt;Ncoup,"",$E$35*((17-1)+Wfrac)*((17-1)+Wfrac+1)/(1+YTM/Freq)^((17-1)+Wfrac+2))</f>
        <v/>
      </c>
      <c r="J35" s="25">
        <f>IF(17&gt;Ncoup,"",$F$35*$H$35)</f>
        <v/>
      </c>
    </row>
    <row r="36">
      <c r="A36" s="19">
        <f>IF(18&gt;Ncoup,"",18)</f>
        <v/>
      </c>
      <c r="B36" s="24">
        <f>IF(18&gt;Ncoup,"",EDATE(Ncd,(12/Freq)*(18-1)))</f>
        <v/>
      </c>
      <c r="C36" s="28">
        <f>IF(18&gt;Ncoup,"",IF(IsZero=1,0,CouponRate/Freq*Face))</f>
        <v/>
      </c>
      <c r="D36" s="28">
        <f>IF(18&gt;Ncoup,"",IF(18=Ncoup,Face,0))</f>
        <v/>
      </c>
      <c r="E36" s="28">
        <f>IF(18&gt;Ncoup,"",$C$36+$D$36)</f>
        <v/>
      </c>
      <c r="F36" s="29">
        <f>IF(18&gt;Ncoup,"",((18-1)+Wfrac)/Freq)</f>
        <v/>
      </c>
      <c r="G36" s="25">
        <f>IF(18&gt;Ncoup,"",1/(1+YTM/Freq)^((18-1)+Wfrac))</f>
        <v/>
      </c>
      <c r="H36" s="28">
        <f>IF(18&gt;Ncoup,"",$E$36*$G$36)</f>
        <v/>
      </c>
      <c r="I36" s="25">
        <f>IF(18&gt;Ncoup,"",$E$36*((18-1)+Wfrac)*((18-1)+Wfrac+1)/(1+YTM/Freq)^((18-1)+Wfrac+2))</f>
        <v/>
      </c>
      <c r="J36" s="25">
        <f>IF(18&gt;Ncoup,"",$F$36*$H$36)</f>
        <v/>
      </c>
    </row>
    <row r="37">
      <c r="A37" s="19">
        <f>IF(19&gt;Ncoup,"",19)</f>
        <v/>
      </c>
      <c r="B37" s="24">
        <f>IF(19&gt;Ncoup,"",EDATE(Ncd,(12/Freq)*(19-1)))</f>
        <v/>
      </c>
      <c r="C37" s="28">
        <f>IF(19&gt;Ncoup,"",IF(IsZero=1,0,CouponRate/Freq*Face))</f>
        <v/>
      </c>
      <c r="D37" s="28">
        <f>IF(19&gt;Ncoup,"",IF(19=Ncoup,Face,0))</f>
        <v/>
      </c>
      <c r="E37" s="28">
        <f>IF(19&gt;Ncoup,"",$C$37+$D$37)</f>
        <v/>
      </c>
      <c r="F37" s="29">
        <f>IF(19&gt;Ncoup,"",((19-1)+Wfrac)/Freq)</f>
        <v/>
      </c>
      <c r="G37" s="25">
        <f>IF(19&gt;Ncoup,"",1/(1+YTM/Freq)^((19-1)+Wfrac))</f>
        <v/>
      </c>
      <c r="H37" s="28">
        <f>IF(19&gt;Ncoup,"",$E$37*$G$37)</f>
        <v/>
      </c>
      <c r="I37" s="25">
        <f>IF(19&gt;Ncoup,"",$E$37*((19-1)+Wfrac)*((19-1)+Wfrac+1)/(1+YTM/Freq)^((19-1)+Wfrac+2))</f>
        <v/>
      </c>
      <c r="J37" s="25">
        <f>IF(19&gt;Ncoup,"",$F$37*$H$37)</f>
        <v/>
      </c>
    </row>
    <row r="38">
      <c r="A38" s="19">
        <f>IF(20&gt;Ncoup,"",20)</f>
        <v/>
      </c>
      <c r="B38" s="24">
        <f>IF(20&gt;Ncoup,"",EDATE(Ncd,(12/Freq)*(20-1)))</f>
        <v/>
      </c>
      <c r="C38" s="28">
        <f>IF(20&gt;Ncoup,"",IF(IsZero=1,0,CouponRate/Freq*Face))</f>
        <v/>
      </c>
      <c r="D38" s="28">
        <f>IF(20&gt;Ncoup,"",IF(20=Ncoup,Face,0))</f>
        <v/>
      </c>
      <c r="E38" s="28">
        <f>IF(20&gt;Ncoup,"",$C$38+$D$38)</f>
        <v/>
      </c>
      <c r="F38" s="29">
        <f>IF(20&gt;Ncoup,"",((20-1)+Wfrac)/Freq)</f>
        <v/>
      </c>
      <c r="G38" s="25">
        <f>IF(20&gt;Ncoup,"",1/(1+YTM/Freq)^((20-1)+Wfrac))</f>
        <v/>
      </c>
      <c r="H38" s="28">
        <f>IF(20&gt;Ncoup,"",$E$38*$G$38)</f>
        <v/>
      </c>
      <c r="I38" s="25">
        <f>IF(20&gt;Ncoup,"",$E$38*((20-1)+Wfrac)*((20-1)+Wfrac+1)/(1+YTM/Freq)^((20-1)+Wfrac+2))</f>
        <v/>
      </c>
      <c r="J38" s="25">
        <f>IF(20&gt;Ncoup,"",$F$38*$H$38)</f>
        <v/>
      </c>
    </row>
    <row r="39">
      <c r="A39" s="19">
        <f>IF(21&gt;Ncoup,"",21)</f>
        <v/>
      </c>
      <c r="B39" s="24">
        <f>IF(21&gt;Ncoup,"",EDATE(Ncd,(12/Freq)*(21-1)))</f>
        <v/>
      </c>
      <c r="C39" s="28">
        <f>IF(21&gt;Ncoup,"",IF(IsZero=1,0,CouponRate/Freq*Face))</f>
        <v/>
      </c>
      <c r="D39" s="28">
        <f>IF(21&gt;Ncoup,"",IF(21=Ncoup,Face,0))</f>
        <v/>
      </c>
      <c r="E39" s="28">
        <f>IF(21&gt;Ncoup,"",$C$39+$D$39)</f>
        <v/>
      </c>
      <c r="F39" s="29">
        <f>IF(21&gt;Ncoup,"",((21-1)+Wfrac)/Freq)</f>
        <v/>
      </c>
      <c r="G39" s="25">
        <f>IF(21&gt;Ncoup,"",1/(1+YTM/Freq)^((21-1)+Wfrac))</f>
        <v/>
      </c>
      <c r="H39" s="28">
        <f>IF(21&gt;Ncoup,"",$E$39*$G$39)</f>
        <v/>
      </c>
      <c r="I39" s="25">
        <f>IF(21&gt;Ncoup,"",$E$39*((21-1)+Wfrac)*((21-1)+Wfrac+1)/(1+YTM/Freq)^((21-1)+Wfrac+2))</f>
        <v/>
      </c>
      <c r="J39" s="25">
        <f>IF(21&gt;Ncoup,"",$F$39*$H$39)</f>
        <v/>
      </c>
    </row>
    <row r="40">
      <c r="A40" s="19">
        <f>IF(22&gt;Ncoup,"",22)</f>
        <v/>
      </c>
      <c r="B40" s="24">
        <f>IF(22&gt;Ncoup,"",EDATE(Ncd,(12/Freq)*(22-1)))</f>
        <v/>
      </c>
      <c r="C40" s="28">
        <f>IF(22&gt;Ncoup,"",IF(IsZero=1,0,CouponRate/Freq*Face))</f>
        <v/>
      </c>
      <c r="D40" s="28">
        <f>IF(22&gt;Ncoup,"",IF(22=Ncoup,Face,0))</f>
        <v/>
      </c>
      <c r="E40" s="28">
        <f>IF(22&gt;Ncoup,"",$C$40+$D$40)</f>
        <v/>
      </c>
      <c r="F40" s="29">
        <f>IF(22&gt;Ncoup,"",((22-1)+Wfrac)/Freq)</f>
        <v/>
      </c>
      <c r="G40" s="25">
        <f>IF(22&gt;Ncoup,"",1/(1+YTM/Freq)^((22-1)+Wfrac))</f>
        <v/>
      </c>
      <c r="H40" s="28">
        <f>IF(22&gt;Ncoup,"",$E$40*$G$40)</f>
        <v/>
      </c>
      <c r="I40" s="25">
        <f>IF(22&gt;Ncoup,"",$E$40*((22-1)+Wfrac)*((22-1)+Wfrac+1)/(1+YTM/Freq)^((22-1)+Wfrac+2))</f>
        <v/>
      </c>
      <c r="J40" s="25">
        <f>IF(22&gt;Ncoup,"",$F$40*$H$40)</f>
        <v/>
      </c>
    </row>
    <row r="41">
      <c r="A41" s="19">
        <f>IF(23&gt;Ncoup,"",23)</f>
        <v/>
      </c>
      <c r="B41" s="24">
        <f>IF(23&gt;Ncoup,"",EDATE(Ncd,(12/Freq)*(23-1)))</f>
        <v/>
      </c>
      <c r="C41" s="28">
        <f>IF(23&gt;Ncoup,"",IF(IsZero=1,0,CouponRate/Freq*Face))</f>
        <v/>
      </c>
      <c r="D41" s="28">
        <f>IF(23&gt;Ncoup,"",IF(23=Ncoup,Face,0))</f>
        <v/>
      </c>
      <c r="E41" s="28">
        <f>IF(23&gt;Ncoup,"",$C$41+$D$41)</f>
        <v/>
      </c>
      <c r="F41" s="29">
        <f>IF(23&gt;Ncoup,"",((23-1)+Wfrac)/Freq)</f>
        <v/>
      </c>
      <c r="G41" s="25">
        <f>IF(23&gt;Ncoup,"",1/(1+YTM/Freq)^((23-1)+Wfrac))</f>
        <v/>
      </c>
      <c r="H41" s="28">
        <f>IF(23&gt;Ncoup,"",$E$41*$G$41)</f>
        <v/>
      </c>
      <c r="I41" s="25">
        <f>IF(23&gt;Ncoup,"",$E$41*((23-1)+Wfrac)*((23-1)+Wfrac+1)/(1+YTM/Freq)^((23-1)+Wfrac+2))</f>
        <v/>
      </c>
      <c r="J41" s="25">
        <f>IF(23&gt;Ncoup,"",$F$41*$H$41)</f>
        <v/>
      </c>
    </row>
    <row r="42">
      <c r="A42" s="19">
        <f>IF(24&gt;Ncoup,"",24)</f>
        <v/>
      </c>
      <c r="B42" s="24">
        <f>IF(24&gt;Ncoup,"",EDATE(Ncd,(12/Freq)*(24-1)))</f>
        <v/>
      </c>
      <c r="C42" s="28">
        <f>IF(24&gt;Ncoup,"",IF(IsZero=1,0,CouponRate/Freq*Face))</f>
        <v/>
      </c>
      <c r="D42" s="28">
        <f>IF(24&gt;Ncoup,"",IF(24=Ncoup,Face,0))</f>
        <v/>
      </c>
      <c r="E42" s="28">
        <f>IF(24&gt;Ncoup,"",$C$42+$D$42)</f>
        <v/>
      </c>
      <c r="F42" s="29">
        <f>IF(24&gt;Ncoup,"",((24-1)+Wfrac)/Freq)</f>
        <v/>
      </c>
      <c r="G42" s="25">
        <f>IF(24&gt;Ncoup,"",1/(1+YTM/Freq)^((24-1)+Wfrac))</f>
        <v/>
      </c>
      <c r="H42" s="28">
        <f>IF(24&gt;Ncoup,"",$E$42*$G$42)</f>
        <v/>
      </c>
      <c r="I42" s="25">
        <f>IF(24&gt;Ncoup,"",$E$42*((24-1)+Wfrac)*((24-1)+Wfrac+1)/(1+YTM/Freq)^((24-1)+Wfrac+2))</f>
        <v/>
      </c>
      <c r="J42" s="25">
        <f>IF(24&gt;Ncoup,"",$F$42*$H$42)</f>
        <v/>
      </c>
    </row>
    <row r="43">
      <c r="A43" s="19">
        <f>IF(25&gt;Ncoup,"",25)</f>
        <v/>
      </c>
      <c r="B43" s="24">
        <f>IF(25&gt;Ncoup,"",EDATE(Ncd,(12/Freq)*(25-1)))</f>
        <v/>
      </c>
      <c r="C43" s="28">
        <f>IF(25&gt;Ncoup,"",IF(IsZero=1,0,CouponRate/Freq*Face))</f>
        <v/>
      </c>
      <c r="D43" s="28">
        <f>IF(25&gt;Ncoup,"",IF(25=Ncoup,Face,0))</f>
        <v/>
      </c>
      <c r="E43" s="28">
        <f>IF(25&gt;Ncoup,"",$C$43+$D$43)</f>
        <v/>
      </c>
      <c r="F43" s="29">
        <f>IF(25&gt;Ncoup,"",((25-1)+Wfrac)/Freq)</f>
        <v/>
      </c>
      <c r="G43" s="25">
        <f>IF(25&gt;Ncoup,"",1/(1+YTM/Freq)^((25-1)+Wfrac))</f>
        <v/>
      </c>
      <c r="H43" s="28">
        <f>IF(25&gt;Ncoup,"",$E$43*$G$43)</f>
        <v/>
      </c>
      <c r="I43" s="25">
        <f>IF(25&gt;Ncoup,"",$E$43*((25-1)+Wfrac)*((25-1)+Wfrac+1)/(1+YTM/Freq)^((25-1)+Wfrac+2))</f>
        <v/>
      </c>
      <c r="J43" s="25">
        <f>IF(25&gt;Ncoup,"",$F$43*$H$43)</f>
        <v/>
      </c>
    </row>
    <row r="44">
      <c r="A44" s="19">
        <f>IF(26&gt;Ncoup,"",26)</f>
        <v/>
      </c>
      <c r="B44" s="24">
        <f>IF(26&gt;Ncoup,"",EDATE(Ncd,(12/Freq)*(26-1)))</f>
        <v/>
      </c>
      <c r="C44" s="28">
        <f>IF(26&gt;Ncoup,"",IF(IsZero=1,0,CouponRate/Freq*Face))</f>
        <v/>
      </c>
      <c r="D44" s="28">
        <f>IF(26&gt;Ncoup,"",IF(26=Ncoup,Face,0))</f>
        <v/>
      </c>
      <c r="E44" s="28">
        <f>IF(26&gt;Ncoup,"",$C$44+$D$44)</f>
        <v/>
      </c>
      <c r="F44" s="29">
        <f>IF(26&gt;Ncoup,"",((26-1)+Wfrac)/Freq)</f>
        <v/>
      </c>
      <c r="G44" s="25">
        <f>IF(26&gt;Ncoup,"",1/(1+YTM/Freq)^((26-1)+Wfrac))</f>
        <v/>
      </c>
      <c r="H44" s="28">
        <f>IF(26&gt;Ncoup,"",$E$44*$G$44)</f>
        <v/>
      </c>
      <c r="I44" s="25">
        <f>IF(26&gt;Ncoup,"",$E$44*((26-1)+Wfrac)*((26-1)+Wfrac+1)/(1+YTM/Freq)^((26-1)+Wfrac+2))</f>
        <v/>
      </c>
      <c r="J44" s="25">
        <f>IF(26&gt;Ncoup,"",$F$44*$H$44)</f>
        <v/>
      </c>
    </row>
    <row r="45">
      <c r="A45" s="19">
        <f>IF(27&gt;Ncoup,"",27)</f>
        <v/>
      </c>
      <c r="B45" s="24">
        <f>IF(27&gt;Ncoup,"",EDATE(Ncd,(12/Freq)*(27-1)))</f>
        <v/>
      </c>
      <c r="C45" s="28">
        <f>IF(27&gt;Ncoup,"",IF(IsZero=1,0,CouponRate/Freq*Face))</f>
        <v/>
      </c>
      <c r="D45" s="28">
        <f>IF(27&gt;Ncoup,"",IF(27=Ncoup,Face,0))</f>
        <v/>
      </c>
      <c r="E45" s="28">
        <f>IF(27&gt;Ncoup,"",$C$45+$D$45)</f>
        <v/>
      </c>
      <c r="F45" s="29">
        <f>IF(27&gt;Ncoup,"",((27-1)+Wfrac)/Freq)</f>
        <v/>
      </c>
      <c r="G45" s="25">
        <f>IF(27&gt;Ncoup,"",1/(1+YTM/Freq)^((27-1)+Wfrac))</f>
        <v/>
      </c>
      <c r="H45" s="28">
        <f>IF(27&gt;Ncoup,"",$E$45*$G$45)</f>
        <v/>
      </c>
      <c r="I45" s="25">
        <f>IF(27&gt;Ncoup,"",$E$45*((27-1)+Wfrac)*((27-1)+Wfrac+1)/(1+YTM/Freq)^((27-1)+Wfrac+2))</f>
        <v/>
      </c>
      <c r="J45" s="25">
        <f>IF(27&gt;Ncoup,"",$F$45*$H$45)</f>
        <v/>
      </c>
    </row>
    <row r="46">
      <c r="A46" s="19">
        <f>IF(28&gt;Ncoup,"",28)</f>
        <v/>
      </c>
      <c r="B46" s="24">
        <f>IF(28&gt;Ncoup,"",EDATE(Ncd,(12/Freq)*(28-1)))</f>
        <v/>
      </c>
      <c r="C46" s="28">
        <f>IF(28&gt;Ncoup,"",IF(IsZero=1,0,CouponRate/Freq*Face))</f>
        <v/>
      </c>
      <c r="D46" s="28">
        <f>IF(28&gt;Ncoup,"",IF(28=Ncoup,Face,0))</f>
        <v/>
      </c>
      <c r="E46" s="28">
        <f>IF(28&gt;Ncoup,"",$C$46+$D$46)</f>
        <v/>
      </c>
      <c r="F46" s="29">
        <f>IF(28&gt;Ncoup,"",((28-1)+Wfrac)/Freq)</f>
        <v/>
      </c>
      <c r="G46" s="25">
        <f>IF(28&gt;Ncoup,"",1/(1+YTM/Freq)^((28-1)+Wfrac))</f>
        <v/>
      </c>
      <c r="H46" s="28">
        <f>IF(28&gt;Ncoup,"",$E$46*$G$46)</f>
        <v/>
      </c>
      <c r="I46" s="25">
        <f>IF(28&gt;Ncoup,"",$E$46*((28-1)+Wfrac)*((28-1)+Wfrac+1)/(1+YTM/Freq)^((28-1)+Wfrac+2))</f>
        <v/>
      </c>
      <c r="J46" s="25">
        <f>IF(28&gt;Ncoup,"",$F$46*$H$46)</f>
        <v/>
      </c>
    </row>
    <row r="47">
      <c r="A47" s="19">
        <f>IF(29&gt;Ncoup,"",29)</f>
        <v/>
      </c>
      <c r="B47" s="24">
        <f>IF(29&gt;Ncoup,"",EDATE(Ncd,(12/Freq)*(29-1)))</f>
        <v/>
      </c>
      <c r="C47" s="28">
        <f>IF(29&gt;Ncoup,"",IF(IsZero=1,0,CouponRate/Freq*Face))</f>
        <v/>
      </c>
      <c r="D47" s="28">
        <f>IF(29&gt;Ncoup,"",IF(29=Ncoup,Face,0))</f>
        <v/>
      </c>
      <c r="E47" s="28">
        <f>IF(29&gt;Ncoup,"",$C$47+$D$47)</f>
        <v/>
      </c>
      <c r="F47" s="29">
        <f>IF(29&gt;Ncoup,"",((29-1)+Wfrac)/Freq)</f>
        <v/>
      </c>
      <c r="G47" s="25">
        <f>IF(29&gt;Ncoup,"",1/(1+YTM/Freq)^((29-1)+Wfrac))</f>
        <v/>
      </c>
      <c r="H47" s="28">
        <f>IF(29&gt;Ncoup,"",$E$47*$G$47)</f>
        <v/>
      </c>
      <c r="I47" s="25">
        <f>IF(29&gt;Ncoup,"",$E$47*((29-1)+Wfrac)*((29-1)+Wfrac+1)/(1+YTM/Freq)^((29-1)+Wfrac+2))</f>
        <v/>
      </c>
      <c r="J47" s="25">
        <f>IF(29&gt;Ncoup,"",$F$47*$H$47)</f>
        <v/>
      </c>
    </row>
    <row r="48">
      <c r="A48" s="19">
        <f>IF(30&gt;Ncoup,"",30)</f>
        <v/>
      </c>
      <c r="B48" s="24">
        <f>IF(30&gt;Ncoup,"",EDATE(Ncd,(12/Freq)*(30-1)))</f>
        <v/>
      </c>
      <c r="C48" s="28">
        <f>IF(30&gt;Ncoup,"",IF(IsZero=1,0,CouponRate/Freq*Face))</f>
        <v/>
      </c>
      <c r="D48" s="28">
        <f>IF(30&gt;Ncoup,"",IF(30=Ncoup,Face,0))</f>
        <v/>
      </c>
      <c r="E48" s="28">
        <f>IF(30&gt;Ncoup,"",$C$48+$D$48)</f>
        <v/>
      </c>
      <c r="F48" s="29">
        <f>IF(30&gt;Ncoup,"",((30-1)+Wfrac)/Freq)</f>
        <v/>
      </c>
      <c r="G48" s="25">
        <f>IF(30&gt;Ncoup,"",1/(1+YTM/Freq)^((30-1)+Wfrac))</f>
        <v/>
      </c>
      <c r="H48" s="28">
        <f>IF(30&gt;Ncoup,"",$E$48*$G$48)</f>
        <v/>
      </c>
      <c r="I48" s="25">
        <f>IF(30&gt;Ncoup,"",$E$48*((30-1)+Wfrac)*((30-1)+Wfrac+1)/(1+YTM/Freq)^((30-1)+Wfrac+2))</f>
        <v/>
      </c>
      <c r="J48" s="25">
        <f>IF(30&gt;Ncoup,"",$F$48*$H$48)</f>
        <v/>
      </c>
    </row>
    <row r="49">
      <c r="A49" s="19">
        <f>IF(31&gt;Ncoup,"",31)</f>
        <v/>
      </c>
      <c r="B49" s="24">
        <f>IF(31&gt;Ncoup,"",EDATE(Ncd,(12/Freq)*(31-1)))</f>
        <v/>
      </c>
      <c r="C49" s="28">
        <f>IF(31&gt;Ncoup,"",IF(IsZero=1,0,CouponRate/Freq*Face))</f>
        <v/>
      </c>
      <c r="D49" s="28">
        <f>IF(31&gt;Ncoup,"",IF(31=Ncoup,Face,0))</f>
        <v/>
      </c>
      <c r="E49" s="28">
        <f>IF(31&gt;Ncoup,"",$C$49+$D$49)</f>
        <v/>
      </c>
      <c r="F49" s="29">
        <f>IF(31&gt;Ncoup,"",((31-1)+Wfrac)/Freq)</f>
        <v/>
      </c>
      <c r="G49" s="25">
        <f>IF(31&gt;Ncoup,"",1/(1+YTM/Freq)^((31-1)+Wfrac))</f>
        <v/>
      </c>
      <c r="H49" s="28">
        <f>IF(31&gt;Ncoup,"",$E$49*$G$49)</f>
        <v/>
      </c>
      <c r="I49" s="25">
        <f>IF(31&gt;Ncoup,"",$E$49*((31-1)+Wfrac)*((31-1)+Wfrac+1)/(1+YTM/Freq)^((31-1)+Wfrac+2))</f>
        <v/>
      </c>
      <c r="J49" s="25">
        <f>IF(31&gt;Ncoup,"",$F$49*$H$49)</f>
        <v/>
      </c>
    </row>
    <row r="50">
      <c r="A50" s="19">
        <f>IF(32&gt;Ncoup,"",32)</f>
        <v/>
      </c>
      <c r="B50" s="24">
        <f>IF(32&gt;Ncoup,"",EDATE(Ncd,(12/Freq)*(32-1)))</f>
        <v/>
      </c>
      <c r="C50" s="28">
        <f>IF(32&gt;Ncoup,"",IF(IsZero=1,0,CouponRate/Freq*Face))</f>
        <v/>
      </c>
      <c r="D50" s="28">
        <f>IF(32&gt;Ncoup,"",IF(32=Ncoup,Face,0))</f>
        <v/>
      </c>
      <c r="E50" s="28">
        <f>IF(32&gt;Ncoup,"",$C$50+$D$50)</f>
        <v/>
      </c>
      <c r="F50" s="29">
        <f>IF(32&gt;Ncoup,"",((32-1)+Wfrac)/Freq)</f>
        <v/>
      </c>
      <c r="G50" s="25">
        <f>IF(32&gt;Ncoup,"",1/(1+YTM/Freq)^((32-1)+Wfrac))</f>
        <v/>
      </c>
      <c r="H50" s="28">
        <f>IF(32&gt;Ncoup,"",$E$50*$G$50)</f>
        <v/>
      </c>
      <c r="I50" s="25">
        <f>IF(32&gt;Ncoup,"",$E$50*((32-1)+Wfrac)*((32-1)+Wfrac+1)/(1+YTM/Freq)^((32-1)+Wfrac+2))</f>
        <v/>
      </c>
      <c r="J50" s="25">
        <f>IF(32&gt;Ncoup,"",$F$50*$H$50)</f>
        <v/>
      </c>
    </row>
    <row r="51">
      <c r="A51" s="19">
        <f>IF(33&gt;Ncoup,"",33)</f>
        <v/>
      </c>
      <c r="B51" s="24">
        <f>IF(33&gt;Ncoup,"",EDATE(Ncd,(12/Freq)*(33-1)))</f>
        <v/>
      </c>
      <c r="C51" s="28">
        <f>IF(33&gt;Ncoup,"",IF(IsZero=1,0,CouponRate/Freq*Face))</f>
        <v/>
      </c>
      <c r="D51" s="28">
        <f>IF(33&gt;Ncoup,"",IF(33=Ncoup,Face,0))</f>
        <v/>
      </c>
      <c r="E51" s="28">
        <f>IF(33&gt;Ncoup,"",$C$51+$D$51)</f>
        <v/>
      </c>
      <c r="F51" s="29">
        <f>IF(33&gt;Ncoup,"",((33-1)+Wfrac)/Freq)</f>
        <v/>
      </c>
      <c r="G51" s="25">
        <f>IF(33&gt;Ncoup,"",1/(1+YTM/Freq)^((33-1)+Wfrac))</f>
        <v/>
      </c>
      <c r="H51" s="28">
        <f>IF(33&gt;Ncoup,"",$E$51*$G$51)</f>
        <v/>
      </c>
      <c r="I51" s="25">
        <f>IF(33&gt;Ncoup,"",$E$51*((33-1)+Wfrac)*((33-1)+Wfrac+1)/(1+YTM/Freq)^((33-1)+Wfrac+2))</f>
        <v/>
      </c>
      <c r="J51" s="25">
        <f>IF(33&gt;Ncoup,"",$F$51*$H$51)</f>
        <v/>
      </c>
    </row>
    <row r="52">
      <c r="A52" s="19">
        <f>IF(34&gt;Ncoup,"",34)</f>
        <v/>
      </c>
      <c r="B52" s="24">
        <f>IF(34&gt;Ncoup,"",EDATE(Ncd,(12/Freq)*(34-1)))</f>
        <v/>
      </c>
      <c r="C52" s="28">
        <f>IF(34&gt;Ncoup,"",IF(IsZero=1,0,CouponRate/Freq*Face))</f>
        <v/>
      </c>
      <c r="D52" s="28">
        <f>IF(34&gt;Ncoup,"",IF(34=Ncoup,Face,0))</f>
        <v/>
      </c>
      <c r="E52" s="28">
        <f>IF(34&gt;Ncoup,"",$C$52+$D$52)</f>
        <v/>
      </c>
      <c r="F52" s="29">
        <f>IF(34&gt;Ncoup,"",((34-1)+Wfrac)/Freq)</f>
        <v/>
      </c>
      <c r="G52" s="25">
        <f>IF(34&gt;Ncoup,"",1/(1+YTM/Freq)^((34-1)+Wfrac))</f>
        <v/>
      </c>
      <c r="H52" s="28">
        <f>IF(34&gt;Ncoup,"",$E$52*$G$52)</f>
        <v/>
      </c>
      <c r="I52" s="25">
        <f>IF(34&gt;Ncoup,"",$E$52*((34-1)+Wfrac)*((34-1)+Wfrac+1)/(1+YTM/Freq)^((34-1)+Wfrac+2))</f>
        <v/>
      </c>
      <c r="J52" s="25">
        <f>IF(34&gt;Ncoup,"",$F$52*$H$52)</f>
        <v/>
      </c>
    </row>
    <row r="53">
      <c r="A53" s="19">
        <f>IF(35&gt;Ncoup,"",35)</f>
        <v/>
      </c>
      <c r="B53" s="24">
        <f>IF(35&gt;Ncoup,"",EDATE(Ncd,(12/Freq)*(35-1)))</f>
        <v/>
      </c>
      <c r="C53" s="28">
        <f>IF(35&gt;Ncoup,"",IF(IsZero=1,0,CouponRate/Freq*Face))</f>
        <v/>
      </c>
      <c r="D53" s="28">
        <f>IF(35&gt;Ncoup,"",IF(35=Ncoup,Face,0))</f>
        <v/>
      </c>
      <c r="E53" s="28">
        <f>IF(35&gt;Ncoup,"",$C$53+$D$53)</f>
        <v/>
      </c>
      <c r="F53" s="29">
        <f>IF(35&gt;Ncoup,"",((35-1)+Wfrac)/Freq)</f>
        <v/>
      </c>
      <c r="G53" s="25">
        <f>IF(35&gt;Ncoup,"",1/(1+YTM/Freq)^((35-1)+Wfrac))</f>
        <v/>
      </c>
      <c r="H53" s="28">
        <f>IF(35&gt;Ncoup,"",$E$53*$G$53)</f>
        <v/>
      </c>
      <c r="I53" s="25">
        <f>IF(35&gt;Ncoup,"",$E$53*((35-1)+Wfrac)*((35-1)+Wfrac+1)/(1+YTM/Freq)^((35-1)+Wfrac+2))</f>
        <v/>
      </c>
      <c r="J53" s="25">
        <f>IF(35&gt;Ncoup,"",$F$53*$H$53)</f>
        <v/>
      </c>
    </row>
    <row r="54">
      <c r="A54" s="19">
        <f>IF(36&gt;Ncoup,"",36)</f>
        <v/>
      </c>
      <c r="B54" s="24">
        <f>IF(36&gt;Ncoup,"",EDATE(Ncd,(12/Freq)*(36-1)))</f>
        <v/>
      </c>
      <c r="C54" s="28">
        <f>IF(36&gt;Ncoup,"",IF(IsZero=1,0,CouponRate/Freq*Face))</f>
        <v/>
      </c>
      <c r="D54" s="28">
        <f>IF(36&gt;Ncoup,"",IF(36=Ncoup,Face,0))</f>
        <v/>
      </c>
      <c r="E54" s="28">
        <f>IF(36&gt;Ncoup,"",$C$54+$D$54)</f>
        <v/>
      </c>
      <c r="F54" s="29">
        <f>IF(36&gt;Ncoup,"",((36-1)+Wfrac)/Freq)</f>
        <v/>
      </c>
      <c r="G54" s="25">
        <f>IF(36&gt;Ncoup,"",1/(1+YTM/Freq)^((36-1)+Wfrac))</f>
        <v/>
      </c>
      <c r="H54" s="28">
        <f>IF(36&gt;Ncoup,"",$E$54*$G$54)</f>
        <v/>
      </c>
      <c r="I54" s="25">
        <f>IF(36&gt;Ncoup,"",$E$54*((36-1)+Wfrac)*((36-1)+Wfrac+1)/(1+YTM/Freq)^((36-1)+Wfrac+2))</f>
        <v/>
      </c>
      <c r="J54" s="25">
        <f>IF(36&gt;Ncoup,"",$F$54*$H$54)</f>
        <v/>
      </c>
    </row>
    <row r="55">
      <c r="A55" s="19">
        <f>IF(37&gt;Ncoup,"",37)</f>
        <v/>
      </c>
      <c r="B55" s="24">
        <f>IF(37&gt;Ncoup,"",EDATE(Ncd,(12/Freq)*(37-1)))</f>
        <v/>
      </c>
      <c r="C55" s="28">
        <f>IF(37&gt;Ncoup,"",IF(IsZero=1,0,CouponRate/Freq*Face))</f>
        <v/>
      </c>
      <c r="D55" s="28">
        <f>IF(37&gt;Ncoup,"",IF(37=Ncoup,Face,0))</f>
        <v/>
      </c>
      <c r="E55" s="28">
        <f>IF(37&gt;Ncoup,"",$C$55+$D$55)</f>
        <v/>
      </c>
      <c r="F55" s="29">
        <f>IF(37&gt;Ncoup,"",((37-1)+Wfrac)/Freq)</f>
        <v/>
      </c>
      <c r="G55" s="25">
        <f>IF(37&gt;Ncoup,"",1/(1+YTM/Freq)^((37-1)+Wfrac))</f>
        <v/>
      </c>
      <c r="H55" s="28">
        <f>IF(37&gt;Ncoup,"",$E$55*$G$55)</f>
        <v/>
      </c>
      <c r="I55" s="25">
        <f>IF(37&gt;Ncoup,"",$E$55*((37-1)+Wfrac)*((37-1)+Wfrac+1)/(1+YTM/Freq)^((37-1)+Wfrac+2))</f>
        <v/>
      </c>
      <c r="J55" s="25">
        <f>IF(37&gt;Ncoup,"",$F$55*$H$55)</f>
        <v/>
      </c>
    </row>
    <row r="56">
      <c r="A56" s="19">
        <f>IF(38&gt;Ncoup,"",38)</f>
        <v/>
      </c>
      <c r="B56" s="24">
        <f>IF(38&gt;Ncoup,"",EDATE(Ncd,(12/Freq)*(38-1)))</f>
        <v/>
      </c>
      <c r="C56" s="28">
        <f>IF(38&gt;Ncoup,"",IF(IsZero=1,0,CouponRate/Freq*Face))</f>
        <v/>
      </c>
      <c r="D56" s="28">
        <f>IF(38&gt;Ncoup,"",IF(38=Ncoup,Face,0))</f>
        <v/>
      </c>
      <c r="E56" s="28">
        <f>IF(38&gt;Ncoup,"",$C$56+$D$56)</f>
        <v/>
      </c>
      <c r="F56" s="29">
        <f>IF(38&gt;Ncoup,"",((38-1)+Wfrac)/Freq)</f>
        <v/>
      </c>
      <c r="G56" s="25">
        <f>IF(38&gt;Ncoup,"",1/(1+YTM/Freq)^((38-1)+Wfrac))</f>
        <v/>
      </c>
      <c r="H56" s="28">
        <f>IF(38&gt;Ncoup,"",$E$56*$G$56)</f>
        <v/>
      </c>
      <c r="I56" s="25">
        <f>IF(38&gt;Ncoup,"",$E$56*((38-1)+Wfrac)*((38-1)+Wfrac+1)/(1+YTM/Freq)^((38-1)+Wfrac+2))</f>
        <v/>
      </c>
      <c r="J56" s="25">
        <f>IF(38&gt;Ncoup,"",$F$56*$H$56)</f>
        <v/>
      </c>
    </row>
    <row r="57">
      <c r="A57" s="19">
        <f>IF(39&gt;Ncoup,"",39)</f>
        <v/>
      </c>
      <c r="B57" s="24">
        <f>IF(39&gt;Ncoup,"",EDATE(Ncd,(12/Freq)*(39-1)))</f>
        <v/>
      </c>
      <c r="C57" s="28">
        <f>IF(39&gt;Ncoup,"",IF(IsZero=1,0,CouponRate/Freq*Face))</f>
        <v/>
      </c>
      <c r="D57" s="28">
        <f>IF(39&gt;Ncoup,"",IF(39=Ncoup,Face,0))</f>
        <v/>
      </c>
      <c r="E57" s="28">
        <f>IF(39&gt;Ncoup,"",$C$57+$D$57)</f>
        <v/>
      </c>
      <c r="F57" s="29">
        <f>IF(39&gt;Ncoup,"",((39-1)+Wfrac)/Freq)</f>
        <v/>
      </c>
      <c r="G57" s="25">
        <f>IF(39&gt;Ncoup,"",1/(1+YTM/Freq)^((39-1)+Wfrac))</f>
        <v/>
      </c>
      <c r="H57" s="28">
        <f>IF(39&gt;Ncoup,"",$E$57*$G$57)</f>
        <v/>
      </c>
      <c r="I57" s="25">
        <f>IF(39&gt;Ncoup,"",$E$57*((39-1)+Wfrac)*((39-1)+Wfrac+1)/(1+YTM/Freq)^((39-1)+Wfrac+2))</f>
        <v/>
      </c>
      <c r="J57" s="25">
        <f>IF(39&gt;Ncoup,"",$F$57*$H$57)</f>
        <v/>
      </c>
    </row>
    <row r="58">
      <c r="A58" s="19">
        <f>IF(40&gt;Ncoup,"",40)</f>
        <v/>
      </c>
      <c r="B58" s="24">
        <f>IF(40&gt;Ncoup,"",EDATE(Ncd,(12/Freq)*(40-1)))</f>
        <v/>
      </c>
      <c r="C58" s="28">
        <f>IF(40&gt;Ncoup,"",IF(IsZero=1,0,CouponRate/Freq*Face))</f>
        <v/>
      </c>
      <c r="D58" s="28">
        <f>IF(40&gt;Ncoup,"",IF(40=Ncoup,Face,0))</f>
        <v/>
      </c>
      <c r="E58" s="28">
        <f>IF(40&gt;Ncoup,"",$C$58+$D$58)</f>
        <v/>
      </c>
      <c r="F58" s="29">
        <f>IF(40&gt;Ncoup,"",((40-1)+Wfrac)/Freq)</f>
        <v/>
      </c>
      <c r="G58" s="25">
        <f>IF(40&gt;Ncoup,"",1/(1+YTM/Freq)^((40-1)+Wfrac))</f>
        <v/>
      </c>
      <c r="H58" s="28">
        <f>IF(40&gt;Ncoup,"",$E$58*$G$58)</f>
        <v/>
      </c>
      <c r="I58" s="25">
        <f>IF(40&gt;Ncoup,"",$E$58*((40-1)+Wfrac)*((40-1)+Wfrac+1)/(1+YTM/Freq)^((40-1)+Wfrac+2))</f>
        <v/>
      </c>
      <c r="J58" s="25">
        <f>IF(40&gt;Ncoup,"",$F$58*$H$58)</f>
        <v/>
      </c>
    </row>
    <row r="59">
      <c r="A59" s="19">
        <f>IF(41&gt;Ncoup,"",41)</f>
        <v/>
      </c>
      <c r="B59" s="24">
        <f>IF(41&gt;Ncoup,"",EDATE(Ncd,(12/Freq)*(41-1)))</f>
        <v/>
      </c>
      <c r="C59" s="28">
        <f>IF(41&gt;Ncoup,"",IF(IsZero=1,0,CouponRate/Freq*Face))</f>
        <v/>
      </c>
      <c r="D59" s="28">
        <f>IF(41&gt;Ncoup,"",IF(41=Ncoup,Face,0))</f>
        <v/>
      </c>
      <c r="E59" s="28">
        <f>IF(41&gt;Ncoup,"",$C$59+$D$59)</f>
        <v/>
      </c>
      <c r="F59" s="29">
        <f>IF(41&gt;Ncoup,"",((41-1)+Wfrac)/Freq)</f>
        <v/>
      </c>
      <c r="G59" s="25">
        <f>IF(41&gt;Ncoup,"",1/(1+YTM/Freq)^((41-1)+Wfrac))</f>
        <v/>
      </c>
      <c r="H59" s="28">
        <f>IF(41&gt;Ncoup,"",$E$59*$G$59)</f>
        <v/>
      </c>
      <c r="I59" s="25">
        <f>IF(41&gt;Ncoup,"",$E$59*((41-1)+Wfrac)*((41-1)+Wfrac+1)/(1+YTM/Freq)^((41-1)+Wfrac+2))</f>
        <v/>
      </c>
      <c r="J59" s="25">
        <f>IF(41&gt;Ncoup,"",$F$59*$H$59)</f>
        <v/>
      </c>
    </row>
    <row r="60">
      <c r="A60" s="19">
        <f>IF(42&gt;Ncoup,"",42)</f>
        <v/>
      </c>
      <c r="B60" s="24">
        <f>IF(42&gt;Ncoup,"",EDATE(Ncd,(12/Freq)*(42-1)))</f>
        <v/>
      </c>
      <c r="C60" s="28">
        <f>IF(42&gt;Ncoup,"",IF(IsZero=1,0,CouponRate/Freq*Face))</f>
        <v/>
      </c>
      <c r="D60" s="28">
        <f>IF(42&gt;Ncoup,"",IF(42=Ncoup,Face,0))</f>
        <v/>
      </c>
      <c r="E60" s="28">
        <f>IF(42&gt;Ncoup,"",$C$60+$D$60)</f>
        <v/>
      </c>
      <c r="F60" s="29">
        <f>IF(42&gt;Ncoup,"",((42-1)+Wfrac)/Freq)</f>
        <v/>
      </c>
      <c r="G60" s="25">
        <f>IF(42&gt;Ncoup,"",1/(1+YTM/Freq)^((42-1)+Wfrac))</f>
        <v/>
      </c>
      <c r="H60" s="28">
        <f>IF(42&gt;Ncoup,"",$E$60*$G$60)</f>
        <v/>
      </c>
      <c r="I60" s="25">
        <f>IF(42&gt;Ncoup,"",$E$60*((42-1)+Wfrac)*((42-1)+Wfrac+1)/(1+YTM/Freq)^((42-1)+Wfrac+2))</f>
        <v/>
      </c>
      <c r="J60" s="25">
        <f>IF(42&gt;Ncoup,"",$F$60*$H$60)</f>
        <v/>
      </c>
    </row>
    <row r="61">
      <c r="A61" s="19">
        <f>IF(43&gt;Ncoup,"",43)</f>
        <v/>
      </c>
      <c r="B61" s="24">
        <f>IF(43&gt;Ncoup,"",EDATE(Ncd,(12/Freq)*(43-1)))</f>
        <v/>
      </c>
      <c r="C61" s="28">
        <f>IF(43&gt;Ncoup,"",IF(IsZero=1,0,CouponRate/Freq*Face))</f>
        <v/>
      </c>
      <c r="D61" s="28">
        <f>IF(43&gt;Ncoup,"",IF(43=Ncoup,Face,0))</f>
        <v/>
      </c>
      <c r="E61" s="28">
        <f>IF(43&gt;Ncoup,"",$C$61+$D$61)</f>
        <v/>
      </c>
      <c r="F61" s="29">
        <f>IF(43&gt;Ncoup,"",((43-1)+Wfrac)/Freq)</f>
        <v/>
      </c>
      <c r="G61" s="25">
        <f>IF(43&gt;Ncoup,"",1/(1+YTM/Freq)^((43-1)+Wfrac))</f>
        <v/>
      </c>
      <c r="H61" s="28">
        <f>IF(43&gt;Ncoup,"",$E$61*$G$61)</f>
        <v/>
      </c>
      <c r="I61" s="25">
        <f>IF(43&gt;Ncoup,"",$E$61*((43-1)+Wfrac)*((43-1)+Wfrac+1)/(1+YTM/Freq)^((43-1)+Wfrac+2))</f>
        <v/>
      </c>
      <c r="J61" s="25">
        <f>IF(43&gt;Ncoup,"",$F$61*$H$61)</f>
        <v/>
      </c>
    </row>
    <row r="62">
      <c r="A62" s="19">
        <f>IF(44&gt;Ncoup,"",44)</f>
        <v/>
      </c>
      <c r="B62" s="24">
        <f>IF(44&gt;Ncoup,"",EDATE(Ncd,(12/Freq)*(44-1)))</f>
        <v/>
      </c>
      <c r="C62" s="28">
        <f>IF(44&gt;Ncoup,"",IF(IsZero=1,0,CouponRate/Freq*Face))</f>
        <v/>
      </c>
      <c r="D62" s="28">
        <f>IF(44&gt;Ncoup,"",IF(44=Ncoup,Face,0))</f>
        <v/>
      </c>
      <c r="E62" s="28">
        <f>IF(44&gt;Ncoup,"",$C$62+$D$62)</f>
        <v/>
      </c>
      <c r="F62" s="29">
        <f>IF(44&gt;Ncoup,"",((44-1)+Wfrac)/Freq)</f>
        <v/>
      </c>
      <c r="G62" s="25">
        <f>IF(44&gt;Ncoup,"",1/(1+YTM/Freq)^((44-1)+Wfrac))</f>
        <v/>
      </c>
      <c r="H62" s="28">
        <f>IF(44&gt;Ncoup,"",$E$62*$G$62)</f>
        <v/>
      </c>
      <c r="I62" s="25">
        <f>IF(44&gt;Ncoup,"",$E$62*((44-1)+Wfrac)*((44-1)+Wfrac+1)/(1+YTM/Freq)^((44-1)+Wfrac+2))</f>
        <v/>
      </c>
      <c r="J62" s="25">
        <f>IF(44&gt;Ncoup,"",$F$62*$H$62)</f>
        <v/>
      </c>
    </row>
    <row r="63">
      <c r="A63" s="19">
        <f>IF(45&gt;Ncoup,"",45)</f>
        <v/>
      </c>
      <c r="B63" s="24">
        <f>IF(45&gt;Ncoup,"",EDATE(Ncd,(12/Freq)*(45-1)))</f>
        <v/>
      </c>
      <c r="C63" s="28">
        <f>IF(45&gt;Ncoup,"",IF(IsZero=1,0,CouponRate/Freq*Face))</f>
        <v/>
      </c>
      <c r="D63" s="28">
        <f>IF(45&gt;Ncoup,"",IF(45=Ncoup,Face,0))</f>
        <v/>
      </c>
      <c r="E63" s="28">
        <f>IF(45&gt;Ncoup,"",$C$63+$D$63)</f>
        <v/>
      </c>
      <c r="F63" s="29">
        <f>IF(45&gt;Ncoup,"",((45-1)+Wfrac)/Freq)</f>
        <v/>
      </c>
      <c r="G63" s="25">
        <f>IF(45&gt;Ncoup,"",1/(1+YTM/Freq)^((45-1)+Wfrac))</f>
        <v/>
      </c>
      <c r="H63" s="28">
        <f>IF(45&gt;Ncoup,"",$E$63*$G$63)</f>
        <v/>
      </c>
      <c r="I63" s="25">
        <f>IF(45&gt;Ncoup,"",$E$63*((45-1)+Wfrac)*((45-1)+Wfrac+1)/(1+YTM/Freq)^((45-1)+Wfrac+2))</f>
        <v/>
      </c>
      <c r="J63" s="25">
        <f>IF(45&gt;Ncoup,"",$F$63*$H$63)</f>
        <v/>
      </c>
    </row>
    <row r="64">
      <c r="A64" s="19">
        <f>IF(46&gt;Ncoup,"",46)</f>
        <v/>
      </c>
      <c r="B64" s="24">
        <f>IF(46&gt;Ncoup,"",EDATE(Ncd,(12/Freq)*(46-1)))</f>
        <v/>
      </c>
      <c r="C64" s="28">
        <f>IF(46&gt;Ncoup,"",IF(IsZero=1,0,CouponRate/Freq*Face))</f>
        <v/>
      </c>
      <c r="D64" s="28">
        <f>IF(46&gt;Ncoup,"",IF(46=Ncoup,Face,0))</f>
        <v/>
      </c>
      <c r="E64" s="28">
        <f>IF(46&gt;Ncoup,"",$C$64+$D$64)</f>
        <v/>
      </c>
      <c r="F64" s="29">
        <f>IF(46&gt;Ncoup,"",((46-1)+Wfrac)/Freq)</f>
        <v/>
      </c>
      <c r="G64" s="25">
        <f>IF(46&gt;Ncoup,"",1/(1+YTM/Freq)^((46-1)+Wfrac))</f>
        <v/>
      </c>
      <c r="H64" s="28">
        <f>IF(46&gt;Ncoup,"",$E$64*$G$64)</f>
        <v/>
      </c>
      <c r="I64" s="25">
        <f>IF(46&gt;Ncoup,"",$E$64*((46-1)+Wfrac)*((46-1)+Wfrac+1)/(1+YTM/Freq)^((46-1)+Wfrac+2))</f>
        <v/>
      </c>
      <c r="J64" s="25">
        <f>IF(46&gt;Ncoup,"",$F$64*$H$64)</f>
        <v/>
      </c>
    </row>
    <row r="65">
      <c r="A65" s="19">
        <f>IF(47&gt;Ncoup,"",47)</f>
        <v/>
      </c>
      <c r="B65" s="24">
        <f>IF(47&gt;Ncoup,"",EDATE(Ncd,(12/Freq)*(47-1)))</f>
        <v/>
      </c>
      <c r="C65" s="28">
        <f>IF(47&gt;Ncoup,"",IF(IsZero=1,0,CouponRate/Freq*Face))</f>
        <v/>
      </c>
      <c r="D65" s="28">
        <f>IF(47&gt;Ncoup,"",IF(47=Ncoup,Face,0))</f>
        <v/>
      </c>
      <c r="E65" s="28">
        <f>IF(47&gt;Ncoup,"",$C$65+$D$65)</f>
        <v/>
      </c>
      <c r="F65" s="29">
        <f>IF(47&gt;Ncoup,"",((47-1)+Wfrac)/Freq)</f>
        <v/>
      </c>
      <c r="G65" s="25">
        <f>IF(47&gt;Ncoup,"",1/(1+YTM/Freq)^((47-1)+Wfrac))</f>
        <v/>
      </c>
      <c r="H65" s="28">
        <f>IF(47&gt;Ncoup,"",$E$65*$G$65)</f>
        <v/>
      </c>
      <c r="I65" s="25">
        <f>IF(47&gt;Ncoup,"",$E$65*((47-1)+Wfrac)*((47-1)+Wfrac+1)/(1+YTM/Freq)^((47-1)+Wfrac+2))</f>
        <v/>
      </c>
      <c r="J65" s="25">
        <f>IF(47&gt;Ncoup,"",$F$65*$H$65)</f>
        <v/>
      </c>
    </row>
    <row r="66">
      <c r="A66" s="19">
        <f>IF(48&gt;Ncoup,"",48)</f>
        <v/>
      </c>
      <c r="B66" s="24">
        <f>IF(48&gt;Ncoup,"",EDATE(Ncd,(12/Freq)*(48-1)))</f>
        <v/>
      </c>
      <c r="C66" s="28">
        <f>IF(48&gt;Ncoup,"",IF(IsZero=1,0,CouponRate/Freq*Face))</f>
        <v/>
      </c>
      <c r="D66" s="28">
        <f>IF(48&gt;Ncoup,"",IF(48=Ncoup,Face,0))</f>
        <v/>
      </c>
      <c r="E66" s="28">
        <f>IF(48&gt;Ncoup,"",$C$66+$D$66)</f>
        <v/>
      </c>
      <c r="F66" s="29">
        <f>IF(48&gt;Ncoup,"",((48-1)+Wfrac)/Freq)</f>
        <v/>
      </c>
      <c r="G66" s="25">
        <f>IF(48&gt;Ncoup,"",1/(1+YTM/Freq)^((48-1)+Wfrac))</f>
        <v/>
      </c>
      <c r="H66" s="28">
        <f>IF(48&gt;Ncoup,"",$E$66*$G$66)</f>
        <v/>
      </c>
      <c r="I66" s="25">
        <f>IF(48&gt;Ncoup,"",$E$66*((48-1)+Wfrac)*((48-1)+Wfrac+1)/(1+YTM/Freq)^((48-1)+Wfrac+2))</f>
        <v/>
      </c>
      <c r="J66" s="25">
        <f>IF(48&gt;Ncoup,"",$F$66*$H$66)</f>
        <v/>
      </c>
    </row>
    <row r="67">
      <c r="A67" s="19">
        <f>IF(49&gt;Ncoup,"",49)</f>
        <v/>
      </c>
      <c r="B67" s="24">
        <f>IF(49&gt;Ncoup,"",EDATE(Ncd,(12/Freq)*(49-1)))</f>
        <v/>
      </c>
      <c r="C67" s="28">
        <f>IF(49&gt;Ncoup,"",IF(IsZero=1,0,CouponRate/Freq*Face))</f>
        <v/>
      </c>
      <c r="D67" s="28">
        <f>IF(49&gt;Ncoup,"",IF(49=Ncoup,Face,0))</f>
        <v/>
      </c>
      <c r="E67" s="28">
        <f>IF(49&gt;Ncoup,"",$C$67+$D$67)</f>
        <v/>
      </c>
      <c r="F67" s="29">
        <f>IF(49&gt;Ncoup,"",((49-1)+Wfrac)/Freq)</f>
        <v/>
      </c>
      <c r="G67" s="25">
        <f>IF(49&gt;Ncoup,"",1/(1+YTM/Freq)^((49-1)+Wfrac))</f>
        <v/>
      </c>
      <c r="H67" s="28">
        <f>IF(49&gt;Ncoup,"",$E$67*$G$67)</f>
        <v/>
      </c>
      <c r="I67" s="25">
        <f>IF(49&gt;Ncoup,"",$E$67*((49-1)+Wfrac)*((49-1)+Wfrac+1)/(1+YTM/Freq)^((49-1)+Wfrac+2))</f>
        <v/>
      </c>
      <c r="J67" s="25">
        <f>IF(49&gt;Ncoup,"",$F$67*$H$67)</f>
        <v/>
      </c>
    </row>
    <row r="68">
      <c r="A68" s="19">
        <f>IF(50&gt;Ncoup,"",50)</f>
        <v/>
      </c>
      <c r="B68" s="24">
        <f>IF(50&gt;Ncoup,"",EDATE(Ncd,(12/Freq)*(50-1)))</f>
        <v/>
      </c>
      <c r="C68" s="28">
        <f>IF(50&gt;Ncoup,"",IF(IsZero=1,0,CouponRate/Freq*Face))</f>
        <v/>
      </c>
      <c r="D68" s="28">
        <f>IF(50&gt;Ncoup,"",IF(50=Ncoup,Face,0))</f>
        <v/>
      </c>
      <c r="E68" s="28">
        <f>IF(50&gt;Ncoup,"",$C$68+$D$68)</f>
        <v/>
      </c>
      <c r="F68" s="29">
        <f>IF(50&gt;Ncoup,"",((50-1)+Wfrac)/Freq)</f>
        <v/>
      </c>
      <c r="G68" s="25">
        <f>IF(50&gt;Ncoup,"",1/(1+YTM/Freq)^((50-1)+Wfrac))</f>
        <v/>
      </c>
      <c r="H68" s="28">
        <f>IF(50&gt;Ncoup,"",$E$68*$G$68)</f>
        <v/>
      </c>
      <c r="I68" s="25">
        <f>IF(50&gt;Ncoup,"",$E$68*((50-1)+Wfrac)*((50-1)+Wfrac+1)/(1+YTM/Freq)^((50-1)+Wfrac+2))</f>
        <v/>
      </c>
      <c r="J68" s="25">
        <f>IF(50&gt;Ncoup,"",$F$68*$H$68)</f>
        <v/>
      </c>
    </row>
    <row r="69">
      <c r="A69" s="19">
        <f>IF(51&gt;Ncoup,"",51)</f>
        <v/>
      </c>
      <c r="B69" s="24">
        <f>IF(51&gt;Ncoup,"",EDATE(Ncd,(12/Freq)*(51-1)))</f>
        <v/>
      </c>
      <c r="C69" s="28">
        <f>IF(51&gt;Ncoup,"",IF(IsZero=1,0,CouponRate/Freq*Face))</f>
        <v/>
      </c>
      <c r="D69" s="28">
        <f>IF(51&gt;Ncoup,"",IF(51=Ncoup,Face,0))</f>
        <v/>
      </c>
      <c r="E69" s="28">
        <f>IF(51&gt;Ncoup,"",$C$69+$D$69)</f>
        <v/>
      </c>
      <c r="F69" s="29">
        <f>IF(51&gt;Ncoup,"",((51-1)+Wfrac)/Freq)</f>
        <v/>
      </c>
      <c r="G69" s="25">
        <f>IF(51&gt;Ncoup,"",1/(1+YTM/Freq)^((51-1)+Wfrac))</f>
        <v/>
      </c>
      <c r="H69" s="28">
        <f>IF(51&gt;Ncoup,"",$E$69*$G$69)</f>
        <v/>
      </c>
      <c r="I69" s="25">
        <f>IF(51&gt;Ncoup,"",$E$69*((51-1)+Wfrac)*((51-1)+Wfrac+1)/(1+YTM/Freq)^((51-1)+Wfrac+2))</f>
        <v/>
      </c>
      <c r="J69" s="25">
        <f>IF(51&gt;Ncoup,"",$F$69*$H$69)</f>
        <v/>
      </c>
    </row>
    <row r="70">
      <c r="A70" s="19">
        <f>IF(52&gt;Ncoup,"",52)</f>
        <v/>
      </c>
      <c r="B70" s="24">
        <f>IF(52&gt;Ncoup,"",EDATE(Ncd,(12/Freq)*(52-1)))</f>
        <v/>
      </c>
      <c r="C70" s="28">
        <f>IF(52&gt;Ncoup,"",IF(IsZero=1,0,CouponRate/Freq*Face))</f>
        <v/>
      </c>
      <c r="D70" s="28">
        <f>IF(52&gt;Ncoup,"",IF(52=Ncoup,Face,0))</f>
        <v/>
      </c>
      <c r="E70" s="28">
        <f>IF(52&gt;Ncoup,"",$C$70+$D$70)</f>
        <v/>
      </c>
      <c r="F70" s="29">
        <f>IF(52&gt;Ncoup,"",((52-1)+Wfrac)/Freq)</f>
        <v/>
      </c>
      <c r="G70" s="25">
        <f>IF(52&gt;Ncoup,"",1/(1+YTM/Freq)^((52-1)+Wfrac))</f>
        <v/>
      </c>
      <c r="H70" s="28">
        <f>IF(52&gt;Ncoup,"",$E$70*$G$70)</f>
        <v/>
      </c>
      <c r="I70" s="25">
        <f>IF(52&gt;Ncoup,"",$E$70*((52-1)+Wfrac)*((52-1)+Wfrac+1)/(1+YTM/Freq)^((52-1)+Wfrac+2))</f>
        <v/>
      </c>
      <c r="J70" s="25">
        <f>IF(52&gt;Ncoup,"",$F$70*$H$70)</f>
        <v/>
      </c>
    </row>
    <row r="71">
      <c r="A71" s="19">
        <f>IF(53&gt;Ncoup,"",53)</f>
        <v/>
      </c>
      <c r="B71" s="24">
        <f>IF(53&gt;Ncoup,"",EDATE(Ncd,(12/Freq)*(53-1)))</f>
        <v/>
      </c>
      <c r="C71" s="28">
        <f>IF(53&gt;Ncoup,"",IF(IsZero=1,0,CouponRate/Freq*Face))</f>
        <v/>
      </c>
      <c r="D71" s="28">
        <f>IF(53&gt;Ncoup,"",IF(53=Ncoup,Face,0))</f>
        <v/>
      </c>
      <c r="E71" s="28">
        <f>IF(53&gt;Ncoup,"",$C$71+$D$71)</f>
        <v/>
      </c>
      <c r="F71" s="29">
        <f>IF(53&gt;Ncoup,"",((53-1)+Wfrac)/Freq)</f>
        <v/>
      </c>
      <c r="G71" s="25">
        <f>IF(53&gt;Ncoup,"",1/(1+YTM/Freq)^((53-1)+Wfrac))</f>
        <v/>
      </c>
      <c r="H71" s="28">
        <f>IF(53&gt;Ncoup,"",$E$71*$G$71)</f>
        <v/>
      </c>
      <c r="I71" s="25">
        <f>IF(53&gt;Ncoup,"",$E$71*((53-1)+Wfrac)*((53-1)+Wfrac+1)/(1+YTM/Freq)^((53-1)+Wfrac+2))</f>
        <v/>
      </c>
      <c r="J71" s="25">
        <f>IF(53&gt;Ncoup,"",$F$71*$H$71)</f>
        <v/>
      </c>
    </row>
    <row r="72">
      <c r="A72" s="19">
        <f>IF(54&gt;Ncoup,"",54)</f>
        <v/>
      </c>
      <c r="B72" s="24">
        <f>IF(54&gt;Ncoup,"",EDATE(Ncd,(12/Freq)*(54-1)))</f>
        <v/>
      </c>
      <c r="C72" s="28">
        <f>IF(54&gt;Ncoup,"",IF(IsZero=1,0,CouponRate/Freq*Face))</f>
        <v/>
      </c>
      <c r="D72" s="28">
        <f>IF(54&gt;Ncoup,"",IF(54=Ncoup,Face,0))</f>
        <v/>
      </c>
      <c r="E72" s="28">
        <f>IF(54&gt;Ncoup,"",$C$72+$D$72)</f>
        <v/>
      </c>
      <c r="F72" s="29">
        <f>IF(54&gt;Ncoup,"",((54-1)+Wfrac)/Freq)</f>
        <v/>
      </c>
      <c r="G72" s="25">
        <f>IF(54&gt;Ncoup,"",1/(1+YTM/Freq)^((54-1)+Wfrac))</f>
        <v/>
      </c>
      <c r="H72" s="28">
        <f>IF(54&gt;Ncoup,"",$E$72*$G$72)</f>
        <v/>
      </c>
      <c r="I72" s="25">
        <f>IF(54&gt;Ncoup,"",$E$72*((54-1)+Wfrac)*((54-1)+Wfrac+1)/(1+YTM/Freq)^((54-1)+Wfrac+2))</f>
        <v/>
      </c>
      <c r="J72" s="25">
        <f>IF(54&gt;Ncoup,"",$F$72*$H$72)</f>
        <v/>
      </c>
    </row>
    <row r="73">
      <c r="A73" s="19">
        <f>IF(55&gt;Ncoup,"",55)</f>
        <v/>
      </c>
      <c r="B73" s="24">
        <f>IF(55&gt;Ncoup,"",EDATE(Ncd,(12/Freq)*(55-1)))</f>
        <v/>
      </c>
      <c r="C73" s="28">
        <f>IF(55&gt;Ncoup,"",IF(IsZero=1,0,CouponRate/Freq*Face))</f>
        <v/>
      </c>
      <c r="D73" s="28">
        <f>IF(55&gt;Ncoup,"",IF(55=Ncoup,Face,0))</f>
        <v/>
      </c>
      <c r="E73" s="28">
        <f>IF(55&gt;Ncoup,"",$C$73+$D$73)</f>
        <v/>
      </c>
      <c r="F73" s="29">
        <f>IF(55&gt;Ncoup,"",((55-1)+Wfrac)/Freq)</f>
        <v/>
      </c>
      <c r="G73" s="25">
        <f>IF(55&gt;Ncoup,"",1/(1+YTM/Freq)^((55-1)+Wfrac))</f>
        <v/>
      </c>
      <c r="H73" s="28">
        <f>IF(55&gt;Ncoup,"",$E$73*$G$73)</f>
        <v/>
      </c>
      <c r="I73" s="25">
        <f>IF(55&gt;Ncoup,"",$E$73*((55-1)+Wfrac)*((55-1)+Wfrac+1)/(1+YTM/Freq)^((55-1)+Wfrac+2))</f>
        <v/>
      </c>
      <c r="J73" s="25">
        <f>IF(55&gt;Ncoup,"",$F$73*$H$73)</f>
        <v/>
      </c>
    </row>
    <row r="74">
      <c r="A74" s="19">
        <f>IF(56&gt;Ncoup,"",56)</f>
        <v/>
      </c>
      <c r="B74" s="24">
        <f>IF(56&gt;Ncoup,"",EDATE(Ncd,(12/Freq)*(56-1)))</f>
        <v/>
      </c>
      <c r="C74" s="28">
        <f>IF(56&gt;Ncoup,"",IF(IsZero=1,0,CouponRate/Freq*Face))</f>
        <v/>
      </c>
      <c r="D74" s="28">
        <f>IF(56&gt;Ncoup,"",IF(56=Ncoup,Face,0))</f>
        <v/>
      </c>
      <c r="E74" s="28">
        <f>IF(56&gt;Ncoup,"",$C$74+$D$74)</f>
        <v/>
      </c>
      <c r="F74" s="29">
        <f>IF(56&gt;Ncoup,"",((56-1)+Wfrac)/Freq)</f>
        <v/>
      </c>
      <c r="G74" s="25">
        <f>IF(56&gt;Ncoup,"",1/(1+YTM/Freq)^((56-1)+Wfrac))</f>
        <v/>
      </c>
      <c r="H74" s="28">
        <f>IF(56&gt;Ncoup,"",$E$74*$G$74)</f>
        <v/>
      </c>
      <c r="I74" s="25">
        <f>IF(56&gt;Ncoup,"",$E$74*((56-1)+Wfrac)*((56-1)+Wfrac+1)/(1+YTM/Freq)^((56-1)+Wfrac+2))</f>
        <v/>
      </c>
      <c r="J74" s="25">
        <f>IF(56&gt;Ncoup,"",$F$74*$H$74)</f>
        <v/>
      </c>
    </row>
    <row r="75">
      <c r="A75" s="19">
        <f>IF(57&gt;Ncoup,"",57)</f>
        <v/>
      </c>
      <c r="B75" s="24">
        <f>IF(57&gt;Ncoup,"",EDATE(Ncd,(12/Freq)*(57-1)))</f>
        <v/>
      </c>
      <c r="C75" s="28">
        <f>IF(57&gt;Ncoup,"",IF(IsZero=1,0,CouponRate/Freq*Face))</f>
        <v/>
      </c>
      <c r="D75" s="28">
        <f>IF(57&gt;Ncoup,"",IF(57=Ncoup,Face,0))</f>
        <v/>
      </c>
      <c r="E75" s="28">
        <f>IF(57&gt;Ncoup,"",$C$75+$D$75)</f>
        <v/>
      </c>
      <c r="F75" s="29">
        <f>IF(57&gt;Ncoup,"",((57-1)+Wfrac)/Freq)</f>
        <v/>
      </c>
      <c r="G75" s="25">
        <f>IF(57&gt;Ncoup,"",1/(1+YTM/Freq)^((57-1)+Wfrac))</f>
        <v/>
      </c>
      <c r="H75" s="28">
        <f>IF(57&gt;Ncoup,"",$E$75*$G$75)</f>
        <v/>
      </c>
      <c r="I75" s="25">
        <f>IF(57&gt;Ncoup,"",$E$75*((57-1)+Wfrac)*((57-1)+Wfrac+1)/(1+YTM/Freq)^((57-1)+Wfrac+2))</f>
        <v/>
      </c>
      <c r="J75" s="25">
        <f>IF(57&gt;Ncoup,"",$F$75*$H$75)</f>
        <v/>
      </c>
    </row>
    <row r="76">
      <c r="A76" s="19">
        <f>IF(58&gt;Ncoup,"",58)</f>
        <v/>
      </c>
      <c r="B76" s="24">
        <f>IF(58&gt;Ncoup,"",EDATE(Ncd,(12/Freq)*(58-1)))</f>
        <v/>
      </c>
      <c r="C76" s="28">
        <f>IF(58&gt;Ncoup,"",IF(IsZero=1,0,CouponRate/Freq*Face))</f>
        <v/>
      </c>
      <c r="D76" s="28">
        <f>IF(58&gt;Ncoup,"",IF(58=Ncoup,Face,0))</f>
        <v/>
      </c>
      <c r="E76" s="28">
        <f>IF(58&gt;Ncoup,"",$C$76+$D$76)</f>
        <v/>
      </c>
      <c r="F76" s="29">
        <f>IF(58&gt;Ncoup,"",((58-1)+Wfrac)/Freq)</f>
        <v/>
      </c>
      <c r="G76" s="25">
        <f>IF(58&gt;Ncoup,"",1/(1+YTM/Freq)^((58-1)+Wfrac))</f>
        <v/>
      </c>
      <c r="H76" s="28">
        <f>IF(58&gt;Ncoup,"",$E$76*$G$76)</f>
        <v/>
      </c>
      <c r="I76" s="25">
        <f>IF(58&gt;Ncoup,"",$E$76*((58-1)+Wfrac)*((58-1)+Wfrac+1)/(1+YTM/Freq)^((58-1)+Wfrac+2))</f>
        <v/>
      </c>
      <c r="J76" s="25">
        <f>IF(58&gt;Ncoup,"",$F$76*$H$76)</f>
        <v/>
      </c>
    </row>
    <row r="77">
      <c r="A77" s="19">
        <f>IF(59&gt;Ncoup,"",59)</f>
        <v/>
      </c>
      <c r="B77" s="24">
        <f>IF(59&gt;Ncoup,"",EDATE(Ncd,(12/Freq)*(59-1)))</f>
        <v/>
      </c>
      <c r="C77" s="28">
        <f>IF(59&gt;Ncoup,"",IF(IsZero=1,0,CouponRate/Freq*Face))</f>
        <v/>
      </c>
      <c r="D77" s="28">
        <f>IF(59&gt;Ncoup,"",IF(59=Ncoup,Face,0))</f>
        <v/>
      </c>
      <c r="E77" s="28">
        <f>IF(59&gt;Ncoup,"",$C$77+$D$77)</f>
        <v/>
      </c>
      <c r="F77" s="29">
        <f>IF(59&gt;Ncoup,"",((59-1)+Wfrac)/Freq)</f>
        <v/>
      </c>
      <c r="G77" s="25">
        <f>IF(59&gt;Ncoup,"",1/(1+YTM/Freq)^((59-1)+Wfrac))</f>
        <v/>
      </c>
      <c r="H77" s="28">
        <f>IF(59&gt;Ncoup,"",$E$77*$G$77)</f>
        <v/>
      </c>
      <c r="I77" s="25">
        <f>IF(59&gt;Ncoup,"",$E$77*((59-1)+Wfrac)*((59-1)+Wfrac+1)/(1+YTM/Freq)^((59-1)+Wfrac+2))</f>
        <v/>
      </c>
      <c r="J77" s="25">
        <f>IF(59&gt;Ncoup,"",$F$77*$H$77)</f>
        <v/>
      </c>
    </row>
    <row r="78">
      <c r="A78" s="19">
        <f>IF(60&gt;Ncoup,"",60)</f>
        <v/>
      </c>
      <c r="B78" s="24">
        <f>IF(60&gt;Ncoup,"",EDATE(Ncd,(12/Freq)*(60-1)))</f>
        <v/>
      </c>
      <c r="C78" s="28">
        <f>IF(60&gt;Ncoup,"",IF(IsZero=1,0,CouponRate/Freq*Face))</f>
        <v/>
      </c>
      <c r="D78" s="28">
        <f>IF(60&gt;Ncoup,"",IF(60=Ncoup,Face,0))</f>
        <v/>
      </c>
      <c r="E78" s="28">
        <f>IF(60&gt;Ncoup,"",$C$78+$D$78)</f>
        <v/>
      </c>
      <c r="F78" s="29">
        <f>IF(60&gt;Ncoup,"",((60-1)+Wfrac)/Freq)</f>
        <v/>
      </c>
      <c r="G78" s="25">
        <f>IF(60&gt;Ncoup,"",1/(1+YTM/Freq)^((60-1)+Wfrac))</f>
        <v/>
      </c>
      <c r="H78" s="28">
        <f>IF(60&gt;Ncoup,"",$E$78*$G$78)</f>
        <v/>
      </c>
      <c r="I78" s="25">
        <f>IF(60&gt;Ncoup,"",$E$78*((60-1)+Wfrac)*((60-1)+Wfrac+1)/(1+YTM/Freq)^((60-1)+Wfrac+2))</f>
        <v/>
      </c>
      <c r="J78" s="25">
        <f>IF(60&gt;Ncoup,"",$F$78*$H$78)</f>
        <v/>
      </c>
    </row>
    <row r="79">
      <c r="A79" s="19">
        <f>IF(61&gt;Ncoup,"",61)</f>
        <v/>
      </c>
      <c r="B79" s="24">
        <f>IF(61&gt;Ncoup,"",EDATE(Ncd,(12/Freq)*(61-1)))</f>
        <v/>
      </c>
      <c r="C79" s="28">
        <f>IF(61&gt;Ncoup,"",IF(IsZero=1,0,CouponRate/Freq*Face))</f>
        <v/>
      </c>
      <c r="D79" s="28">
        <f>IF(61&gt;Ncoup,"",IF(61=Ncoup,Face,0))</f>
        <v/>
      </c>
      <c r="E79" s="28">
        <f>IF(61&gt;Ncoup,"",$C$79+$D$79)</f>
        <v/>
      </c>
      <c r="F79" s="29">
        <f>IF(61&gt;Ncoup,"",((61-1)+Wfrac)/Freq)</f>
        <v/>
      </c>
      <c r="G79" s="25">
        <f>IF(61&gt;Ncoup,"",1/(1+YTM/Freq)^((61-1)+Wfrac))</f>
        <v/>
      </c>
      <c r="H79" s="28">
        <f>IF(61&gt;Ncoup,"",$E$79*$G$79)</f>
        <v/>
      </c>
      <c r="I79" s="25">
        <f>IF(61&gt;Ncoup,"",$E$79*((61-1)+Wfrac)*((61-1)+Wfrac+1)/(1+YTM/Freq)^((61-1)+Wfrac+2))</f>
        <v/>
      </c>
      <c r="J79" s="25">
        <f>IF(61&gt;Ncoup,"",$F$79*$H$79)</f>
        <v/>
      </c>
    </row>
    <row r="80">
      <c r="A80" s="19">
        <f>IF(62&gt;Ncoup,"",62)</f>
        <v/>
      </c>
      <c r="B80" s="24">
        <f>IF(62&gt;Ncoup,"",EDATE(Ncd,(12/Freq)*(62-1)))</f>
        <v/>
      </c>
      <c r="C80" s="28">
        <f>IF(62&gt;Ncoup,"",IF(IsZero=1,0,CouponRate/Freq*Face))</f>
        <v/>
      </c>
      <c r="D80" s="28">
        <f>IF(62&gt;Ncoup,"",IF(62=Ncoup,Face,0))</f>
        <v/>
      </c>
      <c r="E80" s="28">
        <f>IF(62&gt;Ncoup,"",$C$80+$D$80)</f>
        <v/>
      </c>
      <c r="F80" s="29">
        <f>IF(62&gt;Ncoup,"",((62-1)+Wfrac)/Freq)</f>
        <v/>
      </c>
      <c r="G80" s="25">
        <f>IF(62&gt;Ncoup,"",1/(1+YTM/Freq)^((62-1)+Wfrac))</f>
        <v/>
      </c>
      <c r="H80" s="28">
        <f>IF(62&gt;Ncoup,"",$E$80*$G$80)</f>
        <v/>
      </c>
      <c r="I80" s="25">
        <f>IF(62&gt;Ncoup,"",$E$80*((62-1)+Wfrac)*((62-1)+Wfrac+1)/(1+YTM/Freq)^((62-1)+Wfrac+2))</f>
        <v/>
      </c>
      <c r="J80" s="25">
        <f>IF(62&gt;Ncoup,"",$F$80*$H$80)</f>
        <v/>
      </c>
    </row>
    <row r="81">
      <c r="A81" s="30" t="inlineStr">
        <is>
          <t>Totals</t>
        </is>
      </c>
      <c r="C81" s="31">
        <f>SUM(C19:C80)</f>
        <v/>
      </c>
      <c r="D81" s="31">
        <f>SUM(D19:D80)</f>
        <v/>
      </c>
      <c r="E81" s="31">
        <f>SUM(E19:E80)</f>
        <v/>
      </c>
      <c r="H81" s="31">
        <f>SUM(H19:H80)</f>
        <v/>
      </c>
    </row>
    <row r="83" ht="18" customHeight="1">
      <c r="A83" s="5" t="inlineStr">
        <is>
          <t>From the schedule (auto)</t>
        </is>
      </c>
    </row>
    <row r="84">
      <c r="A84" s="8" t="inlineStr">
        <is>
          <t>Sum of PV  =  Dirty price</t>
        </is>
      </c>
      <c r="B84" s="32">
        <f>SUM(H19:H80)</f>
        <v/>
      </c>
      <c r="D84" s="12" t="inlineStr">
        <is>
          <t>Should equal the Dirty price on the Price &amp; Yield sheet (checked in Audit).</t>
        </is>
      </c>
    </row>
    <row r="85">
      <c r="A85" s="8" t="inlineStr">
        <is>
          <t>Macaulay duration (schedule)</t>
        </is>
      </c>
      <c r="B85" s="33">
        <f>SUM(J19:J80)/SUM(H19:H80)</f>
        <v/>
      </c>
    </row>
    <row r="86">
      <c r="A86" s="8" t="inlineStr">
        <is>
          <t>Convexity (schedule)</t>
        </is>
      </c>
      <c r="B86" s="34">
        <f>SUM(I19:I80)/(SUM(H19:H80)*Freq^2)</f>
        <v/>
      </c>
      <c r="D86" s="12" t="inlineStr">
        <is>
          <t>Excel has no convexity function, so it is computed from the schedule.</t>
        </is>
      </c>
    </row>
  </sheetData>
  <mergeCells count="13">
    <mergeCell ref="D14:J14"/>
    <mergeCell ref="A1:J1"/>
    <mergeCell ref="D84:J84"/>
    <mergeCell ref="A8:J8"/>
    <mergeCell ref="A9:J9"/>
    <mergeCell ref="A3:J3"/>
    <mergeCell ref="A83:J83"/>
    <mergeCell ref="D16:J16"/>
    <mergeCell ref="A7:J7"/>
    <mergeCell ref="D86:J86"/>
    <mergeCell ref="A2:J2"/>
    <mergeCell ref="A10:J10"/>
    <mergeCell ref="A13:J13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PRICE &amp; YIELD</t>
        </is>
      </c>
    </row>
    <row r="2">
      <c r="A2" s="2" t="inlineStr">
        <is>
          <t>Accrued interest, clean vs dirty price, yield and spread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CLEAN PRICE is the quoted price. DIRTY PRICE is what you actually pay = clean price + accrued interest (the coupon that has built up since the last payment).</t>
        </is>
      </c>
    </row>
    <row r="9" ht="25" customHeight="1">
      <c r="A9" s="7" t="inlineStr">
        <is>
          <t>YIELD TO MATURITY is the single rate that discounts the bond's cash flows back to its price - the return if you hold to maturity. For a Treasury Bill it is computed from price, face and time to maturity.</t>
        </is>
      </c>
    </row>
    <row r="10" ht="14" customHeight="1">
      <c r="A10" s="7" t="inlineStr">
        <is>
          <t>SPREAD = yield - benchmark Treasury yield (optional; often ~0 for an on-the-run Treasury).</t>
        </is>
      </c>
    </row>
    <row r="13" ht="18" customHeight="1">
      <c r="A13" s="5" t="inlineStr">
        <is>
          <t>Results</t>
        </is>
      </c>
    </row>
    <row r="14">
      <c r="A14" s="8" t="inlineStr">
        <is>
          <t>Accrued interest (per 100)</t>
        </is>
      </c>
      <c r="B14" s="32">
        <f>IF(IsZero=1,0,COUPDAYBS(Settle,Maturity,Freq,Basis)/COUPDAYS(Settle,Maturity,Freq,Basis)*CouponRate/Freq*Face)</f>
        <v/>
      </c>
      <c r="C14" s="23" t="n"/>
      <c r="D14" s="12" t="inlineStr">
        <is>
          <t>Coupon built up since the last payment. Zero for a Treasury Bill.</t>
        </is>
      </c>
    </row>
    <row r="15">
      <c r="A15" s="8" t="inlineStr">
        <is>
          <t>Market clean price</t>
        </is>
      </c>
      <c r="B15" s="35">
        <f>MktClean</f>
        <v/>
      </c>
      <c r="D15" s="12" t="inlineStr">
        <is>
          <t>As entered on Bond Terms.</t>
        </is>
      </c>
    </row>
    <row r="16">
      <c r="A16" s="8" t="inlineStr">
        <is>
          <t>Dirty price (invoice price)</t>
        </is>
      </c>
      <c r="B16" s="32">
        <f>MktClean+Accrued</f>
        <v/>
      </c>
      <c r="C16" s="23" t="n"/>
      <c r="D16" s="12" t="inlineStr">
        <is>
          <t>What you actually pay = clean + accrued.</t>
        </is>
      </c>
    </row>
    <row r="17">
      <c r="A17" s="8" t="inlineStr">
        <is>
          <t>Yield to maturity (YTM)</t>
        </is>
      </c>
      <c r="B17" s="36">
        <f>IF(IsZero=1,(Face/MktClean)^(1/YearsToMat)-1,YIELD(Settle,Maturity,CouponRate,MktClean,Face,Freq,Basis))</f>
        <v/>
      </c>
      <c r="C17" s="23" t="n"/>
      <c r="D17" s="12" t="inlineStr">
        <is>
          <t>Return if held to maturity. Bill: (Face/Price)^(1/Years)-1 (effective annual).</t>
        </is>
      </c>
    </row>
    <row r="18">
      <c r="A18" s="8" t="inlineStr">
        <is>
          <t>Current yield</t>
        </is>
      </c>
      <c r="B18" s="37">
        <f>IF(IsZero=1,"N/A",(CouponRate*Face)/MktClean)</f>
        <v/>
      </c>
      <c r="C18" s="23" t="n"/>
      <c r="D18" s="12" t="inlineStr">
        <is>
          <t>Annual coupon / clean price. N/A for a Treasury Bill (no coupon).</t>
        </is>
      </c>
    </row>
    <row r="19">
      <c r="A19" s="8" t="inlineStr">
        <is>
          <t>Premium / discount to par</t>
        </is>
      </c>
      <c r="B19" s="32">
        <f>MktClean-Face</f>
        <v/>
      </c>
      <c r="C19" s="23" t="n"/>
      <c r="D19" s="12" t="inlineStr">
        <is>
          <t>Positive = premium (above 100); negative = discount (below 100).</t>
        </is>
      </c>
    </row>
    <row r="20">
      <c r="A20" s="8" t="inlineStr">
        <is>
          <t>Spread over benchmark</t>
        </is>
      </c>
      <c r="B20" s="36">
        <f>YTM-BenchYield</f>
        <v/>
      </c>
      <c r="C20" s="23" t="n"/>
      <c r="D20" s="12" t="inlineStr">
        <is>
          <t>Yield minus the benchmark Treasury yield.</t>
        </is>
      </c>
    </row>
    <row r="21">
      <c r="A21" s="8" t="inlineStr">
        <is>
          <t>Spread (basis points)</t>
        </is>
      </c>
      <c r="B21" s="38">
        <f>Spread*10000</f>
        <v/>
      </c>
    </row>
    <row r="22">
      <c r="A22" s="8" t="inlineStr">
        <is>
          <t>Model clean price (reprice at YTM)</t>
        </is>
      </c>
      <c r="B22" s="28">
        <f>IF(IsZero=1,Face/(1+YTM)^YearsToMat,PRICE(Settle,Maturity,CouponRate,YTM,Face,Freq,Basis))</f>
        <v/>
      </c>
      <c r="D22" s="12" t="inlineStr">
        <is>
          <t>Should equal the market clean price (checked in Audit).</t>
        </is>
      </c>
    </row>
    <row r="24" ht="18" customHeight="1">
      <c r="A24" s="5" t="inlineStr">
        <is>
          <t>Interpretation</t>
        </is>
      </c>
    </row>
    <row r="25">
      <c r="A25" s="8" t="inlineStr">
        <is>
          <t>Price vs par</t>
        </is>
      </c>
      <c r="B25" s="10">
        <f>IF(MktClean&gt;Face+0.25,"Premium - trades above par (coupon &gt; yield)",IF(MktClean&lt;Face-0.25,"Discount - trades below par (coupon &lt; yield)","Near par"))</f>
        <v/>
      </c>
    </row>
    <row r="26">
      <c r="A26" s="8" t="inlineStr">
        <is>
          <t>Yield &amp; price</t>
        </is>
      </c>
      <c r="B26" s="10">
        <f>"Remember: higher yield -&gt; lower price, and lower yield -&gt; higher price."</f>
        <v/>
      </c>
    </row>
    <row r="27">
      <c r="A27" s="8" t="inlineStr">
        <is>
          <t>Yield vs coupon</t>
        </is>
      </c>
      <c r="B27" s="10">
        <f>IF(IsZero=1,"Treasury Bill: all return comes from the discount to face value",IF(YTM&gt;CouponRate,"Yield above coupon - priced at a discount",IF(YTM&lt;CouponRate,"Yield below coupon - priced at a premium","Yield ~ coupon - priced near par")))</f>
        <v/>
      </c>
    </row>
  </sheetData>
  <mergeCells count="29">
    <mergeCell ref="B16:C16"/>
    <mergeCell ref="B25:F25"/>
    <mergeCell ref="B22:C22"/>
    <mergeCell ref="D17:F17"/>
    <mergeCell ref="A3:F3"/>
    <mergeCell ref="B18:C18"/>
    <mergeCell ref="D16:F16"/>
    <mergeCell ref="B27:F27"/>
    <mergeCell ref="A2:F2"/>
    <mergeCell ref="B21:C21"/>
    <mergeCell ref="A8:F8"/>
    <mergeCell ref="D18:F18"/>
    <mergeCell ref="B14:C14"/>
    <mergeCell ref="B17:C17"/>
    <mergeCell ref="D15:F15"/>
    <mergeCell ref="A10:F10"/>
    <mergeCell ref="D14:F14"/>
    <mergeCell ref="A13:F13"/>
    <mergeCell ref="B19:C19"/>
    <mergeCell ref="A9:F9"/>
    <mergeCell ref="D20:F20"/>
    <mergeCell ref="A24:F24"/>
    <mergeCell ref="D19:F19"/>
    <mergeCell ref="B15:C15"/>
    <mergeCell ref="A1:F1"/>
    <mergeCell ref="B20:C20"/>
    <mergeCell ref="D22:F22"/>
    <mergeCell ref="B26:F26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DURATION &amp; CONVEXITY</t>
        </is>
      </c>
    </row>
    <row r="2">
      <c r="A2" s="2" t="inlineStr">
        <is>
          <t>Interest-rate sensitivity of the bond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MACAULAY DURATION = the weighted-average time (years) to receive the cash flows. For a Treasury Bill it equals the time to maturity.</t>
        </is>
      </c>
    </row>
    <row r="9" ht="14" customHeight="1">
      <c r="A9" s="7" t="inlineStr">
        <is>
          <t>MODIFIED DURATION = the approximate % price change for a 1% (100 bps) yield move. Bigger = more rate risk.</t>
        </is>
      </c>
    </row>
    <row r="10" ht="25" customHeight="1">
      <c r="A10" s="7" t="inlineStr">
        <is>
          <t>DV01 = the price change for a 1 basis-point move (a price-risk measure).  CONVEXITY improves the estimate for larger moves: price change is approximately  -Modified x (yield change) + 0.5 x convexity x (yield change)^2.</t>
        </is>
      </c>
    </row>
    <row r="13" ht="18" customHeight="1">
      <c r="A13" s="5" t="inlineStr">
        <is>
          <t>Sensitivity measures</t>
        </is>
      </c>
    </row>
    <row r="14">
      <c r="A14" s="8" t="inlineStr">
        <is>
          <t>Macaulay duration</t>
        </is>
      </c>
      <c r="B14" s="33">
        <f>IF(IsZero=1,YearsToMat,DURATION(Settle,Maturity,CouponRate,YTM,Freq,Basis))</f>
        <v/>
      </c>
      <c r="C14" s="23" t="n"/>
      <c r="D14" s="12" t="inlineStr">
        <is>
          <t>For a Treasury Bill this equals the time to maturity.</t>
        </is>
      </c>
    </row>
    <row r="15">
      <c r="A15" s="8" t="inlineStr">
        <is>
          <t>Modified duration</t>
        </is>
      </c>
      <c r="B15" s="34">
        <f>IF(IsZero=1,YearsToMat/(1+YTM),MDURATION(Settle,Maturity,CouponRate,YTM,Freq,Basis))</f>
        <v/>
      </c>
      <c r="C15" s="23" t="n"/>
      <c r="D15" s="12" t="inlineStr">
        <is>
          <t>Approx % price fall if the yield rises 1% (100 bps).</t>
        </is>
      </c>
    </row>
    <row r="16">
      <c r="A16" s="8" t="inlineStr">
        <is>
          <t>Convexity</t>
        </is>
      </c>
      <c r="B16" s="39">
        <f>Convexity</f>
        <v/>
      </c>
      <c r="D16" s="12" t="inlineStr">
        <is>
          <t>Computed on the Cash Flows sheet (Excel has no convexity function).</t>
        </is>
      </c>
    </row>
    <row r="17">
      <c r="A17" s="8" t="inlineStr">
        <is>
          <t>DV01 (per 100 face)</t>
        </is>
      </c>
      <c r="B17" s="40">
        <f>ModDur*Dirty*0.0001</f>
        <v/>
      </c>
      <c r="C17" s="23" t="n"/>
      <c r="D17" s="12" t="inlineStr">
        <is>
          <t>Price change for a 1 basis-point yield move. Positive = the size of the risk.</t>
        </is>
      </c>
    </row>
    <row r="19">
      <c r="A19" s="3" t="inlineStr">
        <is>
          <t>Rule of thumb: a modified duration of D means about a D% price change for a 1% yield move. Longer-maturity Treasuries have larger duration and more price risk.</t>
        </is>
      </c>
    </row>
  </sheetData>
  <mergeCells count="17">
    <mergeCell ref="A2:F2"/>
    <mergeCell ref="A10:F10"/>
    <mergeCell ref="D14:F14"/>
    <mergeCell ref="B15:C15"/>
    <mergeCell ref="B16:C16"/>
    <mergeCell ref="A13:F13"/>
    <mergeCell ref="A19:F19"/>
    <mergeCell ref="A1:F1"/>
    <mergeCell ref="A9:F9"/>
    <mergeCell ref="A8:F8"/>
    <mergeCell ref="B14:C14"/>
    <mergeCell ref="D17:F17"/>
    <mergeCell ref="B17:C17"/>
    <mergeCell ref="A3:F3"/>
    <mergeCell ref="D15:F15"/>
    <mergeCell ref="D16:F16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641F"/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 ht="28" customHeight="1">
      <c r="A1" s="1" t="inlineStr">
        <is>
          <t>RATE SHOCK</t>
        </is>
      </c>
    </row>
    <row r="2">
      <c r="A2" s="2" t="inlineStr">
        <is>
          <t>Estimated price impact if Treasury yields move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WHAT THIS SHOWS:  how the clean price would change if the yield moved up or down. The estimate uses modified duration (the straight-line effect) and then adds convexity (the curve correction).</t>
        </is>
      </c>
    </row>
    <row r="9" ht="14" customHeight="1">
      <c r="A9" s="7" t="inlineStr">
        <is>
          <t>If yields RISE, Treasury prices FALL; if yields FALL, prices RISE. Longer-duration bonds move more.</t>
        </is>
      </c>
    </row>
    <row r="10" ht="14" customHeight="1">
      <c r="A10" s="7" t="inlineStr">
        <is>
          <t>These are approximations from duration and convexity, not a full reprice - good for small/medium moves.</t>
        </is>
      </c>
    </row>
    <row r="13" ht="26" customHeight="1">
      <c r="A13" s="27" t="inlineStr">
        <is>
          <t>Yield shock</t>
        </is>
      </c>
      <c r="B13" s="27" t="inlineStr">
        <is>
          <t>New est. yield</t>
        </is>
      </c>
      <c r="C13" s="27" t="inlineStr">
        <is>
          <t>Price change
(duration only)</t>
        </is>
      </c>
      <c r="D13" s="27" t="inlineStr">
        <is>
          <t>Price change
(dur + convexity)</t>
        </is>
      </c>
      <c r="E13" s="27" t="inlineStr">
        <is>
          <t>Est. new clean price</t>
        </is>
      </c>
      <c r="F13" s="26" t="inlineStr">
        <is>
          <t>Interpretation</t>
        </is>
      </c>
    </row>
    <row r="14">
      <c r="A14" s="8" t="inlineStr">
        <is>
          <t>-100 bps</t>
        </is>
      </c>
      <c r="B14" s="41">
        <f>YTM+-0.01</f>
        <v/>
      </c>
      <c r="C14" s="28">
        <f>-ModDur*(-0.01)*CleanPrice</f>
        <v/>
      </c>
      <c r="D14" s="28">
        <f>(-ModDur*(-0.01)+0.5*Convexity*(-0.01)^2)*CleanPrice</f>
        <v/>
      </c>
      <c r="E14" s="32">
        <f>CleanPrice+$D$14</f>
        <v/>
      </c>
      <c r="F14" s="10">
        <f>IF(-100&gt;0,"Yields up -&gt; price falls","Yields down -&gt; price rises")</f>
        <v/>
      </c>
    </row>
    <row r="15">
      <c r="A15" s="8" t="inlineStr">
        <is>
          <t>-50 bps</t>
        </is>
      </c>
      <c r="B15" s="41">
        <f>YTM+-0.005</f>
        <v/>
      </c>
      <c r="C15" s="28">
        <f>-ModDur*(-0.005)*CleanPrice</f>
        <v/>
      </c>
      <c r="D15" s="28">
        <f>(-ModDur*(-0.005)+0.5*Convexity*(-0.005)^2)*CleanPrice</f>
        <v/>
      </c>
      <c r="E15" s="32">
        <f>CleanPrice+$D$15</f>
        <v/>
      </c>
      <c r="F15" s="10">
        <f>IF(-50&gt;0,"Yields up -&gt; price falls","Yields down -&gt; price rises")</f>
        <v/>
      </c>
    </row>
    <row r="16">
      <c r="A16" s="8" t="inlineStr">
        <is>
          <t>-25 bps</t>
        </is>
      </c>
      <c r="B16" s="41">
        <f>YTM+-0.0025</f>
        <v/>
      </c>
      <c r="C16" s="28">
        <f>-ModDur*(-0.0025)*CleanPrice</f>
        <v/>
      </c>
      <c r="D16" s="28">
        <f>(-ModDur*(-0.0025)+0.5*Convexity*(-0.0025)^2)*CleanPrice</f>
        <v/>
      </c>
      <c r="E16" s="32">
        <f>CleanPrice+$D$16</f>
        <v/>
      </c>
      <c r="F16" s="10">
        <f>IF(-25&gt;0,"Yields up -&gt; price falls","Yields down -&gt; price rises")</f>
        <v/>
      </c>
    </row>
    <row r="17">
      <c r="A17" s="8" t="inlineStr">
        <is>
          <t>+25 bps</t>
        </is>
      </c>
      <c r="B17" s="41">
        <f>YTM+0.0025</f>
        <v/>
      </c>
      <c r="C17" s="28">
        <f>-ModDur*(0.0025)*CleanPrice</f>
        <v/>
      </c>
      <c r="D17" s="28">
        <f>(-ModDur*(0.0025)+0.5*Convexity*(0.0025)^2)*CleanPrice</f>
        <v/>
      </c>
      <c r="E17" s="32">
        <f>CleanPrice+$D$17</f>
        <v/>
      </c>
      <c r="F17" s="10">
        <f>IF(25&gt;0,"Yields up -&gt; price falls","Yields down -&gt; price rises")</f>
        <v/>
      </c>
    </row>
    <row r="18">
      <c r="A18" s="8" t="inlineStr">
        <is>
          <t>+50 bps</t>
        </is>
      </c>
      <c r="B18" s="41">
        <f>YTM+0.005</f>
        <v/>
      </c>
      <c r="C18" s="28">
        <f>-ModDur*(0.005)*CleanPrice</f>
        <v/>
      </c>
      <c r="D18" s="28">
        <f>(-ModDur*(0.005)+0.5*Convexity*(0.005)^2)*CleanPrice</f>
        <v/>
      </c>
      <c r="E18" s="32">
        <f>CleanPrice+$D$18</f>
        <v/>
      </c>
      <c r="F18" s="10">
        <f>IF(50&gt;0,"Yields up -&gt; price falls","Yields down -&gt; price rises")</f>
        <v/>
      </c>
    </row>
    <row r="19">
      <c r="A19" s="8" t="inlineStr">
        <is>
          <t>+100 bps</t>
        </is>
      </c>
      <c r="B19" s="41">
        <f>YTM+0.01</f>
        <v/>
      </c>
      <c r="C19" s="28">
        <f>-ModDur*(0.01)*CleanPrice</f>
        <v/>
      </c>
      <c r="D19" s="28">
        <f>(-ModDur*(0.01)+0.5*Convexity*(0.01)^2)*CleanPrice</f>
        <v/>
      </c>
      <c r="E19" s="32">
        <f>CleanPrice+$D$19</f>
        <v/>
      </c>
      <c r="F19" s="10">
        <f>IF(100&gt;0,"Yields up -&gt; price falls","Yields down -&gt; price rises")</f>
        <v/>
      </c>
    </row>
    <row r="20">
      <c r="A20" s="3" t="inlineStr">
        <is>
          <t>Note: change applied to the clean price using modified duration and convexity. Convexity makes the gain on a rally slightly larger than the loss on an equal sell-off.</t>
        </is>
      </c>
    </row>
  </sheetData>
  <mergeCells count="8">
    <mergeCell ref="A2:F2"/>
    <mergeCell ref="A10:F10"/>
    <mergeCell ref="A1:F1"/>
    <mergeCell ref="A9:F9"/>
    <mergeCell ref="A8:F8"/>
    <mergeCell ref="A3:F3"/>
    <mergeCell ref="A20:F20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YIELD CURVE</t>
        </is>
      </c>
    </row>
    <row r="2">
      <c r="A2" s="2" t="inlineStr">
        <is>
          <t>Where this bond sits on the US Treasury curve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14" customHeight="1">
      <c r="A8" s="7" t="inlineStr">
        <is>
          <t>WHAT THIS SHOWS:  the Treasury yield curve (yield by maturity) and where your bond sits on it.</t>
        </is>
      </c>
    </row>
    <row r="9" ht="25" customHeight="1">
      <c r="A9" s="7" t="inlineStr">
        <is>
          <t>A NORMAL curve slopes up (longer = higher yield). A FLAT curve is roughly level. An INVERTED curve slopes down (short yields above long yields) - often a recession signal.</t>
        </is>
      </c>
    </row>
    <row r="10" ht="14" customHeight="1">
      <c r="A10" s="7" t="inlineStr">
        <is>
          <t>Enter current Treasury yields in the yellow cells; the chart and the read update.</t>
        </is>
      </c>
    </row>
    <row r="13" ht="18" customHeight="1">
      <c r="A13" s="5" t="inlineStr">
        <is>
          <t>Treasury yields</t>
        </is>
      </c>
    </row>
    <row r="14">
      <c r="A14" s="26" t="inlineStr">
        <is>
          <t>Tenor</t>
        </is>
      </c>
      <c r="B14" s="27" t="inlineStr">
        <is>
          <t>Yield</t>
        </is>
      </c>
    </row>
    <row r="15">
      <c r="A15" s="8" t="inlineStr">
        <is>
          <t>3-month</t>
        </is>
      </c>
      <c r="B15" s="16" t="n"/>
    </row>
    <row r="16">
      <c r="A16" s="8" t="inlineStr">
        <is>
          <t>2-year</t>
        </is>
      </c>
      <c r="B16" s="16" t="n"/>
    </row>
    <row r="17">
      <c r="A17" s="8" t="inlineStr">
        <is>
          <t>5-year</t>
        </is>
      </c>
      <c r="B17" s="16" t="n"/>
    </row>
    <row r="18">
      <c r="A18" s="8" t="inlineStr">
        <is>
          <t>10-year</t>
        </is>
      </c>
      <c r="B18" s="16" t="n"/>
    </row>
    <row r="19">
      <c r="A19" s="8" t="inlineStr">
        <is>
          <t>30-year</t>
        </is>
      </c>
      <c r="B19" s="16" t="n"/>
    </row>
    <row r="21" ht="18" customHeight="1">
      <c r="A21" s="5" t="inlineStr">
        <is>
          <t>Where this bond sits</t>
        </is>
      </c>
    </row>
    <row r="22">
      <c r="A22" s="8" t="inlineStr">
        <is>
          <t>Years to maturity</t>
        </is>
      </c>
      <c r="B22" s="42">
        <f>YearsToMat</f>
        <v/>
      </c>
    </row>
    <row r="23">
      <c r="A23" s="8" t="inlineStr">
        <is>
          <t>Maturity bucket</t>
        </is>
      </c>
      <c r="B23" s="11">
        <f>IF(YearsToMat&lt;=3,"Short-term",IF(YearsToMat&lt;=10,"Intermediate-term","Long-term"))</f>
        <v/>
      </c>
      <c r="C23" s="23" t="n"/>
    </row>
    <row r="24">
      <c r="A24" s="8" t="inlineStr">
        <is>
          <t>Curve slope (10y - 2y)</t>
        </is>
      </c>
      <c r="B24" s="38">
        <f>(Y10Y-Y2Y)*10000</f>
        <v/>
      </c>
    </row>
    <row r="25">
      <c r="A25" s="8" t="inlineStr">
        <is>
          <t>Curve shape</t>
        </is>
      </c>
      <c r="B25" s="11">
        <f>IF(N(Y10Y)=0,"Enter curve yields above",IF(Y10Y-Y2Y&gt;0.001,"Normal (upward-sloping)",IF(Y10Y-Y2Y&lt;-0.001,"Inverted (downward-sloping)","Flat")))</f>
        <v/>
      </c>
      <c r="C25" s="43" t="n"/>
      <c r="D25" s="23" t="n"/>
    </row>
  </sheetData>
  <mergeCells count="11">
    <mergeCell ref="A2:F2"/>
    <mergeCell ref="A10:F10"/>
    <mergeCell ref="A13:F13"/>
    <mergeCell ref="A1:F1"/>
    <mergeCell ref="A9:F9"/>
    <mergeCell ref="A8:F8"/>
    <mergeCell ref="B23:C23"/>
    <mergeCell ref="A3:F3"/>
    <mergeCell ref="A21:F21"/>
    <mergeCell ref="B25:D25"/>
    <mergeCell ref="A7:F7"/>
  </mergeCells>
  <conditionalFormatting sqref="B25">
    <cfRule type="expression" priority="1" dxfId="0" stopIfTrue="1">
      <formula>OR(ISNUMBER(SEARCH("PASS",B25)),ISNUMBER(SEARCH("OK",B25)),ISNUMBER(SEARCH("Low",B25)),ISNUMBER(SEARCH("Normal",B25)),ISNUMBER(SEARCH("Buy",B25)),ISNUMBER(SEARCH("Short",B25)),ISNUMBER(SEARCH("Yes",B25)),ISNUMBER(SEARCH("Within",B25)))</formula>
    </cfRule>
    <cfRule type="expression" priority="2" dxfId="1" stopIfTrue="1">
      <formula>OR(ISNUMBER(SEARCH("WARNING",B25)),ISNUMBER(SEARCH("WARN",B25)),ISNUMBER(SEARCH("Medium",B25)),ISNUMBER(SEARCH("Flat",B25)),ISNUMBER(SEARCH("Hold",B25)),ISNUMBER(SEARCH("Intermediate",B25)),ISNUMBER(SEARCH("Review",B25)),ISNUMBER(SEARCH("Watch",B25)))</formula>
    </cfRule>
    <cfRule type="expression" priority="3" dxfId="2" stopIfTrue="1">
      <formula>OR(ISNUMBER(SEARCH("FAIL",B25)),ISNUMBER(SEARCH("High",B25)),ISNUMBER(SEARCH("Inverted",B25)),ISNUMBER(SEARCH("Avoid",B25)),ISNUMBER(SEARCH("Long",B25)),ISNUMBER(SEARCH("Negative",B25)),ISNUMBER(SEARCH("No",B25)))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drawing xmlns:r="http://schemas.openxmlformats.org/officeDocument/2006/relationships" r:id="rId13"/>
</worksheet>
</file>

<file path=xl/worksheets/sheet8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44" customWidth="1" min="4" max="4"/>
  </cols>
  <sheetData>
    <row r="1" ht="28" customHeight="1">
      <c r="A1" s="1" t="inlineStr">
        <is>
          <t>RISK SUMMARY</t>
        </is>
      </c>
    </row>
    <row r="2">
      <c r="A2" s="2" t="inlineStr">
        <is>
          <t>The main risks of holding a US Treasury bond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For a US Treasury, the main risks are INTEREST-RATE and INFLATION risk - not credit risk. The US government's own securities are treated as the risk-free benchmark, so default/credit risk is not the focus.</t>
        </is>
      </c>
    </row>
    <row r="9" ht="14" customHeight="1">
      <c r="A9" s="7" t="inlineStr">
        <is>
          <t>Set each risk to Low / Medium / High (drop-down) and add a short comment. The sample text is a starting point.</t>
        </is>
      </c>
    </row>
    <row r="12" ht="18" customHeight="1">
      <c r="A12" s="27" t="inlineStr">
        <is>
          <t>Risk</t>
        </is>
      </c>
      <c r="B12" s="26" t="inlineStr">
        <is>
          <t>Description</t>
        </is>
      </c>
      <c r="C12" s="27" t="inlineStr">
        <is>
          <t>Assessment</t>
        </is>
      </c>
      <c r="D12" s="27" t="inlineStr">
        <is>
          <t>Analyst comment</t>
        </is>
      </c>
    </row>
    <row r="13" ht="30" customHeight="1">
      <c r="A13" s="8" t="inlineStr">
        <is>
          <t>Interest-rate risk</t>
        </is>
      </c>
      <c r="B13" s="12" t="inlineStr">
        <is>
          <t>Price falls when market yields rise. This is the MAIN risk for a US Treasury.</t>
        </is>
      </c>
      <c r="C13" s="9" t="inlineStr">
        <is>
          <t>Medium</t>
        </is>
      </c>
      <c r="D13" s="13" t="inlineStr"/>
    </row>
    <row r="14" ht="30" customHeight="1">
      <c r="A14" s="8" t="inlineStr">
        <is>
          <t>Duration risk</t>
        </is>
      </c>
      <c r="B14" s="12" t="inlineStr">
        <is>
          <t>Longer duration means bigger price swings for a given yield move.</t>
        </is>
      </c>
      <c r="C14" s="9" t="inlineStr">
        <is>
          <t>Medium</t>
        </is>
      </c>
      <c r="D14" s="13" t="inlineStr"/>
    </row>
    <row r="15" ht="30" customHeight="1">
      <c r="A15" s="8" t="inlineStr">
        <is>
          <t>Reinvestment risk</t>
        </is>
      </c>
      <c r="B15" s="12" t="inlineStr">
        <is>
          <t>Coupons (and principal at maturity) may have to be reinvested at lower rates.</t>
        </is>
      </c>
      <c r="C15" s="9" t="inlineStr">
        <is>
          <t>Medium</t>
        </is>
      </c>
      <c r="D15" s="13" t="inlineStr"/>
    </row>
    <row r="16" ht="30" customHeight="1">
      <c r="A16" s="8" t="inlineStr">
        <is>
          <t>Inflation risk</t>
        </is>
      </c>
      <c r="B16" s="12" t="inlineStr">
        <is>
          <t>Fixed nominal coupons lose purchasing power if inflation rises.</t>
        </is>
      </c>
      <c r="C16" s="9" t="inlineStr">
        <is>
          <t>Medium</t>
        </is>
      </c>
      <c r="D16" s="13" t="inlineStr"/>
    </row>
    <row r="17" ht="30" customHeight="1">
      <c r="A17" s="8" t="inlineStr">
        <is>
          <t>Opportunity cost risk</t>
        </is>
      </c>
      <c r="B17" s="12" t="inlineStr">
        <is>
          <t>Locking in today's yield; if yields rise later you miss the higher income.</t>
        </is>
      </c>
      <c r="C17" s="9" t="inlineStr">
        <is>
          <t>Medium</t>
        </is>
      </c>
      <c r="D17" s="13" t="inlineStr"/>
    </row>
    <row r="18" ht="30" customHeight="1">
      <c r="A18" s="8" t="inlineStr">
        <is>
          <t>Liquidity risk</t>
        </is>
      </c>
      <c r="B18" s="12" t="inlineStr">
        <is>
          <t>Ability to sell quickly at a fair price. Treasuries are highly liquid, so usually low.</t>
        </is>
      </c>
      <c r="C18" s="9" t="inlineStr">
        <is>
          <t>Medium</t>
        </is>
      </c>
      <c r="D18" s="13" t="inlineStr"/>
    </row>
    <row r="19" ht="30" customHeight="1">
      <c r="A19" s="8" t="inlineStr">
        <is>
          <t>Curve risk</t>
        </is>
      </c>
      <c r="B19" s="12" t="inlineStr">
        <is>
          <t>Value depends on the shape and shifts of the yield curve at this maturity.</t>
        </is>
      </c>
      <c r="C19" s="9" t="inlineStr">
        <is>
          <t>Medium</t>
        </is>
      </c>
      <c r="D19" s="13" t="inlineStr"/>
    </row>
    <row r="21">
      <c r="A21" s="3" t="inlineStr">
        <is>
          <t>Note: credit risk is not a major section for US Treasuries - it is the benchmark against which other bonds' credit risk is measured.</t>
        </is>
      </c>
    </row>
  </sheetData>
  <mergeCells count="7">
    <mergeCell ref="A1:D1"/>
    <mergeCell ref="A9:D9"/>
    <mergeCell ref="A8:D8"/>
    <mergeCell ref="A3:D3"/>
    <mergeCell ref="A21:D21"/>
    <mergeCell ref="A7:D7"/>
    <mergeCell ref="A2:D2"/>
  </mergeCells>
  <conditionalFormatting sqref="C13:C19">
    <cfRule type="expression" priority="1" dxfId="0" stopIfTrue="1">
      <formula>OR(ISNUMBER(SEARCH("PASS",C13)),ISNUMBER(SEARCH("OK",C13)),ISNUMBER(SEARCH("Low",C13)),ISNUMBER(SEARCH("Normal",C13)),ISNUMBER(SEARCH("Buy",C13)),ISNUMBER(SEARCH("Short",C13)),ISNUMBER(SEARCH("Yes",C13)),ISNUMBER(SEARCH("Within",C13)))</formula>
    </cfRule>
    <cfRule type="expression" priority="2" dxfId="1" stopIfTrue="1">
      <formula>OR(ISNUMBER(SEARCH("WARNING",C13)),ISNUMBER(SEARCH("WARN",C13)),ISNUMBER(SEARCH("Medium",C13)),ISNUMBER(SEARCH("Flat",C13)),ISNUMBER(SEARCH("Hold",C13)),ISNUMBER(SEARCH("Intermediate",C13)),ISNUMBER(SEARCH("Review",C13)),ISNUMBER(SEARCH("Watch",C13)))</formula>
    </cfRule>
    <cfRule type="expression" priority="3" dxfId="2" stopIfTrue="1">
      <formula>OR(ISNUMBER(SEARCH("FAIL",C13)),ISNUMBER(SEARCH("High",C13)),ISNUMBER(SEARCH("Inverted",C13)),ISNUMBER(SEARCH("Avoid",C13)),ISNUMBER(SEARCH("Long",C13)),ISNUMBER(SEARCH("Negative",C13)),ISNUMBER(SEARCH("No",C13)))</formula>
    </cfRule>
  </conditionalFormatting>
  <dataValidations count="7">
    <dataValidation sqref="C13" showDropDown="0" showInputMessage="0" showErrorMessage="1" allowBlank="1" type="list">
      <formula1>"Low,Medium,High"</formula1>
    </dataValidation>
    <dataValidation sqref="C14" showDropDown="0" showInputMessage="0" showErrorMessage="1" allowBlank="1" type="list">
      <formula1>"Low,Medium,High"</formula1>
    </dataValidation>
    <dataValidation sqref="C15" showDropDown="0" showInputMessage="0" showErrorMessage="1" allowBlank="1" type="list">
      <formula1>"Low,Medium,High"</formula1>
    </dataValidation>
    <dataValidation sqref="C16" showDropDown="0" showInputMessage="0" showErrorMessage="1" allowBlank="1" type="list">
      <formula1>"Low,Medium,High"</formula1>
    </dataValidation>
    <dataValidation sqref="C17" showDropDown="0" showInputMessage="0" showErrorMessage="1" allowBlank="1" type="list">
      <formula1>"Low,Medium,High"</formula1>
    </dataValidation>
    <dataValidation sqref="C18" showDropDown="0" showInputMessage="0" showErrorMessage="1" allowBlank="1" type="list">
      <formula1>"Low,Medium,High"</formula1>
    </dataValidation>
    <dataValidation sqref="C19" showDropDown="0" showInputMessage="0" showErrorMessage="1" allowBlank="1" type="list">
      <formula1>"Low,Medium,High"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20" customWidth="1" min="4" max="4"/>
    <col width="14" customWidth="1" min="5" max="5"/>
    <col width="10" customWidth="1" min="6" max="6"/>
  </cols>
  <sheetData>
    <row r="1" ht="28" customHeight="1">
      <c r="A1" s="1" t="inlineStr">
        <is>
          <t>RECOMMENDATION</t>
        </is>
      </c>
    </row>
    <row r="2">
      <c r="A2" s="2" t="inlineStr">
        <is>
          <t>One-page US Treasury summary and analyst view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A one-page summary of price, yield, duration and curve context. The hints below are automatic; the final Buy / Hold / Avoid call is yours (a manual input).</t>
        </is>
      </c>
    </row>
    <row r="11">
      <c r="A11" s="8" t="inlineStr">
        <is>
          <t>Recommendation</t>
        </is>
      </c>
      <c r="B11" s="9" t="inlineStr">
        <is>
          <t>Hold</t>
        </is>
      </c>
      <c r="C11" s="14" t="n"/>
      <c r="D11" s="12" t="inlineStr">
        <is>
          <t>Your call. Use the summary and hints below to justify it.</t>
        </is>
      </c>
    </row>
    <row r="13" ht="18" customHeight="1">
      <c r="A13" s="5" t="inlineStr">
        <is>
          <t>Security &amp; pricing</t>
        </is>
      </c>
      <c r="D13" s="5" t="inlineStr">
        <is>
          <t>Risk &amp; curve</t>
        </is>
      </c>
    </row>
    <row r="14">
      <c r="A14" s="8" t="inlineStr">
        <is>
          <t>Security</t>
        </is>
      </c>
      <c r="B14" s="44">
        <f>SecName</f>
        <v/>
      </c>
      <c r="D14" s="8" t="inlineStr">
        <is>
          <t>Macaulay duration</t>
        </is>
      </c>
      <c r="E14" s="42">
        <f>MacDur</f>
        <v/>
      </c>
    </row>
    <row r="15">
      <c r="A15" s="8" t="inlineStr">
        <is>
          <t>Type</t>
        </is>
      </c>
      <c r="B15" s="44">
        <f>SecType</f>
        <v/>
      </c>
      <c r="D15" s="8" t="inlineStr">
        <is>
          <t>Modified duration</t>
        </is>
      </c>
      <c r="E15" s="39">
        <f>ModDur</f>
        <v/>
      </c>
    </row>
    <row r="16">
      <c r="A16" s="8" t="inlineStr">
        <is>
          <t>Maturity</t>
        </is>
      </c>
      <c r="B16" s="45">
        <f>Maturity</f>
        <v/>
      </c>
      <c r="D16" s="8" t="inlineStr">
        <is>
          <t>Convexity</t>
        </is>
      </c>
      <c r="E16" s="39">
        <f>Convexity</f>
        <v/>
      </c>
    </row>
    <row r="17">
      <c r="A17" s="8" t="inlineStr">
        <is>
          <t>Coupon</t>
        </is>
      </c>
      <c r="B17" s="46">
        <f>CouponRate</f>
        <v/>
      </c>
      <c r="D17" s="8" t="inlineStr">
        <is>
          <t>DV01 (per 100)</t>
        </is>
      </c>
      <c r="E17" s="47">
        <f>DV01</f>
        <v/>
      </c>
    </row>
    <row r="18">
      <c r="A18" s="8" t="inlineStr">
        <is>
          <t>Clean price</t>
        </is>
      </c>
      <c r="B18" s="35">
        <f>MktClean</f>
        <v/>
      </c>
      <c r="D18" s="8" t="inlineStr">
        <is>
          <t>Price if +100 bps</t>
        </is>
      </c>
      <c r="E18" s="35">
        <f>(-ModDur*0.01+0.5*Convexity*0.01^2)*CleanPrice</f>
        <v/>
      </c>
    </row>
    <row r="19">
      <c r="A19" s="8" t="inlineStr">
        <is>
          <t>Dirty price</t>
        </is>
      </c>
      <c r="B19" s="35">
        <f>Dirty</f>
        <v/>
      </c>
      <c r="D19" s="8" t="inlineStr">
        <is>
          <t>Maturity bucket</t>
        </is>
      </c>
      <c r="E19" s="44">
        <f>IF(YearsToMat&lt;=3,"Short-term",IF(YearsToMat&lt;=10,"Intermediate-term","Long-term"))</f>
        <v/>
      </c>
    </row>
    <row r="20">
      <c r="A20" s="8" t="inlineStr">
        <is>
          <t>Yield to maturity</t>
        </is>
      </c>
      <c r="B20" s="48">
        <f>YTM</f>
        <v/>
      </c>
      <c r="D20" s="8" t="inlineStr">
        <is>
          <t>Curve slope 10y-2y</t>
        </is>
      </c>
      <c r="E20" s="49">
        <f>(Y10Y-Y2Y)*10000</f>
        <v/>
      </c>
    </row>
    <row r="21">
      <c r="A21" s="8" t="inlineStr">
        <is>
          <t>Current yield</t>
        </is>
      </c>
      <c r="B21" s="46">
        <f>CurrentYield</f>
        <v/>
      </c>
      <c r="D21" s="8" t="inlineStr">
        <is>
          <t>Spread (bps)</t>
        </is>
      </c>
      <c r="E21" s="49">
        <f>SpreadBps</f>
        <v/>
      </c>
    </row>
    <row r="23" ht="18" customHeight="1">
      <c r="A23" s="5" t="inlineStr">
        <is>
          <t>Automatic interpretation (hints)</t>
        </is>
      </c>
    </row>
    <row r="24">
      <c r="A24" s="10">
        <f>IF(ModDur&lt;3,"Rate sensitivity: LOW (short duration) - suits an investor wanting little rate risk.",IF(ModDur&lt;8,"Rate sensitivity: MODERATE (intermediate duration).","Rate sensitivity: HIGH (long duration) - big price moves if yields change."))</f>
        <v/>
      </c>
    </row>
    <row r="25">
      <c r="A25" s="10">
        <f>IF(IsZero=1,"Treasury Bill: low duration and high liquidity - good for parking cash.",IF(MktClean&gt;Face,"Priced at a premium (coupon above current yields).",IF(MktClean&lt;Face,"Priced at a discount (coupon below current yields).","Priced near par.")))</f>
        <v/>
      </c>
    </row>
    <row r="26">
      <c r="A26" s="10">
        <f>IF(N(Y10Y)=0,"Add curve yields on the Yield Curve sheet for curve context.",IF(Y10Y-Y2Y&lt;-0.001,"Curve is inverted - long bonds yield less than short; weigh reinvestment vs price risk.","Curve is normal/flat - longer maturities generally offer more yield for more duration risk."))</f>
        <v/>
      </c>
    </row>
    <row r="28" ht="18" customHeight="1">
      <c r="A28" s="5" t="inlineStr">
        <is>
          <t>Guidance</t>
        </is>
      </c>
    </row>
    <row r="29" ht="24" customHeight="1">
      <c r="A29" s="12" t="inlineStr">
        <is>
          <t>-  A short-duration Treasury (or a bill) suits an investor who wants low interest-rate sensitivity and liquidity.</t>
        </is>
      </c>
    </row>
    <row r="30" ht="24" customHeight="1">
      <c r="A30" s="12" t="inlineStr">
        <is>
          <t>-  A long-duration Treasury suits an investor who expects yields to FALL (prices would rise more).</t>
        </is>
      </c>
    </row>
    <row r="31" ht="24" customHeight="1">
      <c r="A31" s="12" t="inlineStr">
        <is>
          <t>-  A long Treasury bond carries higher price risk if yields RISE.</t>
        </is>
      </c>
    </row>
    <row r="33" ht="18" customHeight="1">
      <c r="A33" s="5" t="inlineStr">
        <is>
          <t>Analyst view (manual)</t>
        </is>
      </c>
    </row>
    <row r="34" ht="28" customHeight="1">
      <c r="A34" s="8" t="inlineStr">
        <is>
          <t>Main risks</t>
        </is>
      </c>
      <c r="B34" s="13" t="inlineStr"/>
      <c r="C34" s="50" t="n"/>
      <c r="D34" s="50" t="n"/>
      <c r="E34" s="50" t="n"/>
      <c r="F34" s="14" t="n"/>
    </row>
    <row r="35" ht="28" customHeight="1">
      <c r="A35" s="8" t="inlineStr">
        <is>
          <t>Final analyst comment</t>
        </is>
      </c>
      <c r="B35" s="13" t="inlineStr"/>
      <c r="C35" s="50" t="n"/>
      <c r="D35" s="50" t="n"/>
      <c r="E35" s="50" t="n"/>
      <c r="F35" s="14" t="n"/>
    </row>
    <row r="37">
      <c r="A37" s="3" t="inlineStr">
        <is>
          <t>Reminder: this is a decision-support summary, not investment advice.</t>
        </is>
      </c>
    </row>
  </sheetData>
  <mergeCells count="21">
    <mergeCell ref="D11:F11"/>
    <mergeCell ref="D13:F13"/>
    <mergeCell ref="A37:F37"/>
    <mergeCell ref="A26:F26"/>
    <mergeCell ref="A3:F3"/>
    <mergeCell ref="A2:F2"/>
    <mergeCell ref="A33:F33"/>
    <mergeCell ref="B11:C11"/>
    <mergeCell ref="A23:F23"/>
    <mergeCell ref="A8:F8"/>
    <mergeCell ref="A29:F29"/>
    <mergeCell ref="A13:C13"/>
    <mergeCell ref="A28:F28"/>
    <mergeCell ref="B34:F34"/>
    <mergeCell ref="A31:F31"/>
    <mergeCell ref="A30:F30"/>
    <mergeCell ref="A24:F24"/>
    <mergeCell ref="A1:F1"/>
    <mergeCell ref="A7:F7"/>
    <mergeCell ref="A25:F25"/>
    <mergeCell ref="B35:F35"/>
  </mergeCells>
  <dataValidations count="1">
    <dataValidation sqref="B11" showDropDown="0" showInputMessage="0" showErrorMessage="1" allowBlank="1" type="list">
      <formula1>"Buy,Hold,Avoid"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FORMULA EXPLANATIONS</t>
        </is>
      </c>
    </row>
    <row r="2">
      <c r="A2" s="2" t="inlineStr">
        <is>
          <t>Every key calculation in plain English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Read this once and you can audit any number in the workbook. Each row gives the formula, what it means, and how to read it.</t>
        </is>
      </c>
    </row>
    <row r="11">
      <c r="A11" s="26" t="inlineStr">
        <is>
          <t>Concept</t>
        </is>
      </c>
      <c r="C11" s="26" t="inlineStr">
        <is>
          <t>Formula</t>
        </is>
      </c>
      <c r="F11" s="26" t="inlineStr">
        <is>
          <t>What it means</t>
        </is>
      </c>
      <c r="H11" s="26" t="inlineStr">
        <is>
          <t>How to read it</t>
        </is>
      </c>
    </row>
    <row r="12" ht="40" customHeight="1">
      <c r="A12" s="8" t="inlineStr">
        <is>
          <t>Clean price</t>
        </is>
      </c>
      <c r="C12" s="10" t="inlineStr">
        <is>
          <t>Quoted price, excludes accrued interest</t>
        </is>
      </c>
      <c r="F12" s="12" t="inlineStr">
        <is>
          <t>The price you see quoted for the Treasury.</t>
        </is>
      </c>
      <c r="H12" s="12" t="inlineStr">
        <is>
          <t>What you compare across bonds; accrued is added on top to get what you pay.</t>
        </is>
      </c>
    </row>
    <row r="13" ht="30" customHeight="1">
      <c r="A13" s="8" t="inlineStr">
        <is>
          <t>Dirty price</t>
        </is>
      </c>
      <c r="C13" s="10" t="inlineStr">
        <is>
          <t>Clean price + accrued interest</t>
        </is>
      </c>
      <c r="F13" s="12" t="inlineStr">
        <is>
          <t>The actual cash you pay to settle the trade (the invoice price).</t>
        </is>
      </c>
      <c r="H13" s="12" t="inlineStr">
        <is>
          <t>This is the true cost and what the cash flows discount back to.</t>
        </is>
      </c>
    </row>
    <row r="14" ht="40" customHeight="1">
      <c r="A14" s="8" t="inlineStr">
        <is>
          <t>Accrued interest</t>
        </is>
      </c>
      <c r="C14" s="10" t="inlineStr">
        <is>
          <t>(days since last coupon / days in period) x periodic coupon</t>
        </is>
      </c>
      <c r="F14" s="12" t="inlineStr">
        <is>
          <t>The slice of the next coupon the seller has earned and you reimburse.</t>
        </is>
      </c>
      <c r="H14" s="12" t="inlineStr">
        <is>
          <t>Zero for a Treasury Bill (no coupons).</t>
        </is>
      </c>
    </row>
    <row r="15" ht="40" customHeight="1">
      <c r="A15" s="8" t="inlineStr">
        <is>
          <t>Yield to maturity</t>
        </is>
      </c>
      <c r="C15" s="10" t="inlineStr">
        <is>
          <t>Rate that makes PV of cash flows = price (Excel YIELD)</t>
        </is>
      </c>
      <c r="F15" s="12" t="inlineStr">
        <is>
          <t>The annual return if you hold to maturity and reinvest coupons at that rate.</t>
        </is>
      </c>
      <c r="H15" s="12" t="inlineStr">
        <is>
          <t>The headline yield. Higher price -&gt; lower yield.</t>
        </is>
      </c>
    </row>
    <row r="16" ht="30" customHeight="1">
      <c r="A16" s="8" t="inlineStr">
        <is>
          <t>Current yield</t>
        </is>
      </c>
      <c r="C16" s="10" t="inlineStr">
        <is>
          <t>Annual coupon / clean price</t>
        </is>
      </c>
      <c r="F16" s="12" t="inlineStr">
        <is>
          <t>A quick income measure (coupon vs price).</t>
        </is>
      </c>
      <c r="H16" s="12" t="inlineStr">
        <is>
          <t>Ignores capital gain/loss and timing. N/A for a Treasury Bill.</t>
        </is>
      </c>
    </row>
    <row r="17" ht="40" customHeight="1">
      <c r="A17" s="8" t="inlineStr">
        <is>
          <t>Treasury Bill yield</t>
        </is>
      </c>
      <c r="C17" s="10" t="inlineStr">
        <is>
          <t>(Face / Price) ^ (1 / Years) - 1</t>
        </is>
      </c>
      <c r="F17" s="12" t="inlineStr">
        <is>
          <t>A bill pays no coupon; its return is the discount from face, annualised.</t>
        </is>
      </c>
      <c r="H17" s="12" t="inlineStr">
        <is>
          <t>Computed from price, face and time to maturity (effective annual).</t>
        </is>
      </c>
    </row>
    <row r="18" ht="40" customHeight="1">
      <c r="A18" s="8" t="inlineStr">
        <is>
          <t>Premium / discount to par</t>
        </is>
      </c>
      <c r="C18" s="10" t="inlineStr">
        <is>
          <t>Clean price - 100</t>
        </is>
      </c>
      <c r="F18" s="12" t="inlineStr">
        <is>
          <t>Whether the bond trades above (premium) or below (discount) face value.</t>
        </is>
      </c>
      <c r="H18" s="12" t="inlineStr">
        <is>
          <t>Coupon above current yields -&gt; premium; below -&gt; discount.</t>
        </is>
      </c>
    </row>
    <row r="19" ht="30" customHeight="1">
      <c r="A19" s="8" t="inlineStr">
        <is>
          <t>Macaulay duration</t>
        </is>
      </c>
      <c r="C19" s="10" t="inlineStr">
        <is>
          <t>sum(time x PV) / sum(PV)  (Excel DURATION)</t>
        </is>
      </c>
      <c r="F19" s="12" t="inlineStr">
        <is>
          <t>Weighted-average time (years) to receive the cash flows.</t>
        </is>
      </c>
      <c r="H19" s="12" t="inlineStr">
        <is>
          <t>For a Treasury Bill it equals the time to maturity.</t>
        </is>
      </c>
    </row>
    <row r="20" ht="40" customHeight="1">
      <c r="A20" s="8" t="inlineStr">
        <is>
          <t>Modified duration</t>
        </is>
      </c>
      <c r="C20" s="10" t="inlineStr">
        <is>
          <t>Macaulay / (1 + yield/2)  (Excel MDURATION)</t>
        </is>
      </c>
      <c r="F20" s="12" t="inlineStr">
        <is>
          <t>Approximate % price change for a 1% (100 bps) yield move.</t>
        </is>
      </c>
      <c r="H20" s="12" t="inlineStr">
        <is>
          <t>The main interest-rate risk number. 7 =&gt; ~7% price fall if yields rise 1%.</t>
        </is>
      </c>
    </row>
    <row r="21" ht="40" customHeight="1">
      <c r="A21" s="8" t="inlineStr">
        <is>
          <t>Convexity</t>
        </is>
      </c>
      <c r="C21" s="10" t="inlineStr">
        <is>
          <t>sum(CF x t x (t+1)/(1+y/2)^(t+2)) / (price x 4)</t>
        </is>
      </c>
      <c r="F21" s="12" t="inlineStr">
        <is>
          <t>Corrects the duration estimate because price/yield is curved.</t>
        </is>
      </c>
      <c r="H21" s="12" t="inlineStr">
        <is>
          <t>Positive for a normal Treasury; helps on rallies, cushions sell-offs.</t>
        </is>
      </c>
    </row>
    <row r="22" ht="30" customHeight="1">
      <c r="A22" s="8" t="inlineStr">
        <is>
          <t>DV01</t>
        </is>
      </c>
      <c r="C22" s="10" t="inlineStr">
        <is>
          <t>Modified duration x dirty price x 0.0001</t>
        </is>
      </c>
      <c r="F22" s="12" t="inlineStr">
        <is>
          <t>Price change for a 1 basis-point (0.01%) yield move.</t>
        </is>
      </c>
      <c r="H22" s="12" t="inlineStr">
        <is>
          <t>A price-risk measure; quoted as a positive number.</t>
        </is>
      </c>
    </row>
    <row r="23" ht="40" customHeight="1">
      <c r="A23" s="8" t="inlineStr">
        <is>
          <t>Price impact from rate shocks</t>
        </is>
      </c>
      <c r="C23" s="10" t="inlineStr">
        <is>
          <t>- Modified x (yield change) + 0.5 x convexity x (yield change)^2</t>
        </is>
      </c>
      <c r="F23" s="12" t="inlineStr">
        <is>
          <t>Estimated % price change when the yield moves, from duration and convexity.</t>
        </is>
      </c>
      <c r="H23" s="12" t="inlineStr">
        <is>
          <t>Yields up -&gt; price down. Bigger duration -&gt; bigger move.</t>
        </is>
      </c>
    </row>
  </sheetData>
  <mergeCells count="57">
    <mergeCell ref="C16:E16"/>
    <mergeCell ref="F11:G11"/>
    <mergeCell ref="A8:J8"/>
    <mergeCell ref="A15:B15"/>
    <mergeCell ref="F16:G16"/>
    <mergeCell ref="A11:B11"/>
    <mergeCell ref="F19:G19"/>
    <mergeCell ref="C22:E22"/>
    <mergeCell ref="H17:J17"/>
    <mergeCell ref="C21:E21"/>
    <mergeCell ref="H11:J11"/>
    <mergeCell ref="C12:E12"/>
    <mergeCell ref="H16:J16"/>
    <mergeCell ref="F21:G21"/>
    <mergeCell ref="C11:E11"/>
    <mergeCell ref="F12:G12"/>
    <mergeCell ref="A16:B16"/>
    <mergeCell ref="F15:G15"/>
    <mergeCell ref="H22:J22"/>
    <mergeCell ref="H13:J13"/>
    <mergeCell ref="H19:J19"/>
    <mergeCell ref="F20:G20"/>
    <mergeCell ref="F18:G18"/>
    <mergeCell ref="C23:E23"/>
    <mergeCell ref="C17:E17"/>
    <mergeCell ref="H12:J12"/>
    <mergeCell ref="A18:B18"/>
    <mergeCell ref="F17:G17"/>
    <mergeCell ref="A12:B12"/>
    <mergeCell ref="H15:J15"/>
    <mergeCell ref="A1:J1"/>
    <mergeCell ref="A21:B21"/>
    <mergeCell ref="C13:E13"/>
    <mergeCell ref="H18:J18"/>
    <mergeCell ref="H14:J14"/>
    <mergeCell ref="C19:E19"/>
    <mergeCell ref="H23:J23"/>
    <mergeCell ref="F23:G23"/>
    <mergeCell ref="C18:E18"/>
    <mergeCell ref="A7:J7"/>
    <mergeCell ref="A14:B14"/>
    <mergeCell ref="F22:G22"/>
    <mergeCell ref="F13:G13"/>
    <mergeCell ref="A17:B17"/>
    <mergeCell ref="A23:B23"/>
    <mergeCell ref="C15:E15"/>
    <mergeCell ref="A22:B22"/>
    <mergeCell ref="H20:J20"/>
    <mergeCell ref="A20:B20"/>
    <mergeCell ref="C14:E14"/>
    <mergeCell ref="A19:B19"/>
    <mergeCell ref="A3:J3"/>
    <mergeCell ref="A13:B13"/>
    <mergeCell ref="F14:G14"/>
    <mergeCell ref="A2:J2"/>
    <mergeCell ref="C20:E20"/>
    <mergeCell ref="H21:J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9" customWidth="1" min="4" max="4"/>
    <col width="10" customWidth="1" min="5" max="5"/>
    <col width="58" customWidth="1" min="6" max="6"/>
  </cols>
  <sheetData>
    <row r="1" ht="28" customHeight="1">
      <c r="A1" s="1" t="inlineStr">
        <is>
          <t>INDEPENDENT QUALITY CHECK / AUDIT</t>
        </is>
      </c>
    </row>
    <row r="2">
      <c r="A2" s="2" t="inlineStr">
        <is>
          <t>The main numbers, re-checked with independent methods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Each row recomputes a result a DIFFERENT way and compares. Status: Pass = within tolerance; Warning = small difference to review; Fail = check the inputs.</t>
        </is>
      </c>
    </row>
    <row r="9" ht="25" customHeight="1">
      <c r="A9" s="7" t="inlineStr">
        <is>
          <t>Tolerances:  price +/- 0.05 per 100;  yield +/- 2.0 bps;  duration +/- 0.05 yrs;  DV01 +/- 0.005.  Small rounding differences are expected.</t>
        </is>
      </c>
    </row>
    <row r="12" ht="18" customHeight="1">
      <c r="A12" s="27" t="inlineStr">
        <is>
          <t>Check</t>
        </is>
      </c>
      <c r="B12" s="27" t="inlineStr">
        <is>
          <t>Model</t>
        </is>
      </c>
      <c r="C12" s="27" t="inlineStr">
        <is>
          <t>Independent</t>
        </is>
      </c>
      <c r="D12" s="27" t="inlineStr">
        <is>
          <t>Diff</t>
        </is>
      </c>
      <c r="E12" s="27" t="inlineStr">
        <is>
          <t>Status</t>
        </is>
      </c>
      <c r="F12" s="26" t="inlineStr">
        <is>
          <t>Explanation</t>
        </is>
      </c>
    </row>
    <row r="13">
      <c r="A13" s="8" t="inlineStr">
        <is>
          <t>Dirty price</t>
        </is>
      </c>
      <c r="B13" s="28">
        <f>Dirty</f>
        <v/>
      </c>
      <c r="C13" s="28">
        <f>DirtyCF</f>
        <v/>
      </c>
      <c r="D13" s="28">
        <f>IF(AND(ISNUMBER(B13),ISNUMBER(C13)),B13-C13,"")</f>
        <v/>
      </c>
      <c r="E13" s="22">
        <f>IF(NOT(AND(ISNUMBER(B13),ISNUMBER(C13))),"n/a",IF(ABS(D13)&lt;=0.05,"Pass",IF(ABS(D13)&lt;=0.15000000000000002,"Warning","Fail")))</f>
        <v/>
      </c>
      <c r="F13" s="12" t="inlineStr">
        <is>
          <t>Dirty price should equal the sum of the cash-flow present values.</t>
        </is>
      </c>
    </row>
    <row r="14">
      <c r="A14" s="8" t="inlineStr">
        <is>
          <t>Accrued interest</t>
        </is>
      </c>
      <c r="B14" s="28">
        <f>Accrued</f>
        <v/>
      </c>
      <c r="C14" s="28">
        <f>IF(IsZero=1,0,ACCRINT(COUPPCD(Settle,Maturity,Freq,Basis),COUPNCD(Settle,Maturity,Freq,Basis),Settle,CouponRate,Face,Freq,Basis))</f>
        <v/>
      </c>
      <c r="D14" s="28">
        <f>IF(AND(ISNUMBER(B14),ISNUMBER(C14)),B14-C14,"")</f>
        <v/>
      </c>
      <c r="E14" s="22">
        <f>IF(NOT(AND(ISNUMBER(B14),ISNUMBER(C14))),"n/a",IF(ABS(D14)&lt;=0.05,"Pass",IF(ABS(D14)&lt;=0.15000000000000002,"Warning","Fail")))</f>
        <v/>
      </c>
      <c r="F14" s="12" t="inlineStr">
        <is>
          <t>Independent accrued from Excel ACCRINT. Zero for a Treasury Bill.</t>
        </is>
      </c>
    </row>
    <row r="15">
      <c r="A15" s="8" t="inlineStr">
        <is>
          <t>YTM vs Excel YIELD</t>
        </is>
      </c>
      <c r="B15" s="41">
        <f>YTM</f>
        <v/>
      </c>
      <c r="C15" s="41">
        <f>IF(IsZero=1,(Face/MktClean)^(1/YearsToMat)-1,YIELD(Settle,Maturity,CouponRate,MktClean,Face,Freq,Basis))</f>
        <v/>
      </c>
      <c r="D15" s="41">
        <f>IF(AND(ISNUMBER(B15),ISNUMBER(C15)),B15-C15,"")</f>
        <v/>
      </c>
      <c r="E15" s="22">
        <f>IF(NOT(AND(ISNUMBER(B15),ISNUMBER(C15))),"n/a",IF(ABS(D15)&lt;=0.0002,"Pass",IF(ABS(D15)&lt;=0.0006000000000000001,"Warning","Fail")))</f>
        <v/>
      </c>
      <c r="F15" s="12" t="inlineStr">
        <is>
          <t>Notes/bonds: Excel YIELD. Bill: manual zero-coupon formula.</t>
        </is>
      </c>
    </row>
    <row r="16">
      <c r="A16" s="8" t="inlineStr">
        <is>
          <t>Price = PV at YTM</t>
        </is>
      </c>
      <c r="B16" s="28">
        <f>MktClean</f>
        <v/>
      </c>
      <c r="C16" s="28">
        <f>IF(IsZero=1,Face/(1+(YTM))^YearsToMat,PRICE(Settle,Maturity,CouponRate,YTM,Face,Freq,Basis))</f>
        <v/>
      </c>
      <c r="D16" s="28">
        <f>IF(AND(ISNUMBER(B16),ISNUMBER(C16)),B16-C16,"")</f>
        <v/>
      </c>
      <c r="E16" s="22">
        <f>IF(NOT(AND(ISNUMBER(B16),ISNUMBER(C16))),"n/a",IF(ABS(D16)&lt;=0.05,"Pass",IF(ABS(D16)&lt;=0.15000000000000002,"Warning","Fail")))</f>
        <v/>
      </c>
      <c r="F16" s="12" t="inlineStr">
        <is>
          <t>Repricing at the calculated yield returns the market clean price.</t>
        </is>
      </c>
    </row>
    <row r="17">
      <c r="A17" s="8" t="inlineStr">
        <is>
          <t>Macaulay duration</t>
        </is>
      </c>
      <c r="B17" s="21">
        <f>MacDur</f>
        <v/>
      </c>
      <c r="C17" s="21">
        <f>MacaulayCF</f>
        <v/>
      </c>
      <c r="D17" s="21">
        <f>IF(AND(ISNUMBER(B17),ISNUMBER(C17)),B17-C17,"")</f>
        <v/>
      </c>
      <c r="E17" s="22">
        <f>IF(NOT(AND(ISNUMBER(B17),ISNUMBER(C17))),"n/a",IF(ABS(D17)&lt;=0.05,"Pass",IF(ABS(D17)&lt;=0.15000000000000002,"Warning","Fail")))</f>
        <v/>
      </c>
      <c r="F17" s="12" t="inlineStr">
        <is>
          <t>Excel DURATION vs the schedule. For a bill it equals time to maturity.</t>
        </is>
      </c>
    </row>
    <row r="18">
      <c r="A18" s="8" t="inlineStr">
        <is>
          <t>Modified duration</t>
        </is>
      </c>
      <c r="B18" s="29">
        <f>ModDur</f>
        <v/>
      </c>
      <c r="C18" s="29">
        <f>IF(IsZero=1,YearsToMat/(1+YTM),MacaulayCF/(1+YTM/Freq))</f>
        <v/>
      </c>
      <c r="D18" s="29">
        <f>IF(AND(ISNUMBER(B18),ISNUMBER(C18)),B18-C18,"")</f>
        <v/>
      </c>
      <c r="E18" s="22">
        <f>IF(NOT(AND(ISNUMBER(B18),ISNUMBER(C18))),"n/a",IF(ABS(D18)&lt;=0.05,"Pass",IF(ABS(D18)&lt;=0.15000000000000002,"Warning","Fail")))</f>
        <v/>
      </c>
      <c r="F18" s="12" t="inlineStr">
        <is>
          <t>Modified duration cross-check.</t>
        </is>
      </c>
    </row>
    <row r="19">
      <c r="A19" s="8" t="inlineStr">
        <is>
          <t>DV01 (two methods)</t>
        </is>
      </c>
      <c r="B19" s="25">
        <f>DV01</f>
        <v/>
      </c>
      <c r="C19" s="25">
        <f>(IF(IsZero=1,Face/(1+(YTM-0.0001))^YearsToMat,PRICE(Settle,Maturity,CouponRate,YTM-0.0001,Face,Freq,Basis))-IF(IsZero=1,Face/(1+(YTM+0.0001))^YearsToMat,PRICE(Settle,Maturity,CouponRate,YTM+0.0001,Face,Freq,Basis)))/2</f>
        <v/>
      </c>
      <c r="D19" s="25">
        <f>IF(AND(ISNUMBER(B19),ISNUMBER(C19)),B19-C19,"")</f>
        <v/>
      </c>
      <c r="E19" s="22">
        <f>IF(NOT(AND(ISNUMBER(B19),ISNUMBER(C19))),"n/a",IF(ABS(D19)&lt;=0.005,"Pass",IF(ABS(D19)&lt;=0.015,"Warning","Fail")))</f>
        <v/>
      </c>
      <c r="F19" s="12" t="inlineStr">
        <is>
          <t>Duration approximation vs bump-and-reprice at +/-1 bp.</t>
        </is>
      </c>
    </row>
    <row r="20">
      <c r="A20" s="8" t="inlineStr">
        <is>
          <t>Convexity positive?</t>
        </is>
      </c>
      <c r="B20" s="51" t="inlineStr"/>
      <c r="C20" s="51" t="inlineStr"/>
      <c r="D20" s="51" t="inlineStr"/>
      <c r="E20" s="22">
        <f>IF(Convexity&gt;0,"Pass","Fail")</f>
        <v/>
      </c>
      <c r="F20" s="12" t="inlineStr">
        <is>
          <t>A normal fixed-rate Treasury has positive convexity.</t>
        </is>
      </c>
    </row>
    <row r="21">
      <c r="A21" s="8" t="inlineStr">
        <is>
          <t>Convexity reasonableness</t>
        </is>
      </c>
      <c r="B21" s="29">
        <f>Convexity</f>
        <v/>
      </c>
      <c r="C21" s="29">
        <f>(IF(IsZero=1,Face/(1+(YTM+0.001))^YearsToMat,PRICE(Settle,Maturity,CouponRate,YTM+0.001,Face,Freq,Basis))+IF(IsZero=1,Face/(1+(YTM-0.001))^YearsToMat,PRICE(Settle,Maturity,CouponRate,YTM-0.001,Face,Freq,Basis))-2*CleanModel)/(Dirty*0.001^2)</f>
        <v/>
      </c>
      <c r="D21" s="29">
        <f>IF(AND(ISNUMBER(B21),ISNUMBER(C21)),B21-C21,"")</f>
        <v/>
      </c>
      <c r="E21" s="22">
        <f>IF(NOT(AND(ISNUMBER(B21),ISNUMBER(C21))),"n/a",IF(ABS(D21)&lt;=1.5,"Pass",IF(ABS(D21)&lt;=4.5,"Warning","Fail")))</f>
        <v/>
      </c>
      <c r="F21" s="12" t="inlineStr">
        <is>
          <t>Schedule convexity vs a bump-and-reprice estimate.</t>
        </is>
      </c>
    </row>
    <row r="22">
      <c r="A22" s="8" t="inlineStr">
        <is>
          <t>Date order</t>
        </is>
      </c>
      <c r="B22" s="51" t="inlineStr"/>
      <c r="C22" s="51" t="inlineStr"/>
      <c r="D22" s="51" t="inlineStr"/>
      <c r="E22" s="22">
        <f>IF(Settle&lt;Maturity,"Pass","Fail")</f>
        <v/>
      </c>
      <c r="F22" s="12" t="inlineStr">
        <is>
          <t>Settlement must be before maturity.</t>
        </is>
      </c>
    </row>
    <row r="23">
      <c r="A23" s="8" t="inlineStr">
        <is>
          <t>No negative times</t>
        </is>
      </c>
      <c r="B23" s="51" t="inlineStr"/>
      <c r="C23" s="51" t="inlineStr"/>
      <c r="D23" s="51" t="inlineStr"/>
      <c r="E23" s="22">
        <f>IF(YearsToMat&gt;0,"Pass","Fail")</f>
        <v/>
      </c>
      <c r="F23" s="12" t="inlineStr">
        <is>
          <t>Only future cash flows are valued.</t>
        </is>
      </c>
    </row>
    <row r="24">
      <c r="A24" s="8" t="inlineStr">
        <is>
          <t>Frequency correct</t>
        </is>
      </c>
      <c r="B24" s="51" t="inlineStr"/>
      <c r="C24" s="51" t="inlineStr"/>
      <c r="D24" s="51" t="inlineStr"/>
      <c r="E24" s="22">
        <f>IF(SecType="Treasury Bill",IF(IsZero=1,"Pass","Fail"),IF(Freq=2,"Pass","Fail"))</f>
        <v/>
      </c>
      <c r="F24" s="12" t="inlineStr">
        <is>
          <t>Notes/bonds must be semiannual; bills must be zero-coupon.</t>
        </is>
      </c>
    </row>
    <row r="25">
      <c r="A25" s="8" t="inlineStr">
        <is>
          <t>Consistency check</t>
        </is>
      </c>
      <c r="B25" s="51" t="inlineStr"/>
      <c r="C25" s="51" t="inlineStr"/>
      <c r="D25" s="51" t="inlineStr"/>
      <c r="E25" s="22">
        <f>IF(FreqWarn="OK","Pass","Fail")</f>
        <v/>
      </c>
      <c r="F25" s="12" t="inlineStr">
        <is>
          <t>Security type and coupon frequency must be consistent (see Bond Terms).</t>
        </is>
      </c>
    </row>
    <row r="26">
      <c r="A26" s="8" t="inlineStr">
        <is>
          <t>Coupon count</t>
        </is>
      </c>
      <c r="B26" s="51" t="inlineStr"/>
      <c r="C26" s="51" t="inlineStr"/>
      <c r="D26" s="51" t="inlineStr"/>
      <c r="E26" s="22">
        <f>IF(IsZero=1,IF(Ncoup=1,"Pass","Warning"),IF(Ncoup&gt;0,"Pass","Fail"))</f>
        <v/>
      </c>
      <c r="F26" s="12" t="inlineStr">
        <is>
          <t>Number of scheduled payments matches the frequency.</t>
        </is>
      </c>
    </row>
    <row r="27">
      <c r="A27" s="8" t="inlineStr">
        <is>
          <t>Price vs par direction</t>
        </is>
      </c>
      <c r="B27" s="51" t="inlineStr"/>
      <c r="C27" s="51" t="inlineStr"/>
      <c r="D27" s="51" t="inlineStr"/>
      <c r="E27" s="22">
        <f>IF(IsZero=1,"n/a",IF(ABS(CouponRate-YTM)&lt;0.0005,"Pass",IF(SIGN(CouponRate-YTM)=SIGN(MktClean-Face),"Pass","Fail")))</f>
        <v/>
      </c>
      <c r="F27" s="12" t="inlineStr">
        <is>
          <t>Coupon above yield =&gt; price above par, and vice versa.</t>
        </is>
      </c>
    </row>
    <row r="28">
      <c r="A28" s="8" t="inlineStr">
        <is>
          <t>Duration positive</t>
        </is>
      </c>
      <c r="B28" s="51" t="inlineStr"/>
      <c r="C28" s="51" t="inlineStr"/>
      <c r="D28" s="51" t="inlineStr"/>
      <c r="E28" s="22">
        <f>IF(ModDur&gt;0,"Pass","Fail")</f>
        <v/>
      </c>
      <c r="F28" s="12" t="inlineStr">
        <is>
          <t>Price falls when yields rise (positive duration).</t>
        </is>
      </c>
    </row>
    <row r="29">
      <c r="A29" s="8" t="inlineStr">
        <is>
          <t>DV01 positive</t>
        </is>
      </c>
      <c r="B29" s="51" t="inlineStr"/>
      <c r="C29" s="51" t="inlineStr"/>
      <c r="D29" s="51" t="inlineStr"/>
      <c r="E29" s="22">
        <f>IF(DV01&gt;0,"Pass","Fail")</f>
        <v/>
      </c>
      <c r="F29" s="12" t="inlineStr">
        <is>
          <t>DV01 is quoted positive as a risk magnitude.</t>
        </is>
      </c>
    </row>
    <row r="31">
      <c r="A31" s="8" t="inlineStr">
        <is>
          <t>Summary</t>
        </is>
      </c>
      <c r="B31" s="11">
        <f>"Pass: "&amp;COUNTIF(E13:E29,"Pass")&amp;"   Warning: "&amp;COUNTIF(E13:E29,"Warning")&amp;"   Fail: "&amp;COUNTIF(E13:E29,"Fail")</f>
        <v/>
      </c>
      <c r="C31" s="43" t="n"/>
      <c r="D31" s="43" t="n"/>
      <c r="E31" s="43" t="n"/>
      <c r="F31" s="23" t="n"/>
    </row>
  </sheetData>
  <mergeCells count="7">
    <mergeCell ref="A2:F2"/>
    <mergeCell ref="A1:F1"/>
    <mergeCell ref="A9:F9"/>
    <mergeCell ref="A8:F8"/>
    <mergeCell ref="B31:F31"/>
    <mergeCell ref="A3:F3"/>
    <mergeCell ref="A7:F7"/>
  </mergeCells>
  <conditionalFormatting sqref="E13:E29">
    <cfRule type="expression" priority="1" dxfId="0" stopIfTrue="1">
      <formula>OR(ISNUMBER(SEARCH("PASS",E13)),ISNUMBER(SEARCH("OK",E13)),ISNUMBER(SEARCH("Low",E13)),ISNUMBER(SEARCH("Normal",E13)),ISNUMBER(SEARCH("Buy",E13)),ISNUMBER(SEARCH("Short",E13)),ISNUMBER(SEARCH("Yes",E13)),ISNUMBER(SEARCH("Within",E13)))</formula>
    </cfRule>
    <cfRule type="expression" priority="2" dxfId="1" stopIfTrue="1">
      <formula>OR(ISNUMBER(SEARCH("WARNING",E13)),ISNUMBER(SEARCH("WARN",E13)),ISNUMBER(SEARCH("Medium",E13)),ISNUMBER(SEARCH("Flat",E13)),ISNUMBER(SEARCH("Hold",E13)),ISNUMBER(SEARCH("Intermediate",E13)),ISNUMBER(SEARCH("Review",E13)),ISNUMBER(SEARCH("Watch",E13)))</formula>
    </cfRule>
    <cfRule type="expression" priority="3" dxfId="2" stopIfTrue="1">
      <formula>OR(ISNUMBER(SEARCH("FAIL",E13)),ISNUMBER(SEARCH("High",E13)),ISNUMBER(SEARCH("Inverted",E13)),ISNUMBER(SEARCH("Avoid",E13)),ISNUMBER(SEARCH("Long",E13)),ISNUMBER(SEARCH("Negative",E13)),ISNUMBER(SEARCH("No",E13)))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LIMITATIONS &amp; FUTURE UPGRADES</t>
        </is>
      </c>
    </row>
    <row r="2">
      <c r="A2" s="2" t="inlineStr">
        <is>
          <t>What this simple model does not cover</t>
        </is>
      </c>
    </row>
    <row r="3">
      <c r="A3" s="3" t="inlineStr">
        <is>
          <t>US Treasury Bond Analyzer  -  v1.0</t>
        </is>
      </c>
    </row>
    <row r="5">
      <c r="A5" s="4" t="inlineStr">
        <is>
          <t>Cover</t>
        </is>
      </c>
      <c r="B5" s="4" t="inlineStr">
        <is>
          <t>Bond Terms</t>
        </is>
      </c>
      <c r="C5" s="4" t="inlineStr">
        <is>
          <t>Cash Flows</t>
        </is>
      </c>
      <c r="D5" s="4" t="inlineStr">
        <is>
          <t>Price &amp; Yield</t>
        </is>
      </c>
      <c r="E5" s="4" t="inlineStr">
        <is>
          <t>Duration &amp; Convexity</t>
        </is>
      </c>
      <c r="F5" s="4" t="inlineStr">
        <is>
          <t>Rate Shock</t>
        </is>
      </c>
    </row>
    <row r="6">
      <c r="A6" s="4" t="inlineStr">
        <is>
          <t>Yield Curve</t>
        </is>
      </c>
      <c r="B6" s="4" t="inlineStr">
        <is>
          <t>Risk Summary</t>
        </is>
      </c>
      <c r="C6" s="4" t="inlineStr">
        <is>
          <t>Recommendation</t>
        </is>
      </c>
      <c r="D6" s="4" t="inlineStr">
        <is>
          <t>Formula Explanations</t>
        </is>
      </c>
      <c r="E6" s="4" t="inlineStr">
        <is>
          <t>Audit</t>
        </is>
      </c>
      <c r="F6" s="4" t="inlineStr">
        <is>
          <t>Limitations</t>
        </is>
      </c>
    </row>
    <row r="7" ht="16" customHeight="1">
      <c r="A7" s="6" t="inlineStr">
        <is>
          <t>How to read this sheet</t>
        </is>
      </c>
    </row>
    <row r="8" ht="25" customHeight="1">
      <c r="A8" s="7" t="inlineStr">
        <is>
          <t>This model is intentionally simple: one plain US Treasury (fixed-coupon note/bond or zero-coupon bill). The items below are deliberately left out to keep it correct and easy to audit.</t>
        </is>
      </c>
    </row>
    <row r="11" ht="18" customHeight="1">
      <c r="A11" s="5" t="inlineStr">
        <is>
          <t>Not covered in this version</t>
        </is>
      </c>
    </row>
    <row r="12">
      <c r="A12" s="12" t="inlineStr">
        <is>
          <t>-  Corporate bonds</t>
        </is>
      </c>
    </row>
    <row r="13">
      <c r="A13" s="12" t="inlineStr">
        <is>
          <t>-  Credit spreads</t>
        </is>
      </c>
    </row>
    <row r="14">
      <c r="A14" s="12" t="inlineStr">
        <is>
          <t>-  Callable bonds</t>
        </is>
      </c>
    </row>
    <row r="15">
      <c r="A15" s="12" t="inlineStr">
        <is>
          <t>-  Floating-rate notes</t>
        </is>
      </c>
    </row>
    <row r="16">
      <c r="A16" s="12" t="inlineStr">
        <is>
          <t>-  TIPS</t>
        </is>
      </c>
    </row>
    <row r="17">
      <c r="A17" s="12" t="inlineStr">
        <is>
          <t>-  STRIPS complexity</t>
        </is>
      </c>
    </row>
    <row r="18">
      <c r="A18" s="12" t="inlineStr">
        <is>
          <t>-  Repo financing</t>
        </is>
      </c>
    </row>
    <row r="19">
      <c r="A19" s="12" t="inlineStr">
        <is>
          <t>-  Futures hedging</t>
        </is>
      </c>
    </row>
    <row r="20">
      <c r="A20" s="12" t="inlineStr">
        <is>
          <t>-  Key rate duration</t>
        </is>
      </c>
    </row>
    <row r="21">
      <c r="A21" s="12" t="inlineStr">
        <is>
          <t>-  Full yield-curve bootstrapping</t>
        </is>
      </c>
    </row>
    <row r="22">
      <c r="A22" s="12" t="inlineStr">
        <is>
          <t>-  Scenario probabilities</t>
        </is>
      </c>
    </row>
    <row r="23">
      <c r="A23" s="12" t="inlineStr">
        <is>
          <t>-  Portfolio-level bond analysis</t>
        </is>
      </c>
    </row>
    <row r="25" ht="18" customHeight="1">
      <c r="A25" s="5" t="inlineStr">
        <is>
          <t>Possible future upgrades</t>
        </is>
      </c>
    </row>
    <row r="26">
      <c r="A26" s="12" t="inlineStr">
        <is>
          <t>-  TIPS (inflation-linked) analysis</t>
        </is>
      </c>
    </row>
    <row r="27">
      <c r="A27" s="12" t="inlineStr">
        <is>
          <t>-  Key rate duration</t>
        </is>
      </c>
    </row>
    <row r="28">
      <c r="A28" s="12" t="inlineStr">
        <is>
          <t>-  Treasury curve interpolation / bootstrapping</t>
        </is>
      </c>
    </row>
    <row r="29">
      <c r="A29" s="12" t="inlineStr">
        <is>
          <t>-  Portfolio duration</t>
        </is>
      </c>
    </row>
    <row r="30">
      <c r="A30" s="12" t="inlineStr">
        <is>
          <t>-  Bond-ladder analysis</t>
        </is>
      </c>
    </row>
    <row r="31">
      <c r="A31" s="12" t="inlineStr">
        <is>
          <t>-  Comparison across multiple Treasuries</t>
        </is>
      </c>
    </row>
    <row r="33" ht="16" customHeight="1">
      <c r="A33" s="6" t="inlineStr">
        <is>
          <t>In short</t>
        </is>
      </c>
    </row>
    <row r="34" ht="25" customHeight="1">
      <c r="A34" s="7" t="inlineStr">
        <is>
          <t>For any of the above, use a dedicated fixed-income system. This tool is for understanding a single plain-vanilla US Treasury security.</t>
        </is>
      </c>
    </row>
  </sheetData>
  <mergeCells count="27">
    <mergeCell ref="A30:H30"/>
    <mergeCell ref="A15:H15"/>
    <mergeCell ref="A11:H11"/>
    <mergeCell ref="A1:H1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23:H23"/>
    <mergeCell ref="A8:H8"/>
    <mergeCell ref="A22:H22"/>
    <mergeCell ref="A17:H17"/>
    <mergeCell ref="A29:H29"/>
    <mergeCell ref="A20:H20"/>
    <mergeCell ref="A28:H28"/>
    <mergeCell ref="A13:H13"/>
    <mergeCell ref="A19:H19"/>
    <mergeCell ref="A31:H31"/>
    <mergeCell ref="A34:H34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A6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 Treasury Bond Analyzer v1.0</dc:creator>
  <dc:title>US Treasury Bond Analyzer</dc:title>
  <dcterms:created xsi:type="dcterms:W3CDTF">2026-07-05T05:22:53Z</dcterms:created>
  <dcterms:modified xsi:type="dcterms:W3CDTF">2026-07-05T05:22:53Z</dcterms:modified>
</cp:coreProperties>
</file>
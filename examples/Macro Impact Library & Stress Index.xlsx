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 Library" sheetId="1" state="visible" r:id="rId1"/>
    <sheet name="Global Stress Index" sheetId="2" state="visible" r:id="rId2"/>
  </sheets>
  <definedNames>
    <definedName name="_xlnm._FilterDatabase" localSheetId="0" hidden="1">'Impact Library'!$A$4:$V$67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#"/>
    <numFmt numFmtId="165" formatCode="+0.0;-0.0;0.0"/>
    <numFmt numFmtId="166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color rgb="006B7986"/>
      <sz val="9"/>
    </font>
    <font>
      <name val="Calibri"/>
      <b val="1"/>
      <color rgb="00FFFFFF"/>
      <sz val="9"/>
    </font>
    <font>
      <name val="Calibri"/>
      <b val="1"/>
      <color rgb="0020303F"/>
      <sz val="10"/>
    </font>
    <font>
      <name val="Calibri"/>
      <color rgb="0020303F"/>
      <sz val="10"/>
    </font>
    <font>
      <name val="Calibri"/>
      <b val="1"/>
      <color rgb="001F7A3D"/>
      <sz val="14"/>
    </font>
    <font>
      <name val="Calibri"/>
      <b val="1"/>
      <color rgb="001F7A3D"/>
      <sz val="12"/>
    </font>
    <font>
      <name val="Calibri"/>
      <b val="1"/>
      <color rgb="001F7A3D"/>
      <sz val="10"/>
    </font>
    <font>
      <name val="Calibri"/>
      <color rgb="000000FF"/>
      <sz val="10"/>
    </font>
    <font>
      <name val="Calibri"/>
      <color rgb="001A1A1A"/>
      <sz val="10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E5984"/>
        <bgColor rgb="002E5984"/>
      </patternFill>
    </fill>
    <fill>
      <patternFill patternType="solid">
        <fgColor rgb="00F4F7FA"/>
        <bgColor rgb="00F4F7FA"/>
      </patternFill>
    </fill>
    <fill>
      <patternFill patternType="solid">
        <fgColor rgb="00D6EAD9"/>
        <bgColor rgb="00D6EAD9"/>
      </patternFill>
    </fill>
    <fill>
      <patternFill patternType="solid">
        <fgColor rgb="00E2EFDA"/>
        <bgColor rgb="00E2EFDA"/>
      </patternFill>
    </fill>
    <fill>
      <patternFill patternType="solid">
        <fgColor rgb="00FFF7D6"/>
        <bgColor rgb="00FFF7D6"/>
      </patternFill>
    </fill>
    <fill>
      <patternFill patternType="solid">
        <fgColor rgb="00F2F2F2"/>
        <bgColor rgb="00F2F2F2"/>
      </patternFill>
    </fill>
    <fill>
      <patternFill patternType="solid">
        <fgColor rgb="00E8EEF4"/>
        <bgColor rgb="00E8EEF4"/>
      </patternFill>
    </fill>
    <fill>
      <patternFill patternType="solid">
        <fgColor rgb="00E3F2E1"/>
        <bgColor rgb="00E3F2E1"/>
      </patternFill>
    </fill>
    <fill>
      <patternFill patternType="solid">
        <fgColor rgb="004A789C"/>
        <bgColor rgb="004A789C"/>
      </patternFill>
    </fill>
  </fills>
  <borders count="13">
    <border>
      <left/>
      <right/>
      <top/>
      <bottom/>
      <diagonal/>
    </border>
    <border/>
    <border>
      <left style="medium">
        <color rgb="00B7C2CE"/>
      </left>
      <right style="medium">
        <color rgb="00B7C2CE"/>
      </right>
      <top style="medium">
        <color rgb="00B7C2CE"/>
      </top>
      <bottom style="medium">
        <color rgb="00B7C2CE"/>
      </bottom>
    </border>
    <border>
      <left/>
      <right/>
      <top style="medium">
        <color rgb="00B7C2CE"/>
      </top>
      <bottom/>
      <diagonal/>
    </border>
    <border>
      <left/>
      <right style="medium">
        <color rgb="00B7C2CE"/>
      </right>
      <top style="medium">
        <color rgb="00B7C2CE"/>
      </top>
      <bottom/>
      <diagonal/>
    </border>
    <border>
      <left/>
      <right style="medium">
        <color rgb="00B7C2CE"/>
      </right>
      <top style="medium">
        <color rgb="00B7C2CE"/>
      </top>
      <bottom style="medium">
        <color rgb="00B7C2CE"/>
      </bottom>
      <diagonal/>
    </border>
    <border>
      <left/>
      <right/>
      <top style="medium">
        <color rgb="00B7C2CE"/>
      </top>
      <bottom style="medium">
        <color rgb="00B7C2CE"/>
      </bottom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/>
      <top style="thin">
        <color rgb="00D5DCE4"/>
      </top>
      <bottom style="thin">
        <color rgb="00D5DCE4"/>
      </bottom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top style="medium">
        <color rgb="00B7C2CE"/>
      </top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8" fillId="5" borderId="2" applyAlignment="1" pivotButton="0" quotePrefix="0" xfId="0">
      <alignment horizontal="center" vertical="center"/>
    </xf>
    <xf numFmtId="0" fontId="0" fillId="0" borderId="6" pivotButton="0" quotePrefix="0" xfId="0"/>
    <xf numFmtId="0" fontId="9" fillId="6" borderId="7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164" fontId="10" fillId="7" borderId="7" applyAlignment="1" applyProtection="1" pivotButton="0" quotePrefix="0" xfId="0">
      <alignment horizontal="right" vertical="center"/>
      <protection locked="0" hidden="0"/>
    </xf>
    <xf numFmtId="165" fontId="10" fillId="7" borderId="7" applyAlignment="1" applyProtection="1" pivotButton="0" quotePrefix="0" xfId="0">
      <alignment horizontal="right" vertical="center"/>
      <protection locked="0" hidden="0"/>
    </xf>
    <xf numFmtId="1" fontId="11" fillId="8" borderId="1" applyAlignment="1" pivotButton="0" quotePrefix="0" xfId="0">
      <alignment horizontal="right" vertical="center"/>
    </xf>
    <xf numFmtId="9" fontId="10" fillId="7" borderId="7" applyAlignment="1" applyProtection="1" pivotButton="0" quotePrefix="0" xfId="0">
      <alignment horizontal="right" vertical="center"/>
      <protection locked="0" hidden="0"/>
    </xf>
    <xf numFmtId="166" fontId="11" fillId="8" borderId="1" applyAlignment="1" pivotButton="0" quotePrefix="0" xfId="0">
      <alignment horizontal="right" vertical="center"/>
    </xf>
    <xf numFmtId="0" fontId="10" fillId="7" borderId="7" applyAlignment="1" applyProtection="1" pivotButton="0" quotePrefix="0" xfId="0">
      <alignment horizontal="left" vertical="center"/>
      <protection locked="0" hidden="0"/>
    </xf>
    <xf numFmtId="0" fontId="5" fillId="9" borderId="12" applyAlignment="1" pivotButton="0" quotePrefix="0" xfId="0">
      <alignment horizontal="left" vertical="center"/>
    </xf>
    <xf numFmtId="0" fontId="0" fillId="0" borderId="3" pivotButton="0" quotePrefix="0" xfId="0"/>
    <xf numFmtId="1" fontId="5" fillId="8" borderId="12" applyAlignment="1" pivotButton="0" quotePrefix="0" xfId="0">
      <alignment horizontal="right" vertical="center"/>
    </xf>
    <xf numFmtId="9" fontId="5" fillId="8" borderId="12" applyAlignment="1" pivotButton="0" quotePrefix="0" xfId="0">
      <alignment horizontal="right" vertical="center"/>
    </xf>
    <xf numFmtId="166" fontId="5" fillId="8" borderId="12" applyAlignment="1" pivotButton="0" quotePrefix="0" xfId="0">
      <alignment horizontal="right" vertical="center"/>
    </xf>
    <xf numFmtId="0" fontId="5" fillId="0" borderId="7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9" fillId="10" borderId="7" applyAlignment="1" pivotButton="0" quotePrefix="0" xfId="0">
      <alignment horizontal="left" vertical="center" wrapText="1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2" fillId="11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dxfs count="9">
    <dxf>
      <font>
        <name val="Calibri"/>
        <b val="1"/>
        <color rgb="001F7A3D"/>
        <sz val="10"/>
      </font>
    </dxf>
    <dxf>
      <font>
        <name val="Calibri"/>
        <b val="1"/>
        <color rgb="00C00000"/>
        <sz val="10"/>
      </font>
    </dxf>
    <dxf>
      <font>
        <name val="Calibri"/>
        <b val="1"/>
        <color rgb="00808080"/>
        <sz val="10"/>
      </font>
    </dxf>
    <dxf>
      <font>
        <name val="Calibri"/>
        <b val="1"/>
        <color rgb="00B7791F"/>
        <sz val="10"/>
      </font>
    </dxf>
    <dxf>
      <font>
        <name val="Calibri"/>
        <b val="1"/>
        <color rgb="001F7A3D"/>
        <sz val="11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1F7A3D"/>
        <sz val="11"/>
      </font>
      <fill>
        <patternFill patternType="solid">
          <fgColor rgb="00E3F2E1"/>
          <bgColor rgb="00E3F2E1"/>
        </patternFill>
      </fill>
    </dxf>
    <dxf>
      <font>
        <name val="Calibri"/>
        <b val="1"/>
        <color rgb="009C6500"/>
        <sz val="11"/>
      </font>
      <fill>
        <patternFill patternType="solid">
          <fgColor rgb="00FFEB9C"/>
          <bgColor rgb="00FFEB9C"/>
        </patternFill>
      </fill>
    </dxf>
    <dxf>
      <font>
        <name val="Calibri"/>
        <b val="1"/>
        <color rgb="00C55A11"/>
        <sz val="11"/>
      </font>
      <fill>
        <patternFill patternType="solid">
          <fgColor rgb="00FCE4D6"/>
          <bgColor rgb="00FCE4D6"/>
        </patternFill>
      </fill>
    </dxf>
    <dxf>
      <font>
        <name val="Calibri"/>
        <b val="1"/>
        <color rgb="009C0006"/>
        <sz val="11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984"/>
    <outlinePr summaryBelow="1" summaryRight="1"/>
    <pageSetUpPr/>
  </sheetPr>
  <dimension ref="A1:V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6" customWidth="1" min="4" max="4"/>
    <col width="26" customWidth="1" min="5" max="5"/>
    <col width="26" customWidth="1" min="6" max="6"/>
    <col width="26" customWidth="1" min="7" max="7"/>
    <col width="9" customWidth="1" min="8" max="8"/>
    <col width="9" customWidth="1" min="9" max="9"/>
    <col width="12" customWidth="1" min="10" max="10"/>
    <col width="9" customWidth="1" min="11" max="11"/>
    <col width="9" customWidth="1" min="12" max="12"/>
    <col width="10" customWidth="1" min="13" max="13"/>
    <col width="8" customWidth="1" min="14" max="14"/>
    <col width="8" customWidth="1" min="15" max="15"/>
    <col width="11" customWidth="1" min="16" max="16"/>
    <col width="8" customWidth="1" min="17" max="17"/>
    <col width="12" customWidth="1" min="18" max="18"/>
    <col width="30" customWidth="1" min="19" max="19"/>
    <col width="30" customWidth="1" min="20" max="20"/>
    <col width="11" customWidth="1" min="21" max="21"/>
    <col width="32" customWidth="1" min="22" max="22"/>
  </cols>
  <sheetData>
    <row r="1" ht="26" customHeight="1">
      <c r="A1" s="1" t="inlineStr">
        <is>
          <t>MACRO INDICATOR IMPACT LIBRARY</t>
        </is>
      </c>
    </row>
    <row r="2">
      <c r="A2" s="2" t="inlineStr">
        <is>
          <t>How major macro, market and geopolitical indicators usually affect markets - a professional cheat sheet</t>
        </is>
      </c>
    </row>
    <row r="3" ht="26" customHeight="1">
      <c r="A3" s="3" t="inlineStr">
        <is>
          <t>Impact columns = the USUAL first-order reaction to a HIGHER-than-expected print (data), a RISE (market gauges) or ESCALATION (geopolitics).  ↑ up/supportive · ↓ down/negative · ↔ neutral · Mixed = depends on context.  UST bond price moves opposite to yield.</t>
        </is>
      </c>
    </row>
    <row r="4" ht="30" customHeight="1">
      <c r="A4" s="4" t="inlineStr">
        <is>
          <t>Category</t>
        </is>
      </c>
      <c r="B4" s="4" t="inlineStr">
        <is>
          <t>Indicator</t>
        </is>
      </c>
      <c r="C4" s="4" t="inlineStr">
        <is>
          <t>Region</t>
        </is>
      </c>
      <c r="D4" s="4" t="inlineStr">
        <is>
          <t>What it measures</t>
        </is>
      </c>
      <c r="E4" s="4" t="inlineStr">
        <is>
          <t>Why it matters</t>
        </is>
      </c>
      <c r="F4" s="4" t="inlineStr">
        <is>
          <t>Higher-than-expected</t>
        </is>
      </c>
      <c r="G4" s="4" t="inlineStr">
        <is>
          <t>Lower-than-expected</t>
        </is>
      </c>
      <c r="H4" s="4" t="inlineStr">
        <is>
          <t>Inflation</t>
        </is>
      </c>
      <c r="I4" s="4" t="inlineStr">
        <is>
          <t>Growth</t>
        </is>
      </c>
      <c r="J4" s="4" t="inlineStr">
        <is>
          <t>Fed / CB</t>
        </is>
      </c>
      <c r="K4" s="4" t="inlineStr">
        <is>
          <t>USD / DXY</t>
        </is>
      </c>
      <c r="L4" s="4" t="inlineStr">
        <is>
          <t>UST yield</t>
        </is>
      </c>
      <c r="M4" s="4" t="inlineStr">
        <is>
          <t>UST bond px</t>
        </is>
      </c>
      <c r="N4" s="4" t="inlineStr">
        <is>
          <t>Gold</t>
        </is>
      </c>
      <c r="O4" s="4" t="inlineStr">
        <is>
          <t>Oil</t>
        </is>
      </c>
      <c r="P4" s="4" t="inlineStr">
        <is>
          <t>Equity / S&amp;P</t>
        </is>
      </c>
      <c r="Q4" s="4" t="inlineStr">
        <is>
          <t>EM</t>
        </is>
      </c>
      <c r="R4" s="4" t="inlineStr">
        <is>
          <t>Kuwait / GCC</t>
        </is>
      </c>
      <c r="S4" s="4" t="inlineStr">
        <is>
          <t>Usual market reaction</t>
        </is>
      </c>
      <c r="T4" s="4" t="inlineStr">
        <is>
          <t>Key exceptions / context</t>
        </is>
      </c>
      <c r="U4" s="4" t="inlineStr">
        <is>
          <t>Confidence</t>
        </is>
      </c>
      <c r="V4" s="4" t="inlineStr">
        <is>
          <t>Analyst explanation</t>
        </is>
      </c>
    </row>
    <row r="5" ht="46" customHeight="1">
      <c r="A5" s="5" t="inlineStr">
        <is>
          <t>US Inflation</t>
        </is>
      </c>
      <c r="B5" s="6" t="inlineStr">
        <is>
          <t>CPI</t>
        </is>
      </c>
      <c r="C5" s="7" t="inlineStr">
        <is>
          <t>US</t>
        </is>
      </c>
      <c r="D5" s="3" t="inlineStr">
        <is>
          <t>headline consumer price inflation</t>
        </is>
      </c>
      <c r="E5" s="3" t="inlineStr">
        <is>
          <t>the most watched inflation gauge; drives Fed and real yields</t>
        </is>
      </c>
      <c r="F5" s="3" t="inlineStr">
        <is>
          <t>hotter inflation, hawkish</t>
        </is>
      </c>
      <c r="G5" s="3" t="inlineStr">
        <is>
          <t>cooler inflation, dovish</t>
        </is>
      </c>
      <c r="H5" s="7" t="inlineStr">
        <is>
          <t>↑</t>
        </is>
      </c>
      <c r="I5" s="7" t="inlineStr">
        <is>
          <t>↔</t>
        </is>
      </c>
      <c r="J5" s="7" t="inlineStr">
        <is>
          <t>Hawkish</t>
        </is>
      </c>
      <c r="K5" s="7" t="inlineStr">
        <is>
          <t>↑</t>
        </is>
      </c>
      <c r="L5" s="7" t="inlineStr">
        <is>
          <t>↑</t>
        </is>
      </c>
      <c r="M5" s="7" t="inlineStr">
        <is>
          <t>↓</t>
        </is>
      </c>
      <c r="N5" s="7" t="inlineStr">
        <is>
          <t>↓</t>
        </is>
      </c>
      <c r="O5" s="7" t="inlineStr">
        <is>
          <t>↔</t>
        </is>
      </c>
      <c r="P5" s="7" t="inlineStr">
        <is>
          <t>↓</t>
        </is>
      </c>
      <c r="Q5" s="7" t="inlineStr">
        <is>
          <t>↓</t>
        </is>
      </c>
      <c r="R5" s="7" t="inlineStr">
        <is>
          <t>↔</t>
        </is>
      </c>
      <c r="S5" s="3" t="inlineStr">
        <is>
          <t>Hot print → USD &amp; yields up, bonds/gold/equities down</t>
        </is>
      </c>
      <c r="T5" s="3" t="inlineStr">
        <is>
          <t>Watch core vs headline; energy base effects distort</t>
        </is>
      </c>
      <c r="U5" s="7" t="inlineStr">
        <is>
          <t>High</t>
        </is>
      </c>
      <c r="V5" s="3" t="inlineStr">
        <is>
          <t>The single biggest scheduled market mover alongside payrolls.</t>
        </is>
      </c>
    </row>
    <row r="6" ht="46" customHeight="1">
      <c r="A6" s="5" t="inlineStr">
        <is>
          <t>US Inflation</t>
        </is>
      </c>
      <c r="B6" s="6" t="inlineStr">
        <is>
          <t>Core CPI</t>
        </is>
      </c>
      <c r="C6" s="7" t="inlineStr">
        <is>
          <t>US</t>
        </is>
      </c>
      <c r="D6" s="3" t="inlineStr">
        <is>
          <t>CPI excluding food and energy</t>
        </is>
      </c>
      <c r="E6" s="3" t="inlineStr">
        <is>
          <t>cleaner inflation trend the Fed targets</t>
        </is>
      </c>
      <c r="F6" s="3" t="inlineStr">
        <is>
          <t>sticky inflation, hawkish</t>
        </is>
      </c>
      <c r="G6" s="3" t="inlineStr">
        <is>
          <t>disinflation, dovish</t>
        </is>
      </c>
      <c r="H6" s="7" t="inlineStr">
        <is>
          <t>↑</t>
        </is>
      </c>
      <c r="I6" s="7" t="inlineStr">
        <is>
          <t>↔</t>
        </is>
      </c>
      <c r="J6" s="7" t="inlineStr">
        <is>
          <t>Hawkish</t>
        </is>
      </c>
      <c r="K6" s="7" t="inlineStr">
        <is>
          <t>↑</t>
        </is>
      </c>
      <c r="L6" s="7" t="inlineStr">
        <is>
          <t>↑</t>
        </is>
      </c>
      <c r="M6" s="7" t="inlineStr">
        <is>
          <t>↓</t>
        </is>
      </c>
      <c r="N6" s="7" t="inlineStr">
        <is>
          <t>↓</t>
        </is>
      </c>
      <c r="O6" s="7" t="inlineStr">
        <is>
          <t>↔</t>
        </is>
      </c>
      <c r="P6" s="7" t="inlineStr">
        <is>
          <t>↓</t>
        </is>
      </c>
      <c r="Q6" s="7" t="inlineStr">
        <is>
          <t>↓</t>
        </is>
      </c>
      <c r="R6" s="7" t="inlineStr">
        <is>
          <t>↔</t>
        </is>
      </c>
      <c r="S6" s="3" t="inlineStr">
        <is>
          <t>Sticky core → rates repriced higher, risk-off</t>
        </is>
      </c>
      <c r="T6" s="3" t="inlineStr">
        <is>
          <t>Shelter lags; supercore services is the tell</t>
        </is>
      </c>
      <c r="U6" s="7" t="inlineStr">
        <is>
          <t>High</t>
        </is>
      </c>
      <c r="V6" s="3" t="inlineStr">
        <is>
          <t>More signal than headline for the Fed path.</t>
        </is>
      </c>
    </row>
    <row r="7" ht="46" customHeight="1">
      <c r="A7" s="5" t="inlineStr">
        <is>
          <t>US Inflation</t>
        </is>
      </c>
      <c r="B7" s="6" t="inlineStr">
        <is>
          <t>PCE</t>
        </is>
      </c>
      <c r="C7" s="7" t="inlineStr">
        <is>
          <t>US</t>
        </is>
      </c>
      <c r="D7" s="3" t="inlineStr">
        <is>
          <t>personal consumption expenditures price index</t>
        </is>
      </c>
      <c r="E7" s="3" t="inlineStr">
        <is>
          <t>broad inflation across a wide basket</t>
        </is>
      </c>
      <c r="F7" s="3" t="inlineStr">
        <is>
          <t>hawkish</t>
        </is>
      </c>
      <c r="G7" s="3" t="inlineStr">
        <is>
          <t>dovish</t>
        </is>
      </c>
      <c r="H7" s="7" t="inlineStr">
        <is>
          <t>↑</t>
        </is>
      </c>
      <c r="I7" s="7" t="inlineStr">
        <is>
          <t>↔</t>
        </is>
      </c>
      <c r="J7" s="7" t="inlineStr">
        <is>
          <t>Hawkish</t>
        </is>
      </c>
      <c r="K7" s="7" t="inlineStr">
        <is>
          <t>↑</t>
        </is>
      </c>
      <c r="L7" s="7" t="inlineStr">
        <is>
          <t>↑</t>
        </is>
      </c>
      <c r="M7" s="7" t="inlineStr">
        <is>
          <t>↓</t>
        </is>
      </c>
      <c r="N7" s="7" t="inlineStr">
        <is>
          <t>↓</t>
        </is>
      </c>
      <c r="O7" s="7" t="inlineStr">
        <is>
          <t>↔</t>
        </is>
      </c>
      <c r="P7" s="7" t="inlineStr">
        <is>
          <t>↓</t>
        </is>
      </c>
      <c r="Q7" s="7" t="inlineStr">
        <is>
          <t>↔</t>
        </is>
      </c>
      <c r="R7" s="7" t="inlineStr">
        <is>
          <t>↔</t>
        </is>
      </c>
      <c r="S7" s="3" t="inlineStr">
        <is>
          <t>Hot → hawkish repricing</t>
        </is>
      </c>
      <c r="T7" s="3" t="inlineStr">
        <is>
          <t>Broader basket than CPI</t>
        </is>
      </c>
      <c r="U7" s="7" t="inlineStr">
        <is>
          <t>High</t>
        </is>
      </c>
      <c r="V7" s="3" t="inlineStr">
        <is>
          <t>Released later than CPI, so less surprise.</t>
        </is>
      </c>
    </row>
    <row r="8" ht="46" customHeight="1">
      <c r="A8" s="5" t="inlineStr">
        <is>
          <t>US Inflation</t>
        </is>
      </c>
      <c r="B8" s="6" t="inlineStr">
        <is>
          <t>Core PCE</t>
        </is>
      </c>
      <c r="C8" s="7" t="inlineStr">
        <is>
          <t>US</t>
        </is>
      </c>
      <c r="D8" s="3" t="inlineStr">
        <is>
          <t>PCE excluding food and energy</t>
        </is>
      </c>
      <c r="E8" s="3" t="inlineStr">
        <is>
          <t>the Fed's PREFERRED inflation gauge (2% target)</t>
        </is>
      </c>
      <c r="F8" s="3" t="inlineStr">
        <is>
          <t>above target, hawkish</t>
        </is>
      </c>
      <c r="G8" s="3" t="inlineStr">
        <is>
          <t>toward target, dovish</t>
        </is>
      </c>
      <c r="H8" s="7" t="inlineStr">
        <is>
          <t>↑</t>
        </is>
      </c>
      <c r="I8" s="7" t="inlineStr">
        <is>
          <t>↔</t>
        </is>
      </c>
      <c r="J8" s="7" t="inlineStr">
        <is>
          <t>Hawkish</t>
        </is>
      </c>
      <c r="K8" s="7" t="inlineStr">
        <is>
          <t>↑</t>
        </is>
      </c>
      <c r="L8" s="7" t="inlineStr">
        <is>
          <t>↑</t>
        </is>
      </c>
      <c r="M8" s="7" t="inlineStr">
        <is>
          <t>↓</t>
        </is>
      </c>
      <c r="N8" s="7" t="inlineStr">
        <is>
          <t>↓</t>
        </is>
      </c>
      <c r="O8" s="7" t="inlineStr">
        <is>
          <t>↔</t>
        </is>
      </c>
      <c r="P8" s="7" t="inlineStr">
        <is>
          <t>↓</t>
        </is>
      </c>
      <c r="Q8" s="7" t="inlineStr">
        <is>
          <t>↔</t>
        </is>
      </c>
      <c r="R8" s="7" t="inlineStr">
        <is>
          <t>↔</t>
        </is>
      </c>
      <c r="S8" s="3" t="inlineStr">
        <is>
          <t>The number the Fed actually targets</t>
        </is>
      </c>
      <c r="T8" s="3" t="inlineStr">
        <is>
          <t>2% is the reference line</t>
        </is>
      </c>
      <c r="U8" s="7" t="inlineStr">
        <is>
          <t>High</t>
        </is>
      </c>
      <c r="V8" s="3" t="inlineStr">
        <is>
          <t>Best single read on Fed comfort.</t>
        </is>
      </c>
    </row>
    <row r="9" ht="46" customHeight="1">
      <c r="A9" s="5" t="inlineStr">
        <is>
          <t>US Inflation</t>
        </is>
      </c>
      <c r="B9" s="6" t="inlineStr">
        <is>
          <t>Inflation Expectations</t>
        </is>
      </c>
      <c r="C9" s="7" t="inlineStr">
        <is>
          <t>US</t>
        </is>
      </c>
      <c r="D9" s="3" t="inlineStr">
        <is>
          <t>survey/market expected future inflation</t>
        </is>
      </c>
      <c r="E9" s="3" t="inlineStr">
        <is>
          <t>the Fed fears un-anchoring of expectations</t>
        </is>
      </c>
      <c r="F9" s="3" t="inlineStr">
        <is>
          <t>hawkish, un-anchoring risk</t>
        </is>
      </c>
      <c r="G9" s="3" t="inlineStr">
        <is>
          <t>dovish, anchored</t>
        </is>
      </c>
      <c r="H9" s="7" t="inlineStr">
        <is>
          <t>↑</t>
        </is>
      </c>
      <c r="I9" s="7" t="inlineStr">
        <is>
          <t>↔</t>
        </is>
      </c>
      <c r="J9" s="7" t="inlineStr">
        <is>
          <t>Hawkish</t>
        </is>
      </c>
      <c r="K9" s="7" t="inlineStr">
        <is>
          <t>↑</t>
        </is>
      </c>
      <c r="L9" s="7" t="inlineStr">
        <is>
          <t>↑</t>
        </is>
      </c>
      <c r="M9" s="7" t="inlineStr">
        <is>
          <t>↓</t>
        </is>
      </c>
      <c r="N9" s="7" t="inlineStr">
        <is>
          <t>Mixed</t>
        </is>
      </c>
      <c r="O9" s="7" t="inlineStr">
        <is>
          <t>↔</t>
        </is>
      </c>
      <c r="P9" s="7" t="inlineStr">
        <is>
          <t>↓</t>
        </is>
      </c>
      <c r="Q9" s="7" t="inlineStr">
        <is>
          <t>↔</t>
        </is>
      </c>
      <c r="R9" s="7" t="inlineStr">
        <is>
          <t>↔</t>
        </is>
      </c>
      <c r="S9" s="3" t="inlineStr">
        <is>
          <t>Rising expectations → hawkish, gold mixed</t>
        </is>
      </c>
      <c r="T9" s="3" t="inlineStr">
        <is>
          <t>UMich 5-10y and 5y5y breakevens matter most</t>
        </is>
      </c>
      <c r="U9" s="7" t="inlineStr">
        <is>
          <t>Medium</t>
        </is>
      </c>
      <c r="V9" s="3" t="inlineStr">
        <is>
          <t>A jump here alarms the Fed more than one hot print.</t>
        </is>
      </c>
    </row>
    <row r="10" ht="46" customHeight="1">
      <c r="A10" s="5" t="inlineStr">
        <is>
          <t>US Labor</t>
        </is>
      </c>
      <c r="B10" s="6" t="inlineStr">
        <is>
          <t>Nonfarm Payrolls</t>
        </is>
      </c>
      <c r="C10" s="7" t="inlineStr">
        <is>
          <t>US</t>
        </is>
      </c>
      <c r="D10" s="3" t="inlineStr">
        <is>
          <t>net new jobs excluding farming</t>
        </is>
      </c>
      <c r="E10" s="3" t="inlineStr">
        <is>
          <t>the top labor print; jobs = income = demand</t>
        </is>
      </c>
      <c r="F10" s="3" t="inlineStr">
        <is>
          <t>strong jobs, hawkish</t>
        </is>
      </c>
      <c r="G10" s="3" t="inlineStr">
        <is>
          <t>weak jobs, dovish (or recession fear)</t>
        </is>
      </c>
      <c r="H10" s="7" t="inlineStr">
        <is>
          <t>↑</t>
        </is>
      </c>
      <c r="I10" s="7" t="inlineStr">
        <is>
          <t>↑</t>
        </is>
      </c>
      <c r="J10" s="7" t="inlineStr">
        <is>
          <t>Hawkish</t>
        </is>
      </c>
      <c r="K10" s="7" t="inlineStr">
        <is>
          <t>↑</t>
        </is>
      </c>
      <c r="L10" s="7" t="inlineStr">
        <is>
          <t>↑</t>
        </is>
      </c>
      <c r="M10" s="7" t="inlineStr">
        <is>
          <t>↓</t>
        </is>
      </c>
      <c r="N10" s="7" t="inlineStr">
        <is>
          <t>↓</t>
        </is>
      </c>
      <c r="O10" s="7" t="inlineStr">
        <is>
          <t>↑</t>
        </is>
      </c>
      <c r="P10" s="7" t="inlineStr">
        <is>
          <t>Mixed</t>
        </is>
      </c>
      <c r="Q10" s="7" t="inlineStr">
        <is>
          <t>↓</t>
        </is>
      </c>
      <c r="R10" s="7" t="inlineStr">
        <is>
          <t>↔</t>
        </is>
      </c>
      <c r="S10" s="3" t="inlineStr">
        <is>
          <t>Strong → USD &amp; yields up; equities mixed</t>
        </is>
      </c>
      <c r="T10" s="3" t="inlineStr">
        <is>
          <t>Revisions and household survey can flip it</t>
        </is>
      </c>
      <c r="U10" s="7" t="inlineStr">
        <is>
          <t>High</t>
        </is>
      </c>
      <c r="V10" s="3" t="inlineStr">
        <is>
          <t>With CPI, the biggest scheduled mover.</t>
        </is>
      </c>
    </row>
    <row r="11" ht="46" customHeight="1">
      <c r="A11" s="5" t="inlineStr">
        <is>
          <t>US Labor</t>
        </is>
      </c>
      <c r="B11" s="6" t="inlineStr">
        <is>
          <t>Unemployment Rate</t>
        </is>
      </c>
      <c r="C11" s="7" t="inlineStr">
        <is>
          <t>US</t>
        </is>
      </c>
      <c r="D11" s="3" t="inlineStr">
        <is>
          <t>share of labor force unemployed</t>
        </is>
      </c>
      <c r="E11" s="3" t="inlineStr">
        <is>
          <t>the Fed's employment mandate; a recession trigger</t>
        </is>
      </c>
      <c r="F11" s="3" t="inlineStr">
        <is>
          <t>higher = dovish, growth-negative</t>
        </is>
      </c>
      <c r="G11" s="3" t="inlineStr">
        <is>
          <t>lower = hawkish, tight labor</t>
        </is>
      </c>
      <c r="H11" s="7" t="inlineStr">
        <is>
          <t>↓</t>
        </is>
      </c>
      <c r="I11" s="7" t="inlineStr">
        <is>
          <t>↓</t>
        </is>
      </c>
      <c r="J11" s="7" t="inlineStr">
        <is>
          <t>Dovish</t>
        </is>
      </c>
      <c r="K11" s="7" t="inlineStr">
        <is>
          <t>↓</t>
        </is>
      </c>
      <c r="L11" s="7" t="inlineStr">
        <is>
          <t>↓</t>
        </is>
      </c>
      <c r="M11" s="7" t="inlineStr">
        <is>
          <t>↑</t>
        </is>
      </c>
      <c r="N11" s="7" t="inlineStr">
        <is>
          <t>↑</t>
        </is>
      </c>
      <c r="O11" s="7" t="inlineStr">
        <is>
          <t>↓</t>
        </is>
      </c>
      <c r="P11" s="7" t="inlineStr">
        <is>
          <t>Mixed</t>
        </is>
      </c>
      <c r="Q11" s="7" t="inlineStr">
        <is>
          <t>↑</t>
        </is>
      </c>
      <c r="R11" s="7" t="inlineStr">
        <is>
          <t>↔</t>
        </is>
      </c>
      <c r="S11" s="3" t="inlineStr">
        <is>
          <t>Higher unemployment → dovish, bonds bid, equities mixed</t>
        </is>
      </c>
      <c r="T11" s="3" t="inlineStr">
        <is>
          <t>Read with participation and payrolls (Sahm rule)</t>
        </is>
      </c>
      <c r="U11" s="7" t="inlineStr">
        <is>
          <t>High</t>
        </is>
      </c>
      <c r="V11" s="3" t="inlineStr">
        <is>
          <t>A rising trend is a classic late-cycle warning.</t>
        </is>
      </c>
    </row>
    <row r="12" ht="46" customHeight="1">
      <c r="A12" s="5" t="inlineStr">
        <is>
          <t>US Labor</t>
        </is>
      </c>
      <c r="B12" s="6" t="inlineStr">
        <is>
          <t>Average Hourly Earnings</t>
        </is>
      </c>
      <c r="C12" s="7" t="inlineStr">
        <is>
          <t>US</t>
        </is>
      </c>
      <c r="D12" s="3" t="inlineStr">
        <is>
          <t>wage growth</t>
        </is>
      </c>
      <c r="E12" s="3" t="inlineStr">
        <is>
          <t>wages feed services inflation the Fed fears</t>
        </is>
      </c>
      <c r="F12" s="3" t="inlineStr">
        <is>
          <t>hot wages, hawkish</t>
        </is>
      </c>
      <c r="G12" s="3" t="inlineStr">
        <is>
          <t>cooling wages, dovish</t>
        </is>
      </c>
      <c r="H12" s="7" t="inlineStr">
        <is>
          <t>↑</t>
        </is>
      </c>
      <c r="I12" s="7" t="inlineStr">
        <is>
          <t>↑</t>
        </is>
      </c>
      <c r="J12" s="7" t="inlineStr">
        <is>
          <t>Hawkish</t>
        </is>
      </c>
      <c r="K12" s="7" t="inlineStr">
        <is>
          <t>↑</t>
        </is>
      </c>
      <c r="L12" s="7" t="inlineStr">
        <is>
          <t>↑</t>
        </is>
      </c>
      <c r="M12" s="7" t="inlineStr">
        <is>
          <t>↓</t>
        </is>
      </c>
      <c r="N12" s="7" t="inlineStr">
        <is>
          <t>↓</t>
        </is>
      </c>
      <c r="O12" s="7" t="inlineStr">
        <is>
          <t>↔</t>
        </is>
      </c>
      <c r="P12" s="7" t="inlineStr">
        <is>
          <t>↓</t>
        </is>
      </c>
      <c r="Q12" s="7" t="inlineStr">
        <is>
          <t>↔</t>
        </is>
      </c>
      <c r="R12" s="7" t="inlineStr">
        <is>
          <t>↔</t>
        </is>
      </c>
      <c r="S12" s="3" t="inlineStr">
        <is>
          <t>Hot wages → hawkish, bonds down</t>
        </is>
      </c>
      <c r="T12" s="3" t="inlineStr">
        <is>
          <t>Job-mix composition can mislead</t>
        </is>
      </c>
      <c r="U12" s="7" t="inlineStr">
        <is>
          <t>High</t>
        </is>
      </c>
      <c r="V12" s="3" t="inlineStr">
        <is>
          <t>Key inflation-persistence signal.</t>
        </is>
      </c>
    </row>
    <row r="13" ht="46" customHeight="1">
      <c r="A13" s="5" t="inlineStr">
        <is>
          <t>US Labor</t>
        </is>
      </c>
      <c r="B13" s="6" t="inlineStr">
        <is>
          <t>Initial Jobless Claims</t>
        </is>
      </c>
      <c r="C13" s="7" t="inlineStr">
        <is>
          <t>US</t>
        </is>
      </c>
      <c r="D13" s="3" t="inlineStr">
        <is>
          <t>new unemployment filings (weekly)</t>
        </is>
      </c>
      <c r="E13" s="3" t="inlineStr">
        <is>
          <t>the most timely labor signal</t>
        </is>
      </c>
      <c r="F13" s="3" t="inlineStr">
        <is>
          <t>rising claims = dovish, labor weakening</t>
        </is>
      </c>
      <c r="G13" s="3" t="inlineStr">
        <is>
          <t>falling claims = hawkish, labor strong</t>
        </is>
      </c>
      <c r="H13" s="7" t="inlineStr">
        <is>
          <t>↓</t>
        </is>
      </c>
      <c r="I13" s="7" t="inlineStr">
        <is>
          <t>↓</t>
        </is>
      </c>
      <c r="J13" s="7" t="inlineStr">
        <is>
          <t>Dovish</t>
        </is>
      </c>
      <c r="K13" s="7" t="inlineStr">
        <is>
          <t>↓</t>
        </is>
      </c>
      <c r="L13" s="7" t="inlineStr">
        <is>
          <t>↓</t>
        </is>
      </c>
      <c r="M13" s="7" t="inlineStr">
        <is>
          <t>↑</t>
        </is>
      </c>
      <c r="N13" s="7" t="inlineStr">
        <is>
          <t>↑</t>
        </is>
      </c>
      <c r="O13" s="7" t="inlineStr">
        <is>
          <t>↔</t>
        </is>
      </c>
      <c r="P13" s="7" t="inlineStr">
        <is>
          <t>Mixed</t>
        </is>
      </c>
      <c r="Q13" s="7" t="inlineStr">
        <is>
          <t>↔</t>
        </is>
      </c>
      <c r="R13" s="7" t="inlineStr">
        <is>
          <t>↔</t>
        </is>
      </c>
      <c r="S13" s="3" t="inlineStr">
        <is>
          <t>Rising claims → dovish, bonds bid</t>
        </is>
      </c>
      <c r="T13" s="3" t="inlineStr">
        <is>
          <t>Noisy weekly; watch 4-week average</t>
        </is>
      </c>
      <c r="U13" s="7" t="inlineStr">
        <is>
          <t>Medium</t>
        </is>
      </c>
      <c r="V13" s="3" t="inlineStr">
        <is>
          <t>First place labor cracks show up.</t>
        </is>
      </c>
    </row>
    <row r="14" ht="46" customHeight="1">
      <c r="A14" s="5" t="inlineStr">
        <is>
          <t>US Labor</t>
        </is>
      </c>
      <c r="B14" s="6" t="inlineStr">
        <is>
          <t>Continuing Claims</t>
        </is>
      </c>
      <c r="C14" s="7" t="inlineStr">
        <is>
          <t>US</t>
        </is>
      </c>
      <c r="D14" s="3" t="inlineStr">
        <is>
          <t>people still receiving benefits</t>
        </is>
      </c>
      <c r="E14" s="3" t="inlineStr">
        <is>
          <t>how hard it is to find a new job</t>
        </is>
      </c>
      <c r="F14" s="3" t="inlineStr">
        <is>
          <t>rising = labor loosening, dovish</t>
        </is>
      </c>
      <c r="G14" s="3" t="inlineStr">
        <is>
          <t>falling = labor tight, hawkish</t>
        </is>
      </c>
      <c r="H14" s="7" t="inlineStr">
        <is>
          <t>↓</t>
        </is>
      </c>
      <c r="I14" s="7" t="inlineStr">
        <is>
          <t>↓</t>
        </is>
      </c>
      <c r="J14" s="7" t="inlineStr">
        <is>
          <t>Dovish</t>
        </is>
      </c>
      <c r="K14" s="7" t="inlineStr">
        <is>
          <t>↓</t>
        </is>
      </c>
      <c r="L14" s="7" t="inlineStr">
        <is>
          <t>↓</t>
        </is>
      </c>
      <c r="M14" s="7" t="inlineStr">
        <is>
          <t>↑</t>
        </is>
      </c>
      <c r="N14" s="7" t="inlineStr">
        <is>
          <t>↑</t>
        </is>
      </c>
      <c r="O14" s="7" t="inlineStr">
        <is>
          <t>↔</t>
        </is>
      </c>
      <c r="P14" s="7" t="inlineStr">
        <is>
          <t>Mixed</t>
        </is>
      </c>
      <c r="Q14" s="7" t="inlineStr">
        <is>
          <t>↔</t>
        </is>
      </c>
      <c r="R14" s="7" t="inlineStr">
        <is>
          <t>↔</t>
        </is>
      </c>
      <c r="S14" s="3" t="inlineStr">
        <is>
          <t>Rising trend → dovish, recession watch</t>
        </is>
      </c>
      <c r="T14" s="3" t="inlineStr">
        <is>
          <t>Confirms the initial-claims trend</t>
        </is>
      </c>
      <c r="U14" s="7" t="inlineStr">
        <is>
          <t>Medium</t>
        </is>
      </c>
      <c r="V14" s="3" t="inlineStr">
        <is>
          <t>Sticky continuing claims signal slower re-hiring.</t>
        </is>
      </c>
    </row>
    <row r="15" ht="46" customHeight="1">
      <c r="A15" s="5" t="inlineStr">
        <is>
          <t>US Growth</t>
        </is>
      </c>
      <c r="B15" s="6" t="inlineStr">
        <is>
          <t>GDP</t>
        </is>
      </c>
      <c r="C15" s="7" t="inlineStr">
        <is>
          <t>US</t>
        </is>
      </c>
      <c r="D15" s="3" t="inlineStr">
        <is>
          <t>real output growth (annualized)</t>
        </is>
      </c>
      <c r="E15" s="3" t="inlineStr">
        <is>
          <t>headline growth; expansion vs recession</t>
        </is>
      </c>
      <c r="F15" s="3" t="inlineStr">
        <is>
          <t>strong growth, mildly hawkish</t>
        </is>
      </c>
      <c r="G15" s="3" t="inlineStr">
        <is>
          <t>weak growth, recession fear</t>
        </is>
      </c>
      <c r="H15" s="7" t="inlineStr">
        <is>
          <t>↔</t>
        </is>
      </c>
      <c r="I15" s="7" t="inlineStr">
        <is>
          <t>↑</t>
        </is>
      </c>
      <c r="J15" s="7" t="inlineStr">
        <is>
          <t>Mixed</t>
        </is>
      </c>
      <c r="K15" s="7" t="inlineStr">
        <is>
          <t>↑</t>
        </is>
      </c>
      <c r="L15" s="7" t="inlineStr">
        <is>
          <t>↑</t>
        </is>
      </c>
      <c r="M15" s="7" t="inlineStr">
        <is>
          <t>↓</t>
        </is>
      </c>
      <c r="N15" s="7" t="inlineStr">
        <is>
          <t>↔</t>
        </is>
      </c>
      <c r="O15" s="7" t="inlineStr">
        <is>
          <t>↑</t>
        </is>
      </c>
      <c r="P15" s="7" t="inlineStr">
        <is>
          <t>↑</t>
        </is>
      </c>
      <c r="Q15" s="7" t="inlineStr">
        <is>
          <t>↑</t>
        </is>
      </c>
      <c r="R15" s="7" t="inlineStr">
        <is>
          <t>↑</t>
        </is>
      </c>
      <c r="S15" s="3" t="inlineStr">
        <is>
          <t>Strong → risk-on but can delay cuts</t>
        </is>
      </c>
      <c r="T15" s="3" t="inlineStr">
        <is>
          <t>Backward-looking; watch composition</t>
        </is>
      </c>
      <c r="U15" s="7" t="inlineStr">
        <is>
          <t>High</t>
        </is>
      </c>
      <c r="V15" s="3" t="inlineStr">
        <is>
          <t>Big miss on the downside is a recession scare.</t>
        </is>
      </c>
    </row>
    <row r="16" ht="46" customHeight="1">
      <c r="A16" s="5" t="inlineStr">
        <is>
          <t>US Growth</t>
        </is>
      </c>
      <c r="B16" s="6" t="inlineStr">
        <is>
          <t>Retail Sales</t>
        </is>
      </c>
      <c r="C16" s="7" t="inlineStr">
        <is>
          <t>US</t>
        </is>
      </c>
      <c r="D16" s="3" t="inlineStr">
        <is>
          <t>consumer spending</t>
        </is>
      </c>
      <c r="E16" s="3" t="inlineStr">
        <is>
          <t>the consumer is the US growth engine</t>
        </is>
      </c>
      <c r="F16" s="3" t="inlineStr">
        <is>
          <t>strong consumer, growth+</t>
        </is>
      </c>
      <c r="G16" s="3" t="inlineStr">
        <is>
          <t>weak consumer, growth-</t>
        </is>
      </c>
      <c r="H16" s="7" t="inlineStr">
        <is>
          <t>↑</t>
        </is>
      </c>
      <c r="I16" s="7" t="inlineStr">
        <is>
          <t>↑</t>
        </is>
      </c>
      <c r="J16" s="7" t="inlineStr">
        <is>
          <t>Mixed</t>
        </is>
      </c>
      <c r="K16" s="7" t="inlineStr">
        <is>
          <t>↑</t>
        </is>
      </c>
      <c r="L16" s="7" t="inlineStr">
        <is>
          <t>↑</t>
        </is>
      </c>
      <c r="M16" s="7" t="inlineStr">
        <is>
          <t>↓</t>
        </is>
      </c>
      <c r="N16" s="7" t="inlineStr">
        <is>
          <t>↔</t>
        </is>
      </c>
      <c r="O16" s="7" t="inlineStr">
        <is>
          <t>↑</t>
        </is>
      </c>
      <c r="P16" s="7" t="inlineStr">
        <is>
          <t>↑</t>
        </is>
      </c>
      <c r="Q16" s="7" t="inlineStr">
        <is>
          <t>↑</t>
        </is>
      </c>
      <c r="R16" s="7" t="inlineStr">
        <is>
          <t>↔</t>
        </is>
      </c>
      <c r="S16" s="3" t="inlineStr">
        <is>
          <t>Strong → growth+, can delay cuts</t>
        </is>
      </c>
      <c r="T16" s="3" t="inlineStr">
        <is>
          <t>Control group and autos/gas swings matter</t>
        </is>
      </c>
      <c r="U16" s="7" t="inlineStr">
        <is>
          <t>High</t>
        </is>
      </c>
      <c r="V16" s="3" t="inlineStr">
        <is>
          <t>Consumer resilience keeps the Fed cautious.</t>
        </is>
      </c>
    </row>
    <row r="17" ht="46" customHeight="1">
      <c r="A17" s="5" t="inlineStr">
        <is>
          <t>US Growth</t>
        </is>
      </c>
      <c r="B17" s="6" t="inlineStr">
        <is>
          <t>ISM Manufacturing</t>
        </is>
      </c>
      <c r="C17" s="7" t="inlineStr">
        <is>
          <t>US</t>
        </is>
      </c>
      <c r="D17" s="3" t="inlineStr">
        <is>
          <t>factory activity (&gt;50 = expansion)</t>
        </is>
      </c>
      <c r="E17" s="3" t="inlineStr">
        <is>
          <t>a leading cyclical gauge</t>
        </is>
      </c>
      <c r="F17" s="3" t="inlineStr">
        <is>
          <t>expansion, risk-on</t>
        </is>
      </c>
      <c r="G17" s="3" t="inlineStr">
        <is>
          <t>contraction, growth fear</t>
        </is>
      </c>
      <c r="H17" s="7" t="inlineStr">
        <is>
          <t>↑</t>
        </is>
      </c>
      <c r="I17" s="7" t="inlineStr">
        <is>
          <t>↑</t>
        </is>
      </c>
      <c r="J17" s="7" t="inlineStr">
        <is>
          <t>Mixed</t>
        </is>
      </c>
      <c r="K17" s="7" t="inlineStr">
        <is>
          <t>↑</t>
        </is>
      </c>
      <c r="L17" s="7" t="inlineStr">
        <is>
          <t>↑</t>
        </is>
      </c>
      <c r="M17" s="7" t="inlineStr">
        <is>
          <t>↓</t>
        </is>
      </c>
      <c r="N17" s="7" t="inlineStr">
        <is>
          <t>↔</t>
        </is>
      </c>
      <c r="O17" s="7" t="inlineStr">
        <is>
          <t>↑</t>
        </is>
      </c>
      <c r="P17" s="7" t="inlineStr">
        <is>
          <t>↑</t>
        </is>
      </c>
      <c r="Q17" s="7" t="inlineStr">
        <is>
          <t>↑</t>
        </is>
      </c>
      <c r="R17" s="7" t="inlineStr">
        <is>
          <t>↑</t>
        </is>
      </c>
      <c r="S17" s="3" t="inlineStr">
        <is>
          <t>Above 50 → risk-on; prices-paid = inflation tell</t>
        </is>
      </c>
      <c r="T17" s="3" t="inlineStr">
        <is>
          <t>Manufacturing is a small share of US GDP</t>
        </is>
      </c>
      <c r="U17" s="7" t="inlineStr">
        <is>
          <t>High</t>
        </is>
      </c>
      <c r="V17" s="3" t="inlineStr">
        <is>
          <t>The prices-paid sub-index previews goods inflation.</t>
        </is>
      </c>
    </row>
    <row r="18" ht="46" customHeight="1">
      <c r="A18" s="5" t="inlineStr">
        <is>
          <t>US Growth</t>
        </is>
      </c>
      <c r="B18" s="6" t="inlineStr">
        <is>
          <t>ISM Services</t>
        </is>
      </c>
      <c r="C18" s="7" t="inlineStr">
        <is>
          <t>US</t>
        </is>
      </c>
      <c r="D18" s="3" t="inlineStr">
        <is>
          <t>services activity (&gt;50 = expansion)</t>
        </is>
      </c>
      <c r="E18" s="3" t="inlineStr">
        <is>
          <t>services are ~70% of the US economy</t>
        </is>
      </c>
      <c r="F18" s="3" t="inlineStr">
        <is>
          <t>firm services, hawkish</t>
        </is>
      </c>
      <c r="G18" s="3" t="inlineStr">
        <is>
          <t>soft services, dovish</t>
        </is>
      </c>
      <c r="H18" s="7" t="inlineStr">
        <is>
          <t>↑</t>
        </is>
      </c>
      <c r="I18" s="7" t="inlineStr">
        <is>
          <t>↑</t>
        </is>
      </c>
      <c r="J18" s="7" t="inlineStr">
        <is>
          <t>Hawkish</t>
        </is>
      </c>
      <c r="K18" s="7" t="inlineStr">
        <is>
          <t>↑</t>
        </is>
      </c>
      <c r="L18" s="7" t="inlineStr">
        <is>
          <t>↑</t>
        </is>
      </c>
      <c r="M18" s="7" t="inlineStr">
        <is>
          <t>↓</t>
        </is>
      </c>
      <c r="N18" s="7" t="inlineStr">
        <is>
          <t>↔</t>
        </is>
      </c>
      <c r="O18" s="7" t="inlineStr">
        <is>
          <t>↑</t>
        </is>
      </c>
      <c r="P18" s="7" t="inlineStr">
        <is>
          <t>↑</t>
        </is>
      </c>
      <c r="Q18" s="7" t="inlineStr">
        <is>
          <t>↑</t>
        </is>
      </c>
      <c r="R18" s="7" t="inlineStr">
        <is>
          <t>↔</t>
        </is>
      </c>
      <c r="S18" s="3" t="inlineStr">
        <is>
          <t>Firm → hawkish, risk-on</t>
        </is>
      </c>
      <c r="T18" s="3" t="inlineStr">
        <is>
          <t>More important than manufacturing for the US cycle</t>
        </is>
      </c>
      <c r="U18" s="7" t="inlineStr">
        <is>
          <t>High</t>
        </is>
      </c>
      <c r="V18" s="3" t="inlineStr">
        <is>
          <t>The single best monthly read on the US cycle.</t>
        </is>
      </c>
    </row>
    <row r="19" ht="46" customHeight="1">
      <c r="A19" s="5" t="inlineStr">
        <is>
          <t>US Growth</t>
        </is>
      </c>
      <c r="B19" s="6" t="inlineStr">
        <is>
          <t>PMI Manufacturing</t>
        </is>
      </c>
      <c r="C19" s="7" t="inlineStr">
        <is>
          <t>US</t>
        </is>
      </c>
      <c r="D19" s="3" t="inlineStr">
        <is>
          <t>S&amp;P Global factory survey</t>
        </is>
      </c>
      <c r="E19" s="3" t="inlineStr">
        <is>
          <t>timely, globally comparable</t>
        </is>
      </c>
      <c r="F19" s="3" t="inlineStr">
        <is>
          <t>expansion, risk-on</t>
        </is>
      </c>
      <c r="G19" s="3" t="inlineStr">
        <is>
          <t>contraction, risk-off</t>
        </is>
      </c>
      <c r="H19" s="7" t="inlineStr">
        <is>
          <t>↑</t>
        </is>
      </c>
      <c r="I19" s="7" t="inlineStr">
        <is>
          <t>↑</t>
        </is>
      </c>
      <c r="J19" s="7" t="inlineStr">
        <is>
          <t>Mixed</t>
        </is>
      </c>
      <c r="K19" s="7" t="inlineStr">
        <is>
          <t>↑</t>
        </is>
      </c>
      <c r="L19" s="7" t="inlineStr">
        <is>
          <t>↑</t>
        </is>
      </c>
      <c r="M19" s="7" t="inlineStr">
        <is>
          <t>↓</t>
        </is>
      </c>
      <c r="N19" s="7" t="inlineStr">
        <is>
          <t>↔</t>
        </is>
      </c>
      <c r="O19" s="7" t="inlineStr">
        <is>
          <t>↔</t>
        </is>
      </c>
      <c r="P19" s="7" t="inlineStr">
        <is>
          <t>↑</t>
        </is>
      </c>
      <c r="Q19" s="7" t="inlineStr">
        <is>
          <t>↑</t>
        </is>
      </c>
      <c r="R19" s="7" t="inlineStr">
        <is>
          <t>↔</t>
        </is>
      </c>
      <c r="S19" s="3" t="inlineStr">
        <is>
          <t>Above 50 → risk-on</t>
        </is>
      </c>
      <c r="T19" s="3" t="inlineStr">
        <is>
          <t>Flash vs final; differs from ISM</t>
        </is>
      </c>
      <c r="U19" s="7" t="inlineStr">
        <is>
          <t>Medium</t>
        </is>
      </c>
      <c r="V19" s="3" t="inlineStr">
        <is>
          <t>Cross-country comparable cyclical read.</t>
        </is>
      </c>
    </row>
    <row r="20" ht="46" customHeight="1">
      <c r="A20" s="5" t="inlineStr">
        <is>
          <t>US Growth</t>
        </is>
      </c>
      <c r="B20" s="6" t="inlineStr">
        <is>
          <t>PMI Services</t>
        </is>
      </c>
      <c r="C20" s="7" t="inlineStr">
        <is>
          <t>US</t>
        </is>
      </c>
      <c r="D20" s="3" t="inlineStr">
        <is>
          <t>S&amp;P Global services survey</t>
        </is>
      </c>
      <c r="E20" s="3" t="inlineStr">
        <is>
          <t>broad private-sector activity</t>
        </is>
      </c>
      <c r="F20" s="3" t="inlineStr">
        <is>
          <t>expansion, risk-on</t>
        </is>
      </c>
      <c r="G20" s="3" t="inlineStr">
        <is>
          <t>contraction, risk-off</t>
        </is>
      </c>
      <c r="H20" s="7" t="inlineStr">
        <is>
          <t>↑</t>
        </is>
      </c>
      <c r="I20" s="7" t="inlineStr">
        <is>
          <t>↑</t>
        </is>
      </c>
      <c r="J20" s="7" t="inlineStr">
        <is>
          <t>Mixed</t>
        </is>
      </c>
      <c r="K20" s="7" t="inlineStr">
        <is>
          <t>↑</t>
        </is>
      </c>
      <c r="L20" s="7" t="inlineStr">
        <is>
          <t>↑</t>
        </is>
      </c>
      <c r="M20" s="7" t="inlineStr">
        <is>
          <t>↓</t>
        </is>
      </c>
      <c r="N20" s="7" t="inlineStr">
        <is>
          <t>↔</t>
        </is>
      </c>
      <c r="O20" s="7" t="inlineStr">
        <is>
          <t>↔</t>
        </is>
      </c>
      <c r="P20" s="7" t="inlineStr">
        <is>
          <t>↑</t>
        </is>
      </c>
      <c r="Q20" s="7" t="inlineStr">
        <is>
          <t>↑</t>
        </is>
      </c>
      <c r="R20" s="7" t="inlineStr">
        <is>
          <t>↔</t>
        </is>
      </c>
      <c r="S20" s="3" t="inlineStr">
        <is>
          <t>Above 50 → risk-on</t>
        </is>
      </c>
      <c r="T20" s="3" t="inlineStr">
        <is>
          <t>Flash vs final revisions</t>
        </is>
      </c>
      <c r="U20" s="7" t="inlineStr">
        <is>
          <t>Medium</t>
        </is>
      </c>
      <c r="V20" s="3" t="inlineStr">
        <is>
          <t>Confirms the services cycle.</t>
        </is>
      </c>
    </row>
    <row r="21" ht="46" customHeight="1">
      <c r="A21" s="5" t="inlineStr">
        <is>
          <t>US Growth</t>
        </is>
      </c>
      <c r="B21" s="6" t="inlineStr">
        <is>
          <t>Durable Goods Orders</t>
        </is>
      </c>
      <c r="C21" s="7" t="inlineStr">
        <is>
          <t>US</t>
        </is>
      </c>
      <c r="D21" s="3" t="inlineStr">
        <is>
          <t>orders for long-lived goods</t>
        </is>
      </c>
      <c r="E21" s="3" t="inlineStr">
        <is>
          <t>business investment gauge</t>
        </is>
      </c>
      <c r="F21" s="3" t="inlineStr">
        <is>
          <t>strong orders, growth+</t>
        </is>
      </c>
      <c r="G21" s="3" t="inlineStr">
        <is>
          <t>weak orders, slowdown</t>
        </is>
      </c>
      <c r="H21" s="7" t="inlineStr">
        <is>
          <t>↔</t>
        </is>
      </c>
      <c r="I21" s="7" t="inlineStr">
        <is>
          <t>↑</t>
        </is>
      </c>
      <c r="J21" s="7" t="inlineStr">
        <is>
          <t>Neutral</t>
        </is>
      </c>
      <c r="K21" s="7" t="inlineStr">
        <is>
          <t>↑</t>
        </is>
      </c>
      <c r="L21" s="7" t="inlineStr">
        <is>
          <t>↑</t>
        </is>
      </c>
      <c r="M21" s="7" t="inlineStr">
        <is>
          <t>↓</t>
        </is>
      </c>
      <c r="N21" s="7" t="inlineStr">
        <is>
          <t>↔</t>
        </is>
      </c>
      <c r="O21" s="7" t="inlineStr">
        <is>
          <t>↔</t>
        </is>
      </c>
      <c r="P21" s="7" t="inlineStr">
        <is>
          <t>↑</t>
        </is>
      </c>
      <c r="Q21" s="7" t="inlineStr">
        <is>
          <t>↔</t>
        </is>
      </c>
      <c r="R21" s="7" t="inlineStr">
        <is>
          <t>↔</t>
        </is>
      </c>
      <c r="S21" s="3" t="inlineStr">
        <is>
          <t>Strong → growth+</t>
        </is>
      </c>
      <c r="T21" s="3" t="inlineStr">
        <is>
          <t>Aircraft makes it lumpy; watch ex-transport</t>
        </is>
      </c>
      <c r="U21" s="7" t="inlineStr">
        <is>
          <t>Low</t>
        </is>
      </c>
      <c r="V21" s="3" t="inlineStr">
        <is>
          <t>Ex-transport core capex is the signal.</t>
        </is>
      </c>
    </row>
    <row r="22" ht="46" customHeight="1">
      <c r="A22" s="5" t="inlineStr">
        <is>
          <t>US Growth</t>
        </is>
      </c>
      <c r="B22" s="6" t="inlineStr">
        <is>
          <t>Factory Orders</t>
        </is>
      </c>
      <c r="C22" s="7" t="inlineStr">
        <is>
          <t>US</t>
        </is>
      </c>
      <c r="D22" s="3" t="inlineStr">
        <is>
          <t>new orders at US factories</t>
        </is>
      </c>
      <c r="E22" s="3" t="inlineStr">
        <is>
          <t>forward demand for goods</t>
        </is>
      </c>
      <c r="F22" s="3" t="inlineStr">
        <is>
          <t>strong, growth+</t>
        </is>
      </c>
      <c r="G22" s="3" t="inlineStr">
        <is>
          <t>weak, slowdown</t>
        </is>
      </c>
      <c r="H22" s="7" t="inlineStr">
        <is>
          <t>↔</t>
        </is>
      </c>
      <c r="I22" s="7" t="inlineStr">
        <is>
          <t>↑</t>
        </is>
      </c>
      <c r="J22" s="7" t="inlineStr">
        <is>
          <t>Neutral</t>
        </is>
      </c>
      <c r="K22" s="7" t="inlineStr">
        <is>
          <t>↔</t>
        </is>
      </c>
      <c r="L22" s="7" t="inlineStr">
        <is>
          <t>↑</t>
        </is>
      </c>
      <c r="M22" s="7" t="inlineStr">
        <is>
          <t>↓</t>
        </is>
      </c>
      <c r="N22" s="7" t="inlineStr">
        <is>
          <t>↔</t>
        </is>
      </c>
      <c r="O22" s="7" t="inlineStr">
        <is>
          <t>↔</t>
        </is>
      </c>
      <c r="P22" s="7" t="inlineStr">
        <is>
          <t>↑</t>
        </is>
      </c>
      <c r="Q22" s="7" t="inlineStr">
        <is>
          <t>↔</t>
        </is>
      </c>
      <c r="R22" s="7" t="inlineStr">
        <is>
          <t>↔</t>
        </is>
      </c>
      <c r="S22" s="3" t="inlineStr">
        <is>
          <t>Strong → mild growth+</t>
        </is>
      </c>
      <c r="T22" s="3" t="inlineStr">
        <is>
          <t>Lagging and volatile</t>
        </is>
      </c>
      <c r="U22" s="7" t="inlineStr">
        <is>
          <t>Low</t>
        </is>
      </c>
      <c r="V22" s="3" t="inlineStr">
        <is>
          <t>Secondary confirmation of manufacturing demand.</t>
        </is>
      </c>
    </row>
    <row r="23" ht="46" customHeight="1">
      <c r="A23" s="5" t="inlineStr">
        <is>
          <t>US Growth</t>
        </is>
      </c>
      <c r="B23" s="6" t="inlineStr">
        <is>
          <t>Personal Income</t>
        </is>
      </c>
      <c r="C23" s="7" t="inlineStr">
        <is>
          <t>US</t>
        </is>
      </c>
      <c r="D23" s="3" t="inlineStr">
        <is>
          <t>household income</t>
        </is>
      </c>
      <c r="E23" s="3" t="inlineStr">
        <is>
          <t>fuel for future spending</t>
        </is>
      </c>
      <c r="F23" s="3" t="inlineStr">
        <is>
          <t>rising income, growth+</t>
        </is>
      </c>
      <c r="G23" s="3" t="inlineStr">
        <is>
          <t>falling income, growth-</t>
        </is>
      </c>
      <c r="H23" s="7" t="inlineStr">
        <is>
          <t>↔</t>
        </is>
      </c>
      <c r="I23" s="7" t="inlineStr">
        <is>
          <t>↑</t>
        </is>
      </c>
      <c r="J23" s="7" t="inlineStr">
        <is>
          <t>Neutral</t>
        </is>
      </c>
      <c r="K23" s="7" t="inlineStr">
        <is>
          <t>↔</t>
        </is>
      </c>
      <c r="L23" s="7" t="inlineStr">
        <is>
          <t>↔</t>
        </is>
      </c>
      <c r="M23" s="7" t="inlineStr">
        <is>
          <t>↔</t>
        </is>
      </c>
      <c r="N23" s="7" t="inlineStr">
        <is>
          <t>↔</t>
        </is>
      </c>
      <c r="O23" s="7" t="inlineStr">
        <is>
          <t>↔</t>
        </is>
      </c>
      <c r="P23" s="7" t="inlineStr">
        <is>
          <t>↑</t>
        </is>
      </c>
      <c r="Q23" s="7" t="inlineStr">
        <is>
          <t>↔</t>
        </is>
      </c>
      <c r="R23" s="7" t="inlineStr">
        <is>
          <t>↔</t>
        </is>
      </c>
      <c r="S23" s="3" t="inlineStr">
        <is>
          <t>Rising → supports spending</t>
        </is>
      </c>
      <c r="T23" s="3" t="inlineStr">
        <is>
          <t>Transfer payments can distort</t>
        </is>
      </c>
      <c r="U23" s="7" t="inlineStr">
        <is>
          <t>Low</t>
        </is>
      </c>
      <c r="V23" s="3" t="inlineStr">
        <is>
          <t>Feeds the spending/savings picture.</t>
        </is>
      </c>
    </row>
    <row r="24" ht="46" customHeight="1">
      <c r="A24" s="5" t="inlineStr">
        <is>
          <t>US Growth</t>
        </is>
      </c>
      <c r="B24" s="6" t="inlineStr">
        <is>
          <t>Personal Spending</t>
        </is>
      </c>
      <c r="C24" s="7" t="inlineStr">
        <is>
          <t>US</t>
        </is>
      </c>
      <c r="D24" s="3" t="inlineStr">
        <is>
          <t>household consumption</t>
        </is>
      </c>
      <c r="E24" s="3" t="inlineStr">
        <is>
          <t>the demand side of the economy</t>
        </is>
      </c>
      <c r="F24" s="3" t="inlineStr">
        <is>
          <t>strong spending, growth+</t>
        </is>
      </c>
      <c r="G24" s="3" t="inlineStr">
        <is>
          <t>weak spending, growth-</t>
        </is>
      </c>
      <c r="H24" s="7" t="inlineStr">
        <is>
          <t>↑</t>
        </is>
      </c>
      <c r="I24" s="7" t="inlineStr">
        <is>
          <t>↑</t>
        </is>
      </c>
      <c r="J24" s="7" t="inlineStr">
        <is>
          <t>Mixed</t>
        </is>
      </c>
      <c r="K24" s="7" t="inlineStr">
        <is>
          <t>↑</t>
        </is>
      </c>
      <c r="L24" s="7" t="inlineStr">
        <is>
          <t>↑</t>
        </is>
      </c>
      <c r="M24" s="7" t="inlineStr">
        <is>
          <t>↓</t>
        </is>
      </c>
      <c r="N24" s="7" t="inlineStr">
        <is>
          <t>↔</t>
        </is>
      </c>
      <c r="O24" s="7" t="inlineStr">
        <is>
          <t>↔</t>
        </is>
      </c>
      <c r="P24" s="7" t="inlineStr">
        <is>
          <t>↑</t>
        </is>
      </c>
      <c r="Q24" s="7" t="inlineStr">
        <is>
          <t>↔</t>
        </is>
      </c>
      <c r="R24" s="7" t="inlineStr">
        <is>
          <t>↔</t>
        </is>
      </c>
      <c r="S24" s="3" t="inlineStr">
        <is>
          <t>Strong → growth+, mildly hawkish</t>
        </is>
      </c>
      <c r="T24" s="3" t="inlineStr">
        <is>
          <t>Paired with the PCE price data</t>
        </is>
      </c>
      <c r="U24" s="7" t="inlineStr">
        <is>
          <t>Medium</t>
        </is>
      </c>
      <c r="V24" s="3" t="inlineStr">
        <is>
          <t>Real spending drives GDP nowcasts.</t>
        </is>
      </c>
    </row>
    <row r="25" ht="46" customHeight="1">
      <c r="A25" s="5" t="inlineStr">
        <is>
          <t>US Sentiment</t>
        </is>
      </c>
      <c r="B25" s="6" t="inlineStr">
        <is>
          <t>Consumer Confidence</t>
        </is>
      </c>
      <c r="C25" s="7" t="inlineStr">
        <is>
          <t>US</t>
        </is>
      </c>
      <c r="D25" s="3" t="inlineStr">
        <is>
          <t>Conference Board household sentiment</t>
        </is>
      </c>
      <c r="E25" s="3" t="inlineStr">
        <is>
          <t>leading indicator of spending</t>
        </is>
      </c>
      <c r="F25" s="3" t="inlineStr">
        <is>
          <t>confident, growth+</t>
        </is>
      </c>
      <c r="G25" s="3" t="inlineStr">
        <is>
          <t>worried, growth-</t>
        </is>
      </c>
      <c r="H25" s="7" t="inlineStr">
        <is>
          <t>↔</t>
        </is>
      </c>
      <c r="I25" s="7" t="inlineStr">
        <is>
          <t>↑</t>
        </is>
      </c>
      <c r="J25" s="7" t="inlineStr">
        <is>
          <t>Neutral</t>
        </is>
      </c>
      <c r="K25" s="7" t="inlineStr">
        <is>
          <t>↔</t>
        </is>
      </c>
      <c r="L25" s="7" t="inlineStr">
        <is>
          <t>↔</t>
        </is>
      </c>
      <c r="M25" s="7" t="inlineStr">
        <is>
          <t>↔</t>
        </is>
      </c>
      <c r="N25" s="7" t="inlineStr">
        <is>
          <t>↔</t>
        </is>
      </c>
      <c r="O25" s="7" t="inlineStr">
        <is>
          <t>↔</t>
        </is>
      </c>
      <c r="P25" s="7" t="inlineStr">
        <is>
          <t>↑</t>
        </is>
      </c>
      <c r="Q25" s="7" t="inlineStr">
        <is>
          <t>↔</t>
        </is>
      </c>
      <c r="R25" s="7" t="inlineStr">
        <is>
          <t>↔</t>
        </is>
      </c>
      <c r="S25" s="3" t="inlineStr">
        <is>
          <t>Higher → mild growth+</t>
        </is>
      </c>
      <c r="T25" s="3" t="inlineStr">
        <is>
          <t>Labor-differential sub-index is useful</t>
        </is>
      </c>
      <c r="U25" s="7" t="inlineStr">
        <is>
          <t>Medium</t>
        </is>
      </c>
      <c r="V25" s="3" t="inlineStr">
        <is>
          <t>Sentiment and spending can diverge.</t>
        </is>
      </c>
    </row>
    <row r="26" ht="46" customHeight="1">
      <c r="A26" s="5" t="inlineStr">
        <is>
          <t>US Sentiment</t>
        </is>
      </c>
      <c r="B26" s="6" t="inlineStr">
        <is>
          <t>UMich Sentiment</t>
        </is>
      </c>
      <c r="C26" s="7" t="inlineStr">
        <is>
          <t>US</t>
        </is>
      </c>
      <c r="D26" s="3" t="inlineStr">
        <is>
          <t>University of Michigan survey</t>
        </is>
      </c>
      <c r="E26" s="3" t="inlineStr">
        <is>
          <t>sentiment plus inflation expectations</t>
        </is>
      </c>
      <c r="F26" s="3" t="inlineStr">
        <is>
          <t>higher confidence, growth+</t>
        </is>
      </c>
      <c r="G26" s="3" t="inlineStr">
        <is>
          <t>lower, growth-</t>
        </is>
      </c>
      <c r="H26" s="7" t="inlineStr">
        <is>
          <t>Mixed</t>
        </is>
      </c>
      <c r="I26" s="7" t="inlineStr">
        <is>
          <t>↑</t>
        </is>
      </c>
      <c r="J26" s="7" t="inlineStr">
        <is>
          <t>Neutral</t>
        </is>
      </c>
      <c r="K26" s="7" t="inlineStr">
        <is>
          <t>↔</t>
        </is>
      </c>
      <c r="L26" s="7" t="inlineStr">
        <is>
          <t>↔</t>
        </is>
      </c>
      <c r="M26" s="7" t="inlineStr">
        <is>
          <t>↔</t>
        </is>
      </c>
      <c r="N26" s="7" t="inlineStr">
        <is>
          <t>↔</t>
        </is>
      </c>
      <c r="O26" s="7" t="inlineStr">
        <is>
          <t>↔</t>
        </is>
      </c>
      <c r="P26" s="7" t="inlineStr">
        <is>
          <t>↑</t>
        </is>
      </c>
      <c r="Q26" s="7" t="inlineStr">
        <is>
          <t>↔</t>
        </is>
      </c>
      <c r="R26" s="7" t="inlineStr">
        <is>
          <t>↔</t>
        </is>
      </c>
      <c r="S26" s="3" t="inlineStr">
        <is>
          <t>Watch the inflation-expectations sub-index</t>
        </is>
      </c>
      <c r="T26" s="3" t="inlineStr">
        <is>
          <t>Politics can skew the headline</t>
        </is>
      </c>
      <c r="U26" s="7" t="inlineStr">
        <is>
          <t>Medium</t>
        </is>
      </c>
      <c r="V26" s="3" t="inlineStr">
        <is>
          <t>The expectations component moves the Fed more than the mood.</t>
        </is>
      </c>
    </row>
    <row r="27" ht="46" customHeight="1">
      <c r="A27" s="5" t="inlineStr">
        <is>
          <t>US Housing</t>
        </is>
      </c>
      <c r="B27" s="6" t="inlineStr">
        <is>
          <t>Housing Starts</t>
        </is>
      </c>
      <c r="C27" s="7" t="inlineStr">
        <is>
          <t>US</t>
        </is>
      </c>
      <c r="D27" s="3" t="inlineStr">
        <is>
          <t>new residential construction begun</t>
        </is>
      </c>
      <c r="E27" s="3" t="inlineStr">
        <is>
          <t>rate-sensitive cyclical</t>
        </is>
      </c>
      <c r="F27" s="3" t="inlineStr">
        <is>
          <t>more building, growth+</t>
        </is>
      </c>
      <c r="G27" s="3" t="inlineStr">
        <is>
          <t>fewer, slowdown</t>
        </is>
      </c>
      <c r="H27" s="7" t="inlineStr">
        <is>
          <t>↔</t>
        </is>
      </c>
      <c r="I27" s="7" t="inlineStr">
        <is>
          <t>↑</t>
        </is>
      </c>
      <c r="J27" s="7" t="inlineStr">
        <is>
          <t>Neutral</t>
        </is>
      </c>
      <c r="K27" s="7" t="inlineStr">
        <is>
          <t>↔</t>
        </is>
      </c>
      <c r="L27" s="7" t="inlineStr">
        <is>
          <t>↔</t>
        </is>
      </c>
      <c r="M27" s="7" t="inlineStr">
        <is>
          <t>↔</t>
        </is>
      </c>
      <c r="N27" s="7" t="inlineStr">
        <is>
          <t>↔</t>
        </is>
      </c>
      <c r="O27" s="7" t="inlineStr">
        <is>
          <t>↔</t>
        </is>
      </c>
      <c r="P27" s="7" t="inlineStr">
        <is>
          <t>↑</t>
        </is>
      </c>
      <c r="Q27" s="7" t="inlineStr">
        <is>
          <t>↔</t>
        </is>
      </c>
      <c r="R27" s="7" t="inlineStr">
        <is>
          <t>↔</t>
        </is>
      </c>
      <c r="S27" s="3" t="inlineStr">
        <is>
          <t>Higher → mild growth+</t>
        </is>
      </c>
      <c r="T27" s="3" t="inlineStr">
        <is>
          <t>Very sensitive to mortgage rates and weather</t>
        </is>
      </c>
      <c r="U27" s="7" t="inlineStr">
        <is>
          <t>Low</t>
        </is>
      </c>
      <c r="V27" s="3" t="inlineStr">
        <is>
          <t>An early read on rate transmission.</t>
        </is>
      </c>
    </row>
    <row r="28" ht="46" customHeight="1">
      <c r="A28" s="5" t="inlineStr">
        <is>
          <t>US Housing</t>
        </is>
      </c>
      <c r="B28" s="6" t="inlineStr">
        <is>
          <t>Building Permits</t>
        </is>
      </c>
      <c r="C28" s="7" t="inlineStr">
        <is>
          <t>US</t>
        </is>
      </c>
      <c r="D28" s="3" t="inlineStr">
        <is>
          <t>permits to build (forward pipeline)</t>
        </is>
      </c>
      <c r="E28" s="3" t="inlineStr">
        <is>
          <t>leads starts by a month or two</t>
        </is>
      </c>
      <c r="F28" s="3" t="inlineStr">
        <is>
          <t>more permits, growth+</t>
        </is>
      </c>
      <c r="G28" s="3" t="inlineStr">
        <is>
          <t>fewer, slowdown</t>
        </is>
      </c>
      <c r="H28" s="7" t="inlineStr">
        <is>
          <t>↔</t>
        </is>
      </c>
      <c r="I28" s="7" t="inlineStr">
        <is>
          <t>↑</t>
        </is>
      </c>
      <c r="J28" s="7" t="inlineStr">
        <is>
          <t>Neutral</t>
        </is>
      </c>
      <c r="K28" s="7" t="inlineStr">
        <is>
          <t>↔</t>
        </is>
      </c>
      <c r="L28" s="7" t="inlineStr">
        <is>
          <t>↔</t>
        </is>
      </c>
      <c r="M28" s="7" t="inlineStr">
        <is>
          <t>↔</t>
        </is>
      </c>
      <c r="N28" s="7" t="inlineStr">
        <is>
          <t>↔</t>
        </is>
      </c>
      <c r="O28" s="7" t="inlineStr">
        <is>
          <t>↔</t>
        </is>
      </c>
      <c r="P28" s="7" t="inlineStr">
        <is>
          <t>↑</t>
        </is>
      </c>
      <c r="Q28" s="7" t="inlineStr">
        <is>
          <t>↔</t>
        </is>
      </c>
      <c r="R28" s="7" t="inlineStr">
        <is>
          <t>↔</t>
        </is>
      </c>
      <c r="S28" s="3" t="inlineStr">
        <is>
          <t>Higher → forward growth+</t>
        </is>
      </c>
      <c r="T28" s="3" t="inlineStr">
        <is>
          <t>Leading vs starts</t>
        </is>
      </c>
      <c r="U28" s="7" t="inlineStr">
        <is>
          <t>Low</t>
        </is>
      </c>
      <c r="V28" s="3" t="inlineStr">
        <is>
          <t>Cleaner forward signal than starts.</t>
        </is>
      </c>
    </row>
    <row r="29" ht="46" customHeight="1">
      <c r="A29" s="5" t="inlineStr">
        <is>
          <t>US Housing</t>
        </is>
      </c>
      <c r="B29" s="6" t="inlineStr">
        <is>
          <t>Existing Home Sales</t>
        </is>
      </c>
      <c r="C29" s="7" t="inlineStr">
        <is>
          <t>US</t>
        </is>
      </c>
      <c r="D29" s="3" t="inlineStr">
        <is>
          <t>closed sales of existing homes</t>
        </is>
      </c>
      <c r="E29" s="3" t="inlineStr">
        <is>
          <t>~90% of the housing market</t>
        </is>
      </c>
      <c r="F29" s="3" t="inlineStr">
        <is>
          <t>strong sales, growth+</t>
        </is>
      </c>
      <c r="G29" s="3" t="inlineStr">
        <is>
          <t>weak sales, slowdown</t>
        </is>
      </c>
      <c r="H29" s="7" t="inlineStr">
        <is>
          <t>↔</t>
        </is>
      </c>
      <c r="I29" s="7" t="inlineStr">
        <is>
          <t>↑</t>
        </is>
      </c>
      <c r="J29" s="7" t="inlineStr">
        <is>
          <t>Neutral</t>
        </is>
      </c>
      <c r="K29" s="7" t="inlineStr">
        <is>
          <t>↔</t>
        </is>
      </c>
      <c r="L29" s="7" t="inlineStr">
        <is>
          <t>↔</t>
        </is>
      </c>
      <c r="M29" s="7" t="inlineStr">
        <is>
          <t>↔</t>
        </is>
      </c>
      <c r="N29" s="7" t="inlineStr">
        <is>
          <t>↔</t>
        </is>
      </c>
      <c r="O29" s="7" t="inlineStr">
        <is>
          <t>↔</t>
        </is>
      </c>
      <c r="P29" s="7" t="inlineStr">
        <is>
          <t>↔</t>
        </is>
      </c>
      <c r="Q29" s="7" t="inlineStr">
        <is>
          <t>↔</t>
        </is>
      </c>
      <c r="R29" s="7" t="inlineStr">
        <is>
          <t>↔</t>
        </is>
      </c>
      <c r="S29" s="3" t="inlineStr">
        <is>
          <t>Higher → growth+</t>
        </is>
      </c>
      <c r="T29" s="3" t="inlineStr">
        <is>
          <t>Rate-lock effect freezes supply</t>
        </is>
      </c>
      <c r="U29" s="7" t="inlineStr">
        <is>
          <t>Low</t>
        </is>
      </c>
      <c r="V29" s="3" t="inlineStr">
        <is>
          <t>Affordability and rates dominate.</t>
        </is>
      </c>
    </row>
    <row r="30" ht="46" customHeight="1">
      <c r="A30" s="5" t="inlineStr">
        <is>
          <t>US Housing</t>
        </is>
      </c>
      <c r="B30" s="6" t="inlineStr">
        <is>
          <t>New Home Sales</t>
        </is>
      </c>
      <c r="C30" s="7" t="inlineStr">
        <is>
          <t>US</t>
        </is>
      </c>
      <c r="D30" s="3" t="inlineStr">
        <is>
          <t>sales of newly built homes</t>
        </is>
      </c>
      <c r="E30" s="3" t="inlineStr">
        <is>
          <t>direct demand for construction</t>
        </is>
      </c>
      <c r="F30" s="3" t="inlineStr">
        <is>
          <t>strong, growth+</t>
        </is>
      </c>
      <c r="G30" s="3" t="inlineStr">
        <is>
          <t>weak, slowdown</t>
        </is>
      </c>
      <c r="H30" s="7" t="inlineStr">
        <is>
          <t>↔</t>
        </is>
      </c>
      <c r="I30" s="7" t="inlineStr">
        <is>
          <t>↑</t>
        </is>
      </c>
      <c r="J30" s="7" t="inlineStr">
        <is>
          <t>Neutral</t>
        </is>
      </c>
      <c r="K30" s="7" t="inlineStr">
        <is>
          <t>↔</t>
        </is>
      </c>
      <c r="L30" s="7" t="inlineStr">
        <is>
          <t>↔</t>
        </is>
      </c>
      <c r="M30" s="7" t="inlineStr">
        <is>
          <t>↔</t>
        </is>
      </c>
      <c r="N30" s="7" t="inlineStr">
        <is>
          <t>↔</t>
        </is>
      </c>
      <c r="O30" s="7" t="inlineStr">
        <is>
          <t>↔</t>
        </is>
      </c>
      <c r="P30" s="7" t="inlineStr">
        <is>
          <t>↔</t>
        </is>
      </c>
      <c r="Q30" s="7" t="inlineStr">
        <is>
          <t>↔</t>
        </is>
      </c>
      <c r="R30" s="7" t="inlineStr">
        <is>
          <t>↔</t>
        </is>
      </c>
      <c r="S30" s="3" t="inlineStr">
        <is>
          <t>Higher → growth+</t>
        </is>
      </c>
      <c r="T30" s="3" t="inlineStr">
        <is>
          <t>Small and volatile series</t>
        </is>
      </c>
      <c r="U30" s="7" t="inlineStr">
        <is>
          <t>Low</t>
        </is>
      </c>
      <c r="V30" s="3" t="inlineStr">
        <is>
          <t>Builder-sensitive; noisy month to month.</t>
        </is>
      </c>
    </row>
    <row r="31" ht="46" customHeight="1">
      <c r="A31" s="5" t="inlineStr">
        <is>
          <t>US External</t>
        </is>
      </c>
      <c r="B31" s="6" t="inlineStr">
        <is>
          <t>Trade Balance</t>
        </is>
      </c>
      <c r="C31" s="7" t="inlineStr">
        <is>
          <t>US</t>
        </is>
      </c>
      <c r="D31" s="3" t="inlineStr">
        <is>
          <t>exports minus imports</t>
        </is>
      </c>
      <c r="E31" s="3" t="inlineStr">
        <is>
          <t>growth composition and USD flows</t>
        </is>
      </c>
      <c r="F31" s="3" t="inlineStr">
        <is>
          <t>smaller deficit, mild USD+</t>
        </is>
      </c>
      <c r="G31" s="3" t="inlineStr">
        <is>
          <t>wider deficit, mild USD-</t>
        </is>
      </c>
      <c r="H31" s="7" t="inlineStr">
        <is>
          <t>↔</t>
        </is>
      </c>
      <c r="I31" s="7" t="inlineStr">
        <is>
          <t>↔</t>
        </is>
      </c>
      <c r="J31" s="7" t="inlineStr">
        <is>
          <t>Neutral</t>
        </is>
      </c>
      <c r="K31" s="7" t="inlineStr">
        <is>
          <t>Mixed</t>
        </is>
      </c>
      <c r="L31" s="7" t="inlineStr">
        <is>
          <t>↔</t>
        </is>
      </c>
      <c r="M31" s="7" t="inlineStr">
        <is>
          <t>↔</t>
        </is>
      </c>
      <c r="N31" s="7" t="inlineStr">
        <is>
          <t>↔</t>
        </is>
      </c>
      <c r="O31" s="7" t="inlineStr">
        <is>
          <t>↔</t>
        </is>
      </c>
      <c r="P31" s="7" t="inlineStr">
        <is>
          <t>↔</t>
        </is>
      </c>
      <c r="Q31" s="7" t="inlineStr">
        <is>
          <t>↔</t>
        </is>
      </c>
      <c r="R31" s="7" t="inlineStr">
        <is>
          <t>↔</t>
        </is>
      </c>
      <c r="S31" s="3" t="inlineStr">
        <is>
          <t>Wider deficit → mild USD headwind</t>
        </is>
      </c>
      <c r="T31" s="3" t="inlineStr">
        <is>
          <t>Usually a deficit; watch the trend</t>
        </is>
      </c>
      <c r="U31" s="7" t="inlineStr">
        <is>
          <t>Low</t>
        </is>
      </c>
      <c r="V31" s="3" t="inlineStr">
        <is>
          <t>Slow-moving; rarely a big mover.</t>
        </is>
      </c>
    </row>
    <row r="32" ht="46" customHeight="1">
      <c r="A32" s="5" t="inlineStr">
        <is>
          <t>US Fiscal</t>
        </is>
      </c>
      <c r="B32" s="6" t="inlineStr">
        <is>
          <t>Fiscal Deficit</t>
        </is>
      </c>
      <c r="C32" s="7" t="inlineStr">
        <is>
          <t>US</t>
        </is>
      </c>
      <c r="D32" s="3" t="inlineStr">
        <is>
          <t>government spending minus revenue</t>
        </is>
      </c>
      <c r="E32" s="3" t="inlineStr">
        <is>
          <t>Treasury supply and term premium</t>
        </is>
      </c>
      <c r="F32" s="3" t="inlineStr">
        <is>
          <t>bigger deficit → more bond supply, yields up</t>
        </is>
      </c>
      <c r="G32" s="3" t="inlineStr">
        <is>
          <t>smaller deficit → supportive for bonds</t>
        </is>
      </c>
      <c r="H32" s="7" t="inlineStr">
        <is>
          <t>↑</t>
        </is>
      </c>
      <c r="I32" s="7" t="inlineStr">
        <is>
          <t>↔</t>
        </is>
      </c>
      <c r="J32" s="7" t="inlineStr">
        <is>
          <t>Neutral</t>
        </is>
      </c>
      <c r="K32" s="7" t="inlineStr">
        <is>
          <t>Mixed</t>
        </is>
      </c>
      <c r="L32" s="7" t="inlineStr">
        <is>
          <t>↑</t>
        </is>
      </c>
      <c r="M32" s="7" t="inlineStr">
        <is>
          <t>↓</t>
        </is>
      </c>
      <c r="N32" s="7" t="inlineStr">
        <is>
          <t>↑</t>
        </is>
      </c>
      <c r="O32" s="7" t="inlineStr">
        <is>
          <t>↔</t>
        </is>
      </c>
      <c r="P32" s="7" t="inlineStr">
        <is>
          <t>↔</t>
        </is>
      </c>
      <c r="Q32" s="7" t="inlineStr">
        <is>
          <t>↔</t>
        </is>
      </c>
      <c r="R32" s="7" t="inlineStr">
        <is>
          <t>↔</t>
        </is>
      </c>
      <c r="S32" s="3" t="inlineStr">
        <is>
          <t>Wider deficit → higher term premium, bonds down</t>
        </is>
      </c>
      <c r="T32" s="3" t="inlineStr">
        <is>
          <t>Seasonal; watch the 12-month trend</t>
        </is>
      </c>
      <c r="U32" s="7" t="inlineStr">
        <is>
          <t>Medium</t>
        </is>
      </c>
      <c r="V32" s="3" t="inlineStr">
        <is>
          <t>Supply is a growing driver of long-end yields.</t>
        </is>
      </c>
    </row>
    <row r="33" ht="46" customHeight="1">
      <c r="A33" s="5" t="inlineStr">
        <is>
          <t>US Fiscal</t>
        </is>
      </c>
      <c r="B33" s="6" t="inlineStr">
        <is>
          <t>Treasury Auctions</t>
        </is>
      </c>
      <c r="C33" s="7" t="inlineStr">
        <is>
          <t>US</t>
        </is>
      </c>
      <c r="D33" s="3" t="inlineStr">
        <is>
          <t>government bond issuance events</t>
        </is>
      </c>
      <c r="E33" s="3" t="inlineStr">
        <is>
          <t>gauge of demand for US debt</t>
        </is>
      </c>
      <c r="F33" s="3" t="inlineStr">
        <is>
          <t>strong demand (low tail) → bonds up</t>
        </is>
      </c>
      <c r="G33" s="3" t="inlineStr">
        <is>
          <t>weak demand (big tail) → bonds down, yields up</t>
        </is>
      </c>
      <c r="H33" s="7" t="inlineStr">
        <is>
          <t>↔</t>
        </is>
      </c>
      <c r="I33" s="7" t="inlineStr">
        <is>
          <t>↔</t>
        </is>
      </c>
      <c r="J33" s="7" t="inlineStr">
        <is>
          <t>Neutral</t>
        </is>
      </c>
      <c r="K33" s="7" t="inlineStr">
        <is>
          <t>Mixed</t>
        </is>
      </c>
      <c r="L33" s="7" t="inlineStr">
        <is>
          <t>Mixed</t>
        </is>
      </c>
      <c r="M33" s="7" t="inlineStr">
        <is>
          <t>Mixed</t>
        </is>
      </c>
      <c r="N33" s="7" t="inlineStr">
        <is>
          <t>↔</t>
        </is>
      </c>
      <c r="O33" s="7" t="inlineStr">
        <is>
          <t>↔</t>
        </is>
      </c>
      <c r="P33" s="7" t="inlineStr">
        <is>
          <t>Mixed</t>
        </is>
      </c>
      <c r="Q33" s="7" t="inlineStr">
        <is>
          <t>↔</t>
        </is>
      </c>
      <c r="R33" s="7" t="inlineStr">
        <is>
          <t>↔</t>
        </is>
      </c>
      <c r="S33" s="3" t="inlineStr">
        <is>
          <t>Weak auction → yields up, risk-off</t>
        </is>
      </c>
      <c r="T33" s="3" t="inlineStr">
        <is>
          <t>Watch bid-to-cover, tails, indirect bidders</t>
        </is>
      </c>
      <c r="U33" s="7" t="inlineStr">
        <is>
          <t>Medium</t>
        </is>
      </c>
      <c r="V33" s="3" t="inlineStr">
        <is>
          <t>Poor long-end auctions can spook risk assets.</t>
        </is>
      </c>
    </row>
    <row r="34" ht="46" customHeight="1">
      <c r="A34" s="5" t="inlineStr">
        <is>
          <t>US Fed</t>
        </is>
      </c>
      <c r="B34" s="6" t="inlineStr">
        <is>
          <t>FOMC Decision</t>
        </is>
      </c>
      <c r="C34" s="7" t="inlineStr">
        <is>
          <t>US</t>
        </is>
      </c>
      <c r="D34" s="3" t="inlineStr">
        <is>
          <t>the rate decision and statement</t>
        </is>
      </c>
      <c r="E34" s="3" t="inlineStr">
        <is>
          <t>sets the policy rate and tone</t>
        </is>
      </c>
      <c r="F34" s="3" t="inlineStr">
        <is>
          <t>hawkish surprise → tightening</t>
        </is>
      </c>
      <c r="G34" s="3" t="inlineStr">
        <is>
          <t>dovish surprise → easing</t>
        </is>
      </c>
      <c r="H34" s="7" t="inlineStr">
        <is>
          <t>↔</t>
        </is>
      </c>
      <c r="I34" s="7" t="inlineStr">
        <is>
          <t>↔</t>
        </is>
      </c>
      <c r="J34" s="7" t="inlineStr">
        <is>
          <t>Mixed</t>
        </is>
      </c>
      <c r="K34" s="7" t="inlineStr">
        <is>
          <t>↑</t>
        </is>
      </c>
      <c r="L34" s="7" t="inlineStr">
        <is>
          <t>↑</t>
        </is>
      </c>
      <c r="M34" s="7" t="inlineStr">
        <is>
          <t>↓</t>
        </is>
      </c>
      <c r="N34" s="7" t="inlineStr">
        <is>
          <t>↓</t>
        </is>
      </c>
      <c r="O34" s="7" t="inlineStr">
        <is>
          <t>↔</t>
        </is>
      </c>
      <c r="P34" s="7" t="inlineStr">
        <is>
          <t>↓</t>
        </is>
      </c>
      <c r="Q34" s="7" t="inlineStr">
        <is>
          <t>↓</t>
        </is>
      </c>
      <c r="R34" s="7" t="inlineStr">
        <is>
          <t>↔</t>
        </is>
      </c>
      <c r="S34" s="3" t="inlineStr">
        <is>
          <t>Hawkish → USD &amp; yields up, equities down</t>
        </is>
      </c>
      <c r="T34" s="3" t="inlineStr">
        <is>
          <t>The statement wording matters as much as the rate</t>
        </is>
      </c>
      <c r="U34" s="7" t="inlineStr">
        <is>
          <t>High</t>
        </is>
      </c>
      <c r="V34" s="3" t="inlineStr">
        <is>
          <t>The main scheduled policy event.</t>
        </is>
      </c>
    </row>
    <row r="35" ht="46" customHeight="1">
      <c r="A35" s="5" t="inlineStr">
        <is>
          <t>US Fed</t>
        </is>
      </c>
      <c r="B35" s="6" t="inlineStr">
        <is>
          <t>Dot Plot</t>
        </is>
      </c>
      <c r="C35" s="7" t="inlineStr">
        <is>
          <t>US</t>
        </is>
      </c>
      <c r="D35" s="3" t="inlineStr">
        <is>
          <t>FOMC members' rate projections</t>
        </is>
      </c>
      <c r="E35" s="3" t="inlineStr">
        <is>
          <t>signals the expected policy path</t>
        </is>
      </c>
      <c r="F35" s="3" t="inlineStr">
        <is>
          <t>higher dots → hawkish</t>
        </is>
      </c>
      <c r="G35" s="3" t="inlineStr">
        <is>
          <t>lower dots → dovish</t>
        </is>
      </c>
      <c r="H35" s="7" t="inlineStr">
        <is>
          <t>↔</t>
        </is>
      </c>
      <c r="I35" s="7" t="inlineStr">
        <is>
          <t>↔</t>
        </is>
      </c>
      <c r="J35" s="7" t="inlineStr">
        <is>
          <t>Mixed</t>
        </is>
      </c>
      <c r="K35" s="7" t="inlineStr">
        <is>
          <t>↑</t>
        </is>
      </c>
      <c r="L35" s="7" t="inlineStr">
        <is>
          <t>↑</t>
        </is>
      </c>
      <c r="M35" s="7" t="inlineStr">
        <is>
          <t>↓</t>
        </is>
      </c>
      <c r="N35" s="7" t="inlineStr">
        <is>
          <t>↓</t>
        </is>
      </c>
      <c r="O35" s="7" t="inlineStr">
        <is>
          <t>↔</t>
        </is>
      </c>
      <c r="P35" s="7" t="inlineStr">
        <is>
          <t>↓</t>
        </is>
      </c>
      <c r="Q35" s="7" t="inlineStr">
        <is>
          <t>↔</t>
        </is>
      </c>
      <c r="R35" s="7" t="inlineStr">
        <is>
          <t>↔</t>
        </is>
      </c>
      <c r="S35" s="3" t="inlineStr">
        <is>
          <t>Higher dots → repricing of cuts, risk-off</t>
        </is>
      </c>
      <c r="T35" s="3" t="inlineStr">
        <is>
          <t>It is a projection, not a promise</t>
        </is>
      </c>
      <c r="U35" s="7" t="inlineStr">
        <is>
          <t>High</t>
        </is>
      </c>
      <c r="V35" s="3" t="inlineStr">
        <is>
          <t>Shifts the whole curve when it moves.</t>
        </is>
      </c>
    </row>
    <row r="36" ht="46" customHeight="1">
      <c r="A36" s="5" t="inlineStr">
        <is>
          <t>US Fed</t>
        </is>
      </c>
      <c r="B36" s="6" t="inlineStr">
        <is>
          <t>Fed Minutes</t>
        </is>
      </c>
      <c r="C36" s="7" t="inlineStr">
        <is>
          <t>US</t>
        </is>
      </c>
      <c r="D36" s="3" t="inlineStr">
        <is>
          <t>detailed record of the FOMC meeting</t>
        </is>
      </c>
      <c r="E36" s="3" t="inlineStr">
        <is>
          <t>colour on the debate and risks</t>
        </is>
      </c>
      <c r="F36" s="3" t="inlineStr">
        <is>
          <t>hawkish tone → tightening bias</t>
        </is>
      </c>
      <c r="G36" s="3" t="inlineStr">
        <is>
          <t>dovish tone → easing bias</t>
        </is>
      </c>
      <c r="H36" s="7" t="inlineStr">
        <is>
          <t>↔</t>
        </is>
      </c>
      <c r="I36" s="7" t="inlineStr">
        <is>
          <t>↔</t>
        </is>
      </c>
      <c r="J36" s="7" t="inlineStr">
        <is>
          <t>Mixed</t>
        </is>
      </c>
      <c r="K36" s="7" t="inlineStr">
        <is>
          <t>↑</t>
        </is>
      </c>
      <c r="L36" s="7" t="inlineStr">
        <is>
          <t>↑</t>
        </is>
      </c>
      <c r="M36" s="7" t="inlineStr">
        <is>
          <t>↓</t>
        </is>
      </c>
      <c r="N36" s="7" t="inlineStr">
        <is>
          <t>↔</t>
        </is>
      </c>
      <c r="O36" s="7" t="inlineStr">
        <is>
          <t>↔</t>
        </is>
      </c>
      <c r="P36" s="7" t="inlineStr">
        <is>
          <t>Mixed</t>
        </is>
      </c>
      <c r="Q36" s="7" t="inlineStr">
        <is>
          <t>↔</t>
        </is>
      </c>
      <c r="R36" s="7" t="inlineStr">
        <is>
          <t>↔</t>
        </is>
      </c>
      <c r="S36" s="3" t="inlineStr">
        <is>
          <t>Hawkish minutes → yields up</t>
        </is>
      </c>
      <c r="T36" s="3" t="inlineStr">
        <is>
          <t>3 weeks old; can be stale vs newer data</t>
        </is>
      </c>
      <c r="U36" s="7" t="inlineStr">
        <is>
          <t>Medium</t>
        </is>
      </c>
      <c r="V36" s="3" t="inlineStr">
        <is>
          <t>Watch for split/consensus language.</t>
        </is>
      </c>
    </row>
    <row r="37" ht="46" customHeight="1">
      <c r="A37" s="5" t="inlineStr">
        <is>
          <t>US Fed</t>
        </is>
      </c>
      <c r="B37" s="6" t="inlineStr">
        <is>
          <t>Fed Speeches</t>
        </is>
      </c>
      <c r="C37" s="7" t="inlineStr">
        <is>
          <t>US</t>
        </is>
      </c>
      <c r="D37" s="3" t="inlineStr">
        <is>
          <t>public remarks by Fed officials</t>
        </is>
      </c>
      <c r="E37" s="3" t="inlineStr">
        <is>
          <t>real-time policy guidance between meetings</t>
        </is>
      </c>
      <c r="F37" s="3" t="inlineStr">
        <is>
          <t>hawkish comments → tightening</t>
        </is>
      </c>
      <c r="G37" s="3" t="inlineStr">
        <is>
          <t>dovish comments → easing</t>
        </is>
      </c>
      <c r="H37" s="7" t="inlineStr">
        <is>
          <t>↔</t>
        </is>
      </c>
      <c r="I37" s="7" t="inlineStr">
        <is>
          <t>↔</t>
        </is>
      </c>
      <c r="J37" s="7" t="inlineStr">
        <is>
          <t>Mixed</t>
        </is>
      </c>
      <c r="K37" s="7" t="inlineStr">
        <is>
          <t>↑</t>
        </is>
      </c>
      <c r="L37" s="7" t="inlineStr">
        <is>
          <t>↑</t>
        </is>
      </c>
      <c r="M37" s="7" t="inlineStr">
        <is>
          <t>↓</t>
        </is>
      </c>
      <c r="N37" s="7" t="inlineStr">
        <is>
          <t>↔</t>
        </is>
      </c>
      <c r="O37" s="7" t="inlineStr">
        <is>
          <t>↔</t>
        </is>
      </c>
      <c r="P37" s="7" t="inlineStr">
        <is>
          <t>Mixed</t>
        </is>
      </c>
      <c r="Q37" s="7" t="inlineStr">
        <is>
          <t>↔</t>
        </is>
      </c>
      <c r="R37" s="7" t="inlineStr">
        <is>
          <t>↔</t>
        </is>
      </c>
      <c r="S37" s="3" t="inlineStr">
        <is>
          <t>Chair/known voters move markets most</t>
        </is>
      </c>
      <c r="T37" s="3" t="inlineStr">
        <is>
          <t>Distinguish voters from non-voters; hawks from doves</t>
        </is>
      </c>
      <c r="U37" s="7" t="inlineStr">
        <is>
          <t>Medium</t>
        </is>
      </c>
      <c r="V37" s="3" t="inlineStr">
        <is>
          <t>Can reprice the front end intraday.</t>
        </is>
      </c>
    </row>
    <row r="38" ht="46" customHeight="1">
      <c r="A38" s="5" t="inlineStr">
        <is>
          <t>Rates/FX</t>
        </is>
      </c>
      <c r="B38" s="6" t="inlineStr">
        <is>
          <t>DXY (US Dollar Index)</t>
        </is>
      </c>
      <c r="C38" s="7" t="inlineStr">
        <is>
          <t>US</t>
        </is>
      </c>
      <c r="D38" s="3" t="inlineStr">
        <is>
          <t>USD vs a basket of major currencies</t>
        </is>
      </c>
      <c r="E38" s="3" t="inlineStr">
        <is>
          <t>the world's funding and safe-haven currency</t>
        </is>
      </c>
      <c r="F38" s="3" t="inlineStr">
        <is>
          <t>USD strengthening</t>
        </is>
      </c>
      <c r="G38" s="3" t="inlineStr">
        <is>
          <t>USD weakening</t>
        </is>
      </c>
      <c r="H38" s="7" t="inlineStr">
        <is>
          <t>Mixed</t>
        </is>
      </c>
      <c r="I38" s="7" t="inlineStr">
        <is>
          <t>↔</t>
        </is>
      </c>
      <c r="J38" s="7" t="inlineStr">
        <is>
          <t>↔</t>
        </is>
      </c>
      <c r="K38" s="7" t="inlineStr">
        <is>
          <t>↑↑</t>
        </is>
      </c>
      <c r="L38" s="7" t="inlineStr">
        <is>
          <t>↔</t>
        </is>
      </c>
      <c r="M38" s="7" t="inlineStr">
        <is>
          <t>↔</t>
        </is>
      </c>
      <c r="N38" s="7" t="inlineStr">
        <is>
          <t>↓</t>
        </is>
      </c>
      <c r="O38" s="7" t="inlineStr">
        <is>
          <t>↓</t>
        </is>
      </c>
      <c r="P38" s="7" t="inlineStr">
        <is>
          <t>Mixed</t>
        </is>
      </c>
      <c r="Q38" s="7" t="inlineStr">
        <is>
          <t>↓</t>
        </is>
      </c>
      <c r="R38" s="7" t="inlineStr">
        <is>
          <t>↔</t>
        </is>
      </c>
      <c r="S38" s="3" t="inlineStr">
        <is>
          <t>Stronger USD → headwind for commodities, EM, gold</t>
        </is>
      </c>
      <c r="T38" s="3" t="inlineStr">
        <is>
          <t>Rises on both Fed hawkishness AND safe-haven demand</t>
        </is>
      </c>
      <c r="U38" s="7" t="inlineStr">
        <is>
          <t>High</t>
        </is>
      </c>
      <c r="V38" s="3" t="inlineStr">
        <is>
          <t>A strong-USD regime tightens global conditions.</t>
        </is>
      </c>
    </row>
    <row r="39" ht="46" customHeight="1">
      <c r="A39" s="5" t="inlineStr">
        <is>
          <t>Rates/FX</t>
        </is>
      </c>
      <c r="B39" s="6" t="inlineStr">
        <is>
          <t>US 2Y Yield</t>
        </is>
      </c>
      <c r="C39" s="7" t="inlineStr">
        <is>
          <t>US</t>
        </is>
      </c>
      <c r="D39" s="3" t="inlineStr">
        <is>
          <t>2-year Treasury yield</t>
        </is>
      </c>
      <c r="E39" s="3" t="inlineStr">
        <is>
          <t>the market's read of the Fed path</t>
        </is>
      </c>
      <c r="F39" s="3" t="inlineStr">
        <is>
          <t>rising → hawkish repricing</t>
        </is>
      </c>
      <c r="G39" s="3" t="inlineStr">
        <is>
          <t>falling → dovish repricing</t>
        </is>
      </c>
      <c r="H39" s="7" t="inlineStr">
        <is>
          <t>↔</t>
        </is>
      </c>
      <c r="I39" s="7" t="inlineStr">
        <is>
          <t>↔</t>
        </is>
      </c>
      <c r="J39" s="7" t="inlineStr">
        <is>
          <t>Mixed</t>
        </is>
      </c>
      <c r="K39" s="7" t="inlineStr">
        <is>
          <t>↑</t>
        </is>
      </c>
      <c r="L39" s="7" t="inlineStr">
        <is>
          <t>↑</t>
        </is>
      </c>
      <c r="M39" s="7" t="inlineStr">
        <is>
          <t>↓</t>
        </is>
      </c>
      <c r="N39" s="7" t="inlineStr">
        <is>
          <t>↓</t>
        </is>
      </c>
      <c r="O39" s="7" t="inlineStr">
        <is>
          <t>↔</t>
        </is>
      </c>
      <c r="P39" s="7" t="inlineStr">
        <is>
          <t>↓</t>
        </is>
      </c>
      <c r="Q39" s="7" t="inlineStr">
        <is>
          <t>↓</t>
        </is>
      </c>
      <c r="R39" s="7" t="inlineStr">
        <is>
          <t>↔</t>
        </is>
      </c>
      <c r="S39" s="3" t="inlineStr">
        <is>
          <t>2Y up → front-end tightening, equities pressured</t>
        </is>
      </c>
      <c r="T39" s="3" t="inlineStr">
        <is>
          <t>Most sensitive to Fed expectations</t>
        </is>
      </c>
      <c r="U39" s="7" t="inlineStr">
        <is>
          <t>High</t>
        </is>
      </c>
      <c r="V39" s="3" t="inlineStr">
        <is>
          <t>The cleanest gauge of expected policy.</t>
        </is>
      </c>
    </row>
    <row r="40" ht="46" customHeight="1">
      <c r="A40" s="5" t="inlineStr">
        <is>
          <t>Rates/FX</t>
        </is>
      </c>
      <c r="B40" s="6" t="inlineStr">
        <is>
          <t>US 10Y Yield</t>
        </is>
      </c>
      <c r="C40" s="7" t="inlineStr">
        <is>
          <t>US</t>
        </is>
      </c>
      <c r="D40" s="3" t="inlineStr">
        <is>
          <t>10-year Treasury yield</t>
        </is>
      </c>
      <c r="E40" s="3" t="inlineStr">
        <is>
          <t>the global risk-free discount rate</t>
        </is>
      </c>
      <c r="F40" s="3" t="inlineStr">
        <is>
          <t>rising → higher discount rate</t>
        </is>
      </c>
      <c r="G40" s="3" t="inlineStr">
        <is>
          <t>falling → lower discount rate</t>
        </is>
      </c>
      <c r="H40" s="7" t="inlineStr">
        <is>
          <t>Mixed</t>
        </is>
      </c>
      <c r="I40" s="7" t="inlineStr">
        <is>
          <t>↔</t>
        </is>
      </c>
      <c r="J40" s="7" t="inlineStr">
        <is>
          <t>↔</t>
        </is>
      </c>
      <c r="K40" s="7" t="inlineStr">
        <is>
          <t>↑</t>
        </is>
      </c>
      <c r="L40" s="7" t="inlineStr">
        <is>
          <t>↑</t>
        </is>
      </c>
      <c r="M40" s="7" t="inlineStr">
        <is>
          <t>↓</t>
        </is>
      </c>
      <c r="N40" s="7" t="inlineStr">
        <is>
          <t>↓</t>
        </is>
      </c>
      <c r="O40" s="7" t="inlineStr">
        <is>
          <t>↔</t>
        </is>
      </c>
      <c r="P40" s="7" t="inlineStr">
        <is>
          <t>↓</t>
        </is>
      </c>
      <c r="Q40" s="7" t="inlineStr">
        <is>
          <t>↓</t>
        </is>
      </c>
      <c r="R40" s="7" t="inlineStr">
        <is>
          <t>↔</t>
        </is>
      </c>
      <c r="S40" s="3" t="inlineStr">
        <is>
          <t>10Y up → pressures equities (esp. growth), USD up</t>
        </is>
      </c>
      <c r="T40" s="3" t="inlineStr">
        <is>
          <t>Driven by growth, inflation, term premium, supply</t>
        </is>
      </c>
      <c r="U40" s="7" t="inlineStr">
        <is>
          <t>High</t>
        </is>
      </c>
      <c r="V40" s="3" t="inlineStr">
        <is>
          <t>The anchor for global asset valuation.</t>
        </is>
      </c>
    </row>
    <row r="41" ht="46" customHeight="1">
      <c r="A41" s="5" t="inlineStr">
        <is>
          <t>Rates/FX</t>
        </is>
      </c>
      <c r="B41" s="6" t="inlineStr">
        <is>
          <t>Yield Curve 2s10s</t>
        </is>
      </c>
      <c r="C41" s="7" t="inlineStr">
        <is>
          <t>US</t>
        </is>
      </c>
      <c r="D41" s="3" t="inlineStr">
        <is>
          <t>10Y minus 2Y spread</t>
        </is>
      </c>
      <c r="E41" s="3" t="inlineStr">
        <is>
          <t>recession and cycle signal</t>
        </is>
      </c>
      <c r="F41" s="3" t="inlineStr">
        <is>
          <t>steepening → growth/inflation or Fed cuts</t>
        </is>
      </c>
      <c r="G41" s="3" t="inlineStr">
        <is>
          <t>inversion → recession warning</t>
        </is>
      </c>
      <c r="H41" s="7" t="inlineStr">
        <is>
          <t>↔</t>
        </is>
      </c>
      <c r="I41" s="7" t="inlineStr">
        <is>
          <t>Mixed</t>
        </is>
      </c>
      <c r="J41" s="7" t="inlineStr">
        <is>
          <t>Mixed</t>
        </is>
      </c>
      <c r="K41" s="7" t="inlineStr">
        <is>
          <t>↔</t>
        </is>
      </c>
      <c r="L41" s="7" t="inlineStr">
        <is>
          <t>↔</t>
        </is>
      </c>
      <c r="M41" s="7" t="inlineStr">
        <is>
          <t>↔</t>
        </is>
      </c>
      <c r="N41" s="7" t="inlineStr">
        <is>
          <t>↔</t>
        </is>
      </c>
      <c r="O41" s="7" t="inlineStr">
        <is>
          <t>↔</t>
        </is>
      </c>
      <c r="P41" s="7" t="inlineStr">
        <is>
          <t>Mixed</t>
        </is>
      </c>
      <c r="Q41" s="7" t="inlineStr">
        <is>
          <t>↔</t>
        </is>
      </c>
      <c r="R41" s="7" t="inlineStr">
        <is>
          <t>↔</t>
        </is>
      </c>
      <c r="S41" s="3" t="inlineStr">
        <is>
          <t>Deep inversion → late-cycle caution</t>
        </is>
      </c>
      <c r="T41" s="3" t="inlineStr">
        <is>
          <t>Steepening can be bull (cuts) or bear (supply)</t>
        </is>
      </c>
      <c r="U41" s="7" t="inlineStr">
        <is>
          <t>Medium</t>
        </is>
      </c>
      <c r="V41" s="3" t="inlineStr">
        <is>
          <t>Read the driver, not just the sign.</t>
        </is>
      </c>
    </row>
    <row r="42" ht="46" customHeight="1">
      <c r="A42" s="5" t="inlineStr">
        <is>
          <t>Rates/FX</t>
        </is>
      </c>
      <c r="B42" s="6" t="inlineStr">
        <is>
          <t>Real Yields</t>
        </is>
      </c>
      <c r="C42" s="7" t="inlineStr">
        <is>
          <t>US</t>
        </is>
      </c>
      <c r="D42" s="3" t="inlineStr">
        <is>
          <t>TIPS yields (nominal minus inflation)</t>
        </is>
      </c>
      <c r="E42" s="3" t="inlineStr">
        <is>
          <t>the true cost of capital</t>
        </is>
      </c>
      <c r="F42" s="3" t="inlineStr">
        <is>
          <t>rising real yields → tighter conditions</t>
        </is>
      </c>
      <c r="G42" s="3" t="inlineStr">
        <is>
          <t>falling → easier conditions</t>
        </is>
      </c>
      <c r="H42" s="7" t="inlineStr">
        <is>
          <t>↔</t>
        </is>
      </c>
      <c r="I42" s="7" t="inlineStr">
        <is>
          <t>↔</t>
        </is>
      </c>
      <c r="J42" s="7" t="inlineStr">
        <is>
          <t>↔</t>
        </is>
      </c>
      <c r="K42" s="7" t="inlineStr">
        <is>
          <t>↑</t>
        </is>
      </c>
      <c r="L42" s="7" t="inlineStr">
        <is>
          <t>↑</t>
        </is>
      </c>
      <c r="M42" s="7" t="inlineStr">
        <is>
          <t>↓</t>
        </is>
      </c>
      <c r="N42" s="7" t="inlineStr">
        <is>
          <t>↓↓</t>
        </is>
      </c>
      <c r="O42" s="7" t="inlineStr">
        <is>
          <t>↔</t>
        </is>
      </c>
      <c r="P42" s="7" t="inlineStr">
        <is>
          <t>↓</t>
        </is>
      </c>
      <c r="Q42" s="7" t="inlineStr">
        <is>
          <t>↓</t>
        </is>
      </c>
      <c r="R42" s="7" t="inlineStr">
        <is>
          <t>↔</t>
        </is>
      </c>
      <c r="S42" s="3" t="inlineStr">
        <is>
          <t>Rising real yields → gold &amp; long-duration equities down</t>
        </is>
      </c>
      <c r="T42" s="3" t="inlineStr">
        <is>
          <t>The key driver of gold over time</t>
        </is>
      </c>
      <c r="U42" s="7" t="inlineStr">
        <is>
          <t>High</t>
        </is>
      </c>
      <c r="V42" s="3" t="inlineStr">
        <is>
          <t>Gold's biggest headwind is rising real yields.</t>
        </is>
      </c>
    </row>
    <row r="43" ht="46" customHeight="1">
      <c r="A43" s="5" t="inlineStr">
        <is>
          <t>Rates/FX</t>
        </is>
      </c>
      <c r="B43" s="6" t="inlineStr">
        <is>
          <t>Breakeven Inflation</t>
        </is>
      </c>
      <c r="C43" s="7" t="inlineStr">
        <is>
          <t>US</t>
        </is>
      </c>
      <c r="D43" s="3" t="inlineStr">
        <is>
          <t>market-implied inflation (nominal minus TIPS)</t>
        </is>
      </c>
      <c r="E43" s="3" t="inlineStr">
        <is>
          <t>the market's inflation forecast</t>
        </is>
      </c>
      <c r="F43" s="3" t="inlineStr">
        <is>
          <t>rising → inflation priced up</t>
        </is>
      </c>
      <c r="G43" s="3" t="inlineStr">
        <is>
          <t>falling → disinflation priced</t>
        </is>
      </c>
      <c r="H43" s="7" t="inlineStr">
        <is>
          <t>↑</t>
        </is>
      </c>
      <c r="I43" s="7" t="inlineStr">
        <is>
          <t>↔</t>
        </is>
      </c>
      <c r="J43" s="7" t="inlineStr">
        <is>
          <t>Hawkish</t>
        </is>
      </c>
      <c r="K43" s="7" t="inlineStr">
        <is>
          <t>Mixed</t>
        </is>
      </c>
      <c r="L43" s="7" t="inlineStr">
        <is>
          <t>↑</t>
        </is>
      </c>
      <c r="M43" s="7" t="inlineStr">
        <is>
          <t>↓</t>
        </is>
      </c>
      <c r="N43" s="7" t="inlineStr">
        <is>
          <t>↑</t>
        </is>
      </c>
      <c r="O43" s="7" t="inlineStr">
        <is>
          <t>↑</t>
        </is>
      </c>
      <c r="P43" s="7" t="inlineStr">
        <is>
          <t>↔</t>
        </is>
      </c>
      <c r="Q43" s="7" t="inlineStr">
        <is>
          <t>↔</t>
        </is>
      </c>
      <c r="R43" s="7" t="inlineStr">
        <is>
          <t>↔</t>
        </is>
      </c>
      <c r="S43" s="3" t="inlineStr">
        <is>
          <t>Rising breakevens → gold up, hawkish risk</t>
        </is>
      </c>
      <c r="T43" s="3" t="inlineStr">
        <is>
          <t>Watch 5y and 5y5y forward</t>
        </is>
      </c>
      <c r="U43" s="7" t="inlineStr">
        <is>
          <t>Medium</t>
        </is>
      </c>
      <c r="V43" s="3" t="inlineStr">
        <is>
          <t>A market vote on the inflation path.</t>
        </is>
      </c>
    </row>
    <row r="44" ht="46" customHeight="1">
      <c r="A44" s="5" t="inlineStr">
        <is>
          <t>Volatility</t>
        </is>
      </c>
      <c r="B44" s="6" t="inlineStr">
        <is>
          <t>VIX</t>
        </is>
      </c>
      <c r="C44" s="7" t="inlineStr">
        <is>
          <t>US</t>
        </is>
      </c>
      <c r="D44" s="3" t="inlineStr">
        <is>
          <t>S&amp;P 500 30-day implied volatility</t>
        </is>
      </c>
      <c r="E44" s="3" t="inlineStr">
        <is>
          <t>the equity 'fear gauge'</t>
        </is>
      </c>
      <c r="F44" s="3" t="inlineStr">
        <is>
          <t>spiking → fear, risk-off</t>
        </is>
      </c>
      <c r="G44" s="3" t="inlineStr">
        <is>
          <t>falling → calm, risk-on</t>
        </is>
      </c>
      <c r="H44" s="7" t="inlineStr">
        <is>
          <t>↔</t>
        </is>
      </c>
      <c r="I44" s="7" t="inlineStr">
        <is>
          <t>↔</t>
        </is>
      </c>
      <c r="J44" s="7" t="inlineStr">
        <is>
          <t>Dovish</t>
        </is>
      </c>
      <c r="K44" s="7" t="inlineStr">
        <is>
          <t>↑</t>
        </is>
      </c>
      <c r="L44" s="7" t="inlineStr">
        <is>
          <t>↓</t>
        </is>
      </c>
      <c r="M44" s="7" t="inlineStr">
        <is>
          <t>↑</t>
        </is>
      </c>
      <c r="N44" s="7" t="inlineStr">
        <is>
          <t>↑</t>
        </is>
      </c>
      <c r="O44" s="7" t="inlineStr">
        <is>
          <t>↓</t>
        </is>
      </c>
      <c r="P44" s="7" t="inlineStr">
        <is>
          <t>↓↓</t>
        </is>
      </c>
      <c r="Q44" s="7" t="inlineStr">
        <is>
          <t>↓</t>
        </is>
      </c>
      <c r="R44" s="7" t="inlineStr">
        <is>
          <t>↓</t>
        </is>
      </c>
      <c r="S44" s="3" t="inlineStr">
        <is>
          <t>VIX spike → risk-off, safe havens bid</t>
        </is>
      </c>
      <c r="T44" s="3" t="inlineStr">
        <is>
          <t>&gt;30 = fear, &gt;40 = panic; can stay low then gap</t>
        </is>
      </c>
      <c r="U44" s="7" t="inlineStr">
        <is>
          <t>High</t>
        </is>
      </c>
      <c r="V44" s="3" t="inlineStr">
        <is>
          <t>The headline risk-on/risk-off switch.</t>
        </is>
      </c>
    </row>
    <row r="45" ht="46" customHeight="1">
      <c r="A45" s="5" t="inlineStr">
        <is>
          <t>Volatility</t>
        </is>
      </c>
      <c r="B45" s="6" t="inlineStr">
        <is>
          <t>MOVE Index</t>
        </is>
      </c>
      <c r="C45" s="7" t="inlineStr">
        <is>
          <t>US</t>
        </is>
      </c>
      <c r="D45" s="3" t="inlineStr">
        <is>
          <t>Treasury market implied volatility</t>
        </is>
      </c>
      <c r="E45" s="3" t="inlineStr">
        <is>
          <t>the bond-market 'fear gauge'</t>
        </is>
      </c>
      <c r="F45" s="3" t="inlineStr">
        <is>
          <t>rising → rates stress</t>
        </is>
      </c>
      <c r="G45" s="3" t="inlineStr">
        <is>
          <t>falling → rates calm</t>
        </is>
      </c>
      <c r="H45" s="7" t="inlineStr">
        <is>
          <t>↔</t>
        </is>
      </c>
      <c r="I45" s="7" t="inlineStr">
        <is>
          <t>↔</t>
        </is>
      </c>
      <c r="J45" s="7" t="inlineStr">
        <is>
          <t>↔</t>
        </is>
      </c>
      <c r="K45" s="7" t="inlineStr">
        <is>
          <t>↑</t>
        </is>
      </c>
      <c r="L45" s="7" t="inlineStr">
        <is>
          <t>Mixed</t>
        </is>
      </c>
      <c r="M45" s="7" t="inlineStr">
        <is>
          <t>↓</t>
        </is>
      </c>
      <c r="N45" s="7" t="inlineStr">
        <is>
          <t>↑</t>
        </is>
      </c>
      <c r="O45" s="7" t="inlineStr">
        <is>
          <t>↔</t>
        </is>
      </c>
      <c r="P45" s="7" t="inlineStr">
        <is>
          <t>↓</t>
        </is>
      </c>
      <c r="Q45" s="7" t="inlineStr">
        <is>
          <t>↓</t>
        </is>
      </c>
      <c r="R45" s="7" t="inlineStr">
        <is>
          <t>↔</t>
        </is>
      </c>
      <c r="S45" s="3" t="inlineStr">
        <is>
          <t>High MOVE → funding stress, wider spreads</t>
        </is>
      </c>
      <c r="T45" s="3" t="inlineStr">
        <is>
          <t>Often leads equity vol and credit stress</t>
        </is>
      </c>
      <c r="U45" s="7" t="inlineStr">
        <is>
          <t>Medium</t>
        </is>
      </c>
      <c r="V45" s="3" t="inlineStr">
        <is>
          <t>Elevated MOVE tightens financial conditions broadly.</t>
        </is>
      </c>
    </row>
    <row r="46" ht="46" customHeight="1">
      <c r="A46" s="5" t="inlineStr">
        <is>
          <t>Credit</t>
        </is>
      </c>
      <c r="B46" s="6" t="inlineStr">
        <is>
          <t>Credit Spreads</t>
        </is>
      </c>
      <c r="C46" s="7" t="inlineStr">
        <is>
          <t>Global</t>
        </is>
      </c>
      <c r="D46" s="3" t="inlineStr">
        <is>
          <t>corporate yield over Treasuries (IG/HY)</t>
        </is>
      </c>
      <c r="E46" s="3" t="inlineStr">
        <is>
          <t>funding stress and default risk</t>
        </is>
      </c>
      <c r="F46" s="3" t="inlineStr">
        <is>
          <t>widening → stress, risk-off</t>
        </is>
      </c>
      <c r="G46" s="3" t="inlineStr">
        <is>
          <t>tightening → calm, risk-on</t>
        </is>
      </c>
      <c r="H46" s="7" t="inlineStr">
        <is>
          <t>↔</t>
        </is>
      </c>
      <c r="I46" s="7" t="inlineStr">
        <is>
          <t>↔</t>
        </is>
      </c>
      <c r="J46" s="7" t="inlineStr">
        <is>
          <t>Dovish</t>
        </is>
      </c>
      <c r="K46" s="7" t="inlineStr">
        <is>
          <t>↑</t>
        </is>
      </c>
      <c r="L46" s="7" t="inlineStr">
        <is>
          <t>↓</t>
        </is>
      </c>
      <c r="M46" s="7" t="inlineStr">
        <is>
          <t>↑</t>
        </is>
      </c>
      <c r="N46" s="7" t="inlineStr">
        <is>
          <t>↑</t>
        </is>
      </c>
      <c r="O46" s="7" t="inlineStr">
        <is>
          <t>↓</t>
        </is>
      </c>
      <c r="P46" s="7" t="inlineStr">
        <is>
          <t>↓</t>
        </is>
      </c>
      <c r="Q46" s="7" t="inlineStr">
        <is>
          <t>↓</t>
        </is>
      </c>
      <c r="R46" s="7" t="inlineStr">
        <is>
          <t>↓</t>
        </is>
      </c>
      <c r="S46" s="3" t="inlineStr">
        <is>
          <t>Widening spreads → risk-off, equities down</t>
        </is>
      </c>
      <c r="T46" s="3" t="inlineStr">
        <is>
          <t>HY OAS is the sharper stress signal</t>
        </is>
      </c>
      <c r="U46" s="7" t="inlineStr">
        <is>
          <t>High</t>
        </is>
      </c>
      <c r="V46" s="3" t="inlineStr">
        <is>
          <t>The clearest market gauge of credit stress.</t>
        </is>
      </c>
    </row>
    <row r="47" ht="46" customHeight="1">
      <c r="A47" s="5" t="inlineStr">
        <is>
          <t>Equity</t>
        </is>
      </c>
      <c r="B47" s="6" t="inlineStr">
        <is>
          <t>S&amp;P 500</t>
        </is>
      </c>
      <c r="C47" s="7" t="inlineStr">
        <is>
          <t>US</t>
        </is>
      </c>
      <c r="D47" s="3" t="inlineStr">
        <is>
          <t>large-cap US equity benchmark</t>
        </is>
      </c>
      <c r="E47" s="3" t="inlineStr">
        <is>
          <t>the core risk-asset barometer</t>
        </is>
      </c>
      <c r="F47" s="3" t="inlineStr">
        <is>
          <t>rising → risk-on</t>
        </is>
      </c>
      <c r="G47" s="3" t="inlineStr">
        <is>
          <t>falling → risk-off</t>
        </is>
      </c>
      <c r="H47" s="7" t="inlineStr">
        <is>
          <t>↔</t>
        </is>
      </c>
      <c r="I47" s="7" t="inlineStr">
        <is>
          <t>↔</t>
        </is>
      </c>
      <c r="J47" s="7" t="inlineStr">
        <is>
          <t>↔</t>
        </is>
      </c>
      <c r="K47" s="7" t="inlineStr">
        <is>
          <t>Mixed</t>
        </is>
      </c>
      <c r="L47" s="7" t="inlineStr">
        <is>
          <t>Mixed</t>
        </is>
      </c>
      <c r="M47" s="7" t="inlineStr">
        <is>
          <t>Mixed</t>
        </is>
      </c>
      <c r="N47" s="7" t="inlineStr">
        <is>
          <t>↔</t>
        </is>
      </c>
      <c r="O47" s="7" t="inlineStr">
        <is>
          <t>↔</t>
        </is>
      </c>
      <c r="P47" s="7" t="inlineStr">
        <is>
          <t>↑↑</t>
        </is>
      </c>
      <c r="Q47" s="7" t="inlineStr">
        <is>
          <t>↑</t>
        </is>
      </c>
      <c r="R47" s="7" t="inlineStr">
        <is>
          <t>↑</t>
        </is>
      </c>
      <c r="S47" s="3" t="inlineStr">
        <is>
          <t>Drawdowns → flight to USD, Treasuries, gold</t>
        </is>
      </c>
      <c r="T47" s="3" t="inlineStr">
        <is>
          <t>Concentration in mega-cap tech skews it</t>
        </is>
      </c>
      <c r="U47" s="7" t="inlineStr">
        <is>
          <t>High</t>
        </is>
      </c>
      <c r="V47" s="3" t="inlineStr">
        <is>
          <t>The reference for global risk appetite.</t>
        </is>
      </c>
    </row>
    <row r="48" ht="46" customHeight="1">
      <c r="A48" s="5" t="inlineStr">
        <is>
          <t>Equity</t>
        </is>
      </c>
      <c r="B48" s="6" t="inlineStr">
        <is>
          <t>Nasdaq</t>
        </is>
      </c>
      <c r="C48" s="7" t="inlineStr">
        <is>
          <t>US</t>
        </is>
      </c>
      <c r="D48" s="3" t="inlineStr">
        <is>
          <t>tech-heavy US equity index</t>
        </is>
      </c>
      <c r="E48" s="3" t="inlineStr">
        <is>
          <t>long-duration, rate-sensitive equities</t>
        </is>
      </c>
      <c r="F48" s="3" t="inlineStr">
        <is>
          <t>rising → risk-on, easy conditions</t>
        </is>
      </c>
      <c r="G48" s="3" t="inlineStr">
        <is>
          <t>falling → risk-off</t>
        </is>
      </c>
      <c r="H48" s="7" t="inlineStr">
        <is>
          <t>↔</t>
        </is>
      </c>
      <c r="I48" s="7" t="inlineStr">
        <is>
          <t>↔</t>
        </is>
      </c>
      <c r="J48" s="7" t="inlineStr">
        <is>
          <t>↔</t>
        </is>
      </c>
      <c r="K48" s="7" t="inlineStr">
        <is>
          <t>Mixed</t>
        </is>
      </c>
      <c r="L48" s="7" t="inlineStr">
        <is>
          <t>Mixed</t>
        </is>
      </c>
      <c r="M48" s="7" t="inlineStr">
        <is>
          <t>Mixed</t>
        </is>
      </c>
      <c r="N48" s="7" t="inlineStr">
        <is>
          <t>↔</t>
        </is>
      </c>
      <c r="O48" s="7" t="inlineStr">
        <is>
          <t>↔</t>
        </is>
      </c>
      <c r="P48" s="7" t="inlineStr">
        <is>
          <t>↑↑</t>
        </is>
      </c>
      <c r="Q48" s="7" t="inlineStr">
        <is>
          <t>↑</t>
        </is>
      </c>
      <c r="R48" s="7" t="inlineStr">
        <is>
          <t>↔</t>
        </is>
      </c>
      <c r="S48" s="3" t="inlineStr">
        <is>
          <t>Very sensitive to real yields</t>
        </is>
      </c>
      <c r="T48" s="3" t="inlineStr">
        <is>
          <t>Duration means it falls hard when yields spike</t>
        </is>
      </c>
      <c r="U48" s="7" t="inlineStr">
        <is>
          <t>Medium</t>
        </is>
      </c>
      <c r="V48" s="3" t="inlineStr">
        <is>
          <t>The high-beta expression of risk appetite.</t>
        </is>
      </c>
    </row>
    <row r="49" ht="46" customHeight="1">
      <c r="A49" s="5" t="inlineStr">
        <is>
          <t>Commodities</t>
        </is>
      </c>
      <c r="B49" s="6" t="inlineStr">
        <is>
          <t>Gold</t>
        </is>
      </c>
      <c r="C49" s="7" t="inlineStr">
        <is>
          <t>Global</t>
        </is>
      </c>
      <c r="D49" s="3" t="inlineStr">
        <is>
          <t>the classic safe-haven metal</t>
        </is>
      </c>
      <c r="E49" s="3" t="inlineStr">
        <is>
          <t>hedge against risk, inflation and real-yield moves</t>
        </is>
      </c>
      <c r="F49" s="3" t="inlineStr">
        <is>
          <t>rising → hedging/inflation demand</t>
        </is>
      </c>
      <c r="G49" s="3" t="inlineStr">
        <is>
          <t>falling → risk-on or real-yields up</t>
        </is>
      </c>
      <c r="H49" s="7" t="inlineStr">
        <is>
          <t>↑</t>
        </is>
      </c>
      <c r="I49" s="7" t="inlineStr">
        <is>
          <t>↔</t>
        </is>
      </c>
      <c r="J49" s="7" t="inlineStr">
        <is>
          <t>Neutral</t>
        </is>
      </c>
      <c r="K49" s="7" t="inlineStr">
        <is>
          <t>Mixed</t>
        </is>
      </c>
      <c r="L49" s="7" t="inlineStr">
        <is>
          <t>Mixed</t>
        </is>
      </c>
      <c r="M49" s="7" t="inlineStr">
        <is>
          <t>Mixed</t>
        </is>
      </c>
      <c r="N49" s="7" t="inlineStr">
        <is>
          <t>↑↑</t>
        </is>
      </c>
      <c r="O49" s="7" t="inlineStr">
        <is>
          <t>↔</t>
        </is>
      </c>
      <c r="P49" s="7" t="inlineStr">
        <is>
          <t>↔</t>
        </is>
      </c>
      <c r="Q49" s="7" t="inlineStr">
        <is>
          <t>↔</t>
        </is>
      </c>
      <c r="R49" s="7" t="inlineStr">
        <is>
          <t>↔</t>
        </is>
      </c>
      <c r="S49" s="3" t="inlineStr">
        <is>
          <t>Rises on risk-off &amp; falling real yields; falls when USD/real yields rise</t>
        </is>
      </c>
      <c r="T49" s="3" t="inlineStr">
        <is>
          <t>Can rise on geopolitics yet fall if USD and real yields jump</t>
        </is>
      </c>
      <c r="U49" s="7" t="inlineStr">
        <is>
          <t>High</t>
        </is>
      </c>
      <c r="V49" s="3" t="inlineStr">
        <is>
          <t>Trades off real yields and USD, not just fear.</t>
        </is>
      </c>
    </row>
    <row r="50" ht="46" customHeight="1">
      <c r="A50" s="5" t="inlineStr">
        <is>
          <t>Commodities</t>
        </is>
      </c>
      <c r="B50" s="6" t="inlineStr">
        <is>
          <t>Brent Oil</t>
        </is>
      </c>
      <c r="C50" s="7" t="inlineStr">
        <is>
          <t>Global</t>
        </is>
      </c>
      <c r="D50" s="3" t="inlineStr">
        <is>
          <t>global crude benchmark</t>
        </is>
      </c>
      <c r="E50" s="3" t="inlineStr">
        <is>
          <t>inflation, growth and geopolitics in one price</t>
        </is>
      </c>
      <c r="F50" s="3" t="inlineStr">
        <is>
          <t>supply/geo spike → inflationary, risk-off; demand rise → growth+</t>
        </is>
      </c>
      <c r="G50" s="3" t="inlineStr">
        <is>
          <t>falling → disinflation or demand weakness</t>
        </is>
      </c>
      <c r="H50" s="7" t="inlineStr">
        <is>
          <t>↑</t>
        </is>
      </c>
      <c r="I50" s="7" t="inlineStr">
        <is>
          <t>Mixed</t>
        </is>
      </c>
      <c r="J50" s="7" t="inlineStr">
        <is>
          <t>Hawkish</t>
        </is>
      </c>
      <c r="K50" s="7" t="inlineStr">
        <is>
          <t>↔</t>
        </is>
      </c>
      <c r="L50" s="7" t="inlineStr">
        <is>
          <t>↑</t>
        </is>
      </c>
      <c r="M50" s="7" t="inlineStr">
        <is>
          <t>↓</t>
        </is>
      </c>
      <c r="N50" s="7" t="inlineStr">
        <is>
          <t>↑</t>
        </is>
      </c>
      <c r="O50" s="7" t="inlineStr">
        <is>
          <t>↑↑</t>
        </is>
      </c>
      <c r="P50" s="7" t="inlineStr">
        <is>
          <t>Mixed</t>
        </is>
      </c>
      <c r="Q50" s="7" t="inlineStr">
        <is>
          <t>Mixed</t>
        </is>
      </c>
      <c r="R50" s="7" t="inlineStr">
        <is>
          <t>↑</t>
        </is>
      </c>
      <c r="S50" s="3" t="inlineStr">
        <is>
          <t>Cause matters: supply shock vs demand strength</t>
        </is>
      </c>
      <c r="T50" s="3" t="inlineStr">
        <is>
          <t>Supply-driven rallies hurt risk; demand-driven help it</t>
        </is>
      </c>
      <c r="U50" s="7" t="inlineStr">
        <is>
          <t>High</t>
        </is>
      </c>
      <c r="V50" s="3" t="inlineStr">
        <is>
          <t>Read WHY oil moved before drawing conclusions.</t>
        </is>
      </c>
    </row>
    <row r="51" ht="46" customHeight="1">
      <c r="A51" s="5" t="inlineStr">
        <is>
          <t>Commodities</t>
        </is>
      </c>
      <c r="B51" s="6" t="inlineStr">
        <is>
          <t>WTI Oil</t>
        </is>
      </c>
      <c r="C51" s="7" t="inlineStr">
        <is>
          <t>US</t>
        </is>
      </c>
      <c r="D51" s="3" t="inlineStr">
        <is>
          <t>US crude benchmark</t>
        </is>
      </c>
      <c r="E51" s="3" t="inlineStr">
        <is>
          <t>US energy prices and shale economics</t>
        </is>
      </c>
      <c r="F51" s="3" t="inlineStr">
        <is>
          <t>rising → higher pump/inflation</t>
        </is>
      </c>
      <c r="G51" s="3" t="inlineStr">
        <is>
          <t>falling → cheaper energy</t>
        </is>
      </c>
      <c r="H51" s="7" t="inlineStr">
        <is>
          <t>↑</t>
        </is>
      </c>
      <c r="I51" s="7" t="inlineStr">
        <is>
          <t>Mixed</t>
        </is>
      </c>
      <c r="J51" s="7" t="inlineStr">
        <is>
          <t>Hawkish</t>
        </is>
      </c>
      <c r="K51" s="7" t="inlineStr">
        <is>
          <t>↔</t>
        </is>
      </c>
      <c r="L51" s="7" t="inlineStr">
        <is>
          <t>↑</t>
        </is>
      </c>
      <c r="M51" s="7" t="inlineStr">
        <is>
          <t>↓</t>
        </is>
      </c>
      <c r="N51" s="7" t="inlineStr">
        <is>
          <t>↑</t>
        </is>
      </c>
      <c r="O51" s="7" t="inlineStr">
        <is>
          <t>↑↑</t>
        </is>
      </c>
      <c r="P51" s="7" t="inlineStr">
        <is>
          <t>Mixed</t>
        </is>
      </c>
      <c r="Q51" s="7" t="inlineStr">
        <is>
          <t>↔</t>
        </is>
      </c>
      <c r="R51" s="7" t="inlineStr">
        <is>
          <t>↑</t>
        </is>
      </c>
      <c r="S51" s="3" t="inlineStr">
        <is>
          <t>Same logic as Brent; watch the Brent-WTI spread</t>
        </is>
      </c>
      <c r="T51" s="3" t="inlineStr">
        <is>
          <t>US-specific supply and pipeline dynamics</t>
        </is>
      </c>
      <c r="U51" s="7" t="inlineStr">
        <is>
          <t>High</t>
        </is>
      </c>
      <c r="V51" s="3" t="inlineStr">
        <is>
          <t>Domestic inflation read; GCC follows Brent more.</t>
        </is>
      </c>
    </row>
    <row r="52" ht="46" customHeight="1">
      <c r="A52" s="5" t="inlineStr">
        <is>
          <t>Geopolitical</t>
        </is>
      </c>
      <c r="B52" s="6" t="inlineStr">
        <is>
          <t>OPEC+ Decisions</t>
        </is>
      </c>
      <c r="C52" s="7" t="inlineStr">
        <is>
          <t>GCC/Global</t>
        </is>
      </c>
      <c r="D52" s="3" t="inlineStr">
        <is>
          <t>OPEC+ production quota changes</t>
        </is>
      </c>
      <c r="E52" s="3" t="inlineStr">
        <is>
          <t>sets global oil supply at the margin</t>
        </is>
      </c>
      <c r="F52" s="3" t="inlineStr">
        <is>
          <t>cuts → oil up, inflationary</t>
        </is>
      </c>
      <c r="G52" s="3" t="inlineStr">
        <is>
          <t>hikes → oil down, disinflationary</t>
        </is>
      </c>
      <c r="H52" s="7" t="inlineStr">
        <is>
          <t>↑</t>
        </is>
      </c>
      <c r="I52" s="7" t="inlineStr">
        <is>
          <t>↔</t>
        </is>
      </c>
      <c r="J52" s="7" t="inlineStr">
        <is>
          <t>Hawkish</t>
        </is>
      </c>
      <c r="K52" s="7" t="inlineStr">
        <is>
          <t>↔</t>
        </is>
      </c>
      <c r="L52" s="7" t="inlineStr">
        <is>
          <t>↑</t>
        </is>
      </c>
      <c r="M52" s="7" t="inlineStr">
        <is>
          <t>↓</t>
        </is>
      </c>
      <c r="N52" s="7" t="inlineStr">
        <is>
          <t>↑</t>
        </is>
      </c>
      <c r="O52" s="7" t="inlineStr">
        <is>
          <t>↑↑</t>
        </is>
      </c>
      <c r="P52" s="7" t="inlineStr">
        <is>
          <t>↓</t>
        </is>
      </c>
      <c r="Q52" s="7" t="inlineStr">
        <is>
          <t>↔</t>
        </is>
      </c>
      <c r="R52" s="7" t="inlineStr">
        <is>
          <t>↑</t>
        </is>
      </c>
      <c r="S52" s="3" t="inlineStr">
        <is>
          <t>Surprise cut → oil &amp; inflation up, GCC revenue up</t>
        </is>
      </c>
      <c r="T52" s="3" t="inlineStr">
        <is>
          <t>Compliance and spare capacity vary</t>
        </is>
      </c>
      <c r="U52" s="7" t="inlineStr">
        <is>
          <t>High</t>
        </is>
      </c>
      <c r="V52" s="3" t="inlineStr">
        <is>
          <t>Directly drives the GCC fiscal backdrop.</t>
        </is>
      </c>
    </row>
    <row r="53" ht="46" customHeight="1">
      <c r="A53" s="5" t="inlineStr">
        <is>
          <t>Geopolitical</t>
        </is>
      </c>
      <c r="B53" s="6" t="inlineStr">
        <is>
          <t>Oil Inventories</t>
        </is>
      </c>
      <c r="C53" s="7" t="inlineStr">
        <is>
          <t>US</t>
        </is>
      </c>
      <c r="D53" s="3" t="inlineStr">
        <is>
          <t>weekly EIA crude stock change</t>
        </is>
      </c>
      <c r="E53" s="3" t="inlineStr">
        <is>
          <t>near-term oil supply/demand balance</t>
        </is>
      </c>
      <c r="F53" s="3" t="inlineStr">
        <is>
          <t>builds → bearish oil</t>
        </is>
      </c>
      <c r="G53" s="3" t="inlineStr">
        <is>
          <t>draws → bullish oil</t>
        </is>
      </c>
      <c r="H53" s="7" t="inlineStr">
        <is>
          <t>Mixed</t>
        </is>
      </c>
      <c r="I53" s="7" t="inlineStr">
        <is>
          <t>↔</t>
        </is>
      </c>
      <c r="J53" s="7" t="inlineStr">
        <is>
          <t>Neutral</t>
        </is>
      </c>
      <c r="K53" s="7" t="inlineStr">
        <is>
          <t>↔</t>
        </is>
      </c>
      <c r="L53" s="7" t="inlineStr">
        <is>
          <t>↔</t>
        </is>
      </c>
      <c r="M53" s="7" t="inlineStr">
        <is>
          <t>↔</t>
        </is>
      </c>
      <c r="N53" s="7" t="inlineStr">
        <is>
          <t>↔</t>
        </is>
      </c>
      <c r="O53" s="7" t="inlineStr">
        <is>
          <t>↓</t>
        </is>
      </c>
      <c r="P53" s="7" t="inlineStr">
        <is>
          <t>↔</t>
        </is>
      </c>
      <c r="Q53" s="7" t="inlineStr">
        <is>
          <t>↔</t>
        </is>
      </c>
      <c r="R53" s="7" t="inlineStr">
        <is>
          <t>↓</t>
        </is>
      </c>
      <c r="S53" s="3" t="inlineStr">
        <is>
          <t>Big draw → oil up, inflationary</t>
        </is>
      </c>
      <c r="T53" s="3" t="inlineStr">
        <is>
          <t>Very noisy weekly; watch the trend</t>
        </is>
      </c>
      <c r="U53" s="7" t="inlineStr">
        <is>
          <t>Low</t>
        </is>
      </c>
      <c r="V53" s="3" t="inlineStr">
        <is>
          <t>Short-term oil driver only.</t>
        </is>
      </c>
    </row>
    <row r="54" ht="46" customHeight="1">
      <c r="A54" s="5" t="inlineStr">
        <is>
          <t>Geopolitical</t>
        </is>
      </c>
      <c r="B54" s="6" t="inlineStr">
        <is>
          <t>Iran / Gulf Tension</t>
        </is>
      </c>
      <c r="C54" s="7" t="inlineStr">
        <is>
          <t>Middle East</t>
        </is>
      </c>
      <c r="D54" s="3" t="inlineStr">
        <is>
          <t>conflict risk around Iran and the Gulf</t>
        </is>
      </c>
      <c r="E54" s="3" t="inlineStr">
        <is>
          <t>threatens Gulf oil supply and shipping</t>
        </is>
      </c>
      <c r="F54" s="3" t="inlineStr">
        <is>
          <t>escalation → oil &amp; risk premium up</t>
        </is>
      </c>
      <c r="G54" s="3" t="inlineStr">
        <is>
          <t>de-escalation → oil &amp; risk premium down</t>
        </is>
      </c>
      <c r="H54" s="7" t="inlineStr">
        <is>
          <t>↑</t>
        </is>
      </c>
      <c r="I54" s="7" t="inlineStr">
        <is>
          <t>↔</t>
        </is>
      </c>
      <c r="J54" s="7" t="inlineStr">
        <is>
          <t>Mixed</t>
        </is>
      </c>
      <c r="K54" s="7" t="inlineStr">
        <is>
          <t>↑</t>
        </is>
      </c>
      <c r="L54" s="7" t="inlineStr">
        <is>
          <t>Mixed</t>
        </is>
      </c>
      <c r="M54" s="7" t="inlineStr">
        <is>
          <t>Mixed</t>
        </is>
      </c>
      <c r="N54" s="7" t="inlineStr">
        <is>
          <t>↑</t>
        </is>
      </c>
      <c r="O54" s="7" t="inlineStr">
        <is>
          <t>↑↑</t>
        </is>
      </c>
      <c r="P54" s="7" t="inlineStr">
        <is>
          <t>↓</t>
        </is>
      </c>
      <c r="Q54" s="7" t="inlineStr">
        <is>
          <t>↓</t>
        </is>
      </c>
      <c r="R54" s="7" t="inlineStr">
        <is>
          <t>↓</t>
        </is>
      </c>
      <c r="S54" s="3" t="inlineStr">
        <is>
          <t>Escalation → oil spike, risk-off, gold up</t>
        </is>
      </c>
      <c r="T54" s="3" t="inlineStr">
        <is>
          <t>Direct threat to GCC; watch the oil-supply channel</t>
        </is>
      </c>
      <c r="U54" s="7" t="inlineStr">
        <is>
          <t>Medium</t>
        </is>
      </c>
      <c r="V54" s="3" t="inlineStr">
        <is>
          <t>The most oil-sensitive geopolitical risk for you.</t>
        </is>
      </c>
    </row>
    <row r="55" ht="46" customHeight="1">
      <c r="A55" s="5" t="inlineStr">
        <is>
          <t>Geopolitical</t>
        </is>
      </c>
      <c r="B55" s="6" t="inlineStr">
        <is>
          <t>Strait of Hormuz Risk</t>
        </is>
      </c>
      <c r="C55" s="7" t="inlineStr">
        <is>
          <t>Middle East</t>
        </is>
      </c>
      <c r="D55" s="3" t="inlineStr">
        <is>
          <t>threat to the key oil-transit chokepoint</t>
        </is>
      </c>
      <c r="E55" s="3" t="inlineStr">
        <is>
          <t>~20% of global oil passes through it</t>
        </is>
      </c>
      <c r="F55" s="3" t="inlineStr">
        <is>
          <t>rising threat → large oil premium</t>
        </is>
      </c>
      <c r="G55" s="3" t="inlineStr">
        <is>
          <t>easing → premium unwinds</t>
        </is>
      </c>
      <c r="H55" s="7" t="inlineStr">
        <is>
          <t>↑↑</t>
        </is>
      </c>
      <c r="I55" s="7" t="inlineStr">
        <is>
          <t>↔</t>
        </is>
      </c>
      <c r="J55" s="7" t="inlineStr">
        <is>
          <t>Mixed</t>
        </is>
      </c>
      <c r="K55" s="7" t="inlineStr">
        <is>
          <t>↑</t>
        </is>
      </c>
      <c r="L55" s="7" t="inlineStr">
        <is>
          <t>Mixed</t>
        </is>
      </c>
      <c r="M55" s="7" t="inlineStr">
        <is>
          <t>Mixed</t>
        </is>
      </c>
      <c r="N55" s="7" t="inlineStr">
        <is>
          <t>↑</t>
        </is>
      </c>
      <c r="O55" s="7" t="inlineStr">
        <is>
          <t>↑↑</t>
        </is>
      </c>
      <c r="P55" s="7" t="inlineStr">
        <is>
          <t>↓</t>
        </is>
      </c>
      <c r="Q55" s="7" t="inlineStr">
        <is>
          <t>↓</t>
        </is>
      </c>
      <c r="R55" s="7" t="inlineStr">
        <is>
          <t>↓</t>
        </is>
      </c>
      <c r="S55" s="3" t="inlineStr">
        <is>
          <t>Closure fear → oil spikes, global risk-off</t>
        </is>
      </c>
      <c r="T55" s="3" t="inlineStr">
        <is>
          <t>Even a partial disruption is a major supply shock</t>
        </is>
      </c>
      <c r="U55" s="7" t="inlineStr">
        <is>
          <t>Medium</t>
        </is>
      </c>
      <c r="V55" s="3" t="inlineStr">
        <is>
          <t>Tail risk with outsized oil impact.</t>
        </is>
      </c>
    </row>
    <row r="56" ht="46" customHeight="1">
      <c r="A56" s="5" t="inlineStr">
        <is>
          <t>Geopolitical</t>
        </is>
      </c>
      <c r="B56" s="6" t="inlineStr">
        <is>
          <t>Ukraine / Russia</t>
        </is>
      </c>
      <c r="C56" s="7" t="inlineStr">
        <is>
          <t>Europe</t>
        </is>
      </c>
      <c r="D56" s="3" t="inlineStr">
        <is>
          <t>war escalation risk</t>
        </is>
      </c>
      <c r="E56" s="3" t="inlineStr">
        <is>
          <t>energy, grain and European security</t>
        </is>
      </c>
      <c r="F56" s="3" t="inlineStr">
        <is>
          <t>escalation → energy up, risk-off</t>
        </is>
      </c>
      <c r="G56" s="3" t="inlineStr">
        <is>
          <t>ceasefire → risk-on, energy down</t>
        </is>
      </c>
      <c r="H56" s="7" t="inlineStr">
        <is>
          <t>↑</t>
        </is>
      </c>
      <c r="I56" s="7" t="inlineStr">
        <is>
          <t>↔</t>
        </is>
      </c>
      <c r="J56" s="7" t="inlineStr">
        <is>
          <t>Neutral</t>
        </is>
      </c>
      <c r="K56" s="7" t="inlineStr">
        <is>
          <t>↑</t>
        </is>
      </c>
      <c r="L56" s="7" t="inlineStr">
        <is>
          <t>Mixed</t>
        </is>
      </c>
      <c r="M56" s="7" t="inlineStr">
        <is>
          <t>Mixed</t>
        </is>
      </c>
      <c r="N56" s="7" t="inlineStr">
        <is>
          <t>↑</t>
        </is>
      </c>
      <c r="O56" s="7" t="inlineStr">
        <is>
          <t>↑</t>
        </is>
      </c>
      <c r="P56" s="7" t="inlineStr">
        <is>
          <t>↓</t>
        </is>
      </c>
      <c r="Q56" s="7" t="inlineStr">
        <is>
          <t>↓</t>
        </is>
      </c>
      <c r="R56" s="7" t="inlineStr">
        <is>
          <t>↔</t>
        </is>
      </c>
      <c r="S56" s="3" t="inlineStr">
        <is>
          <t>Escalation → gas/oil &amp; gold up, EU risk-off</t>
        </is>
      </c>
      <c r="T56" s="3" t="inlineStr">
        <is>
          <t>European gas and grain are the main channels</t>
        </is>
      </c>
      <c r="U56" s="7" t="inlineStr">
        <is>
          <t>Medium</t>
        </is>
      </c>
      <c r="V56" s="3" t="inlineStr">
        <is>
          <t>Less direct for GCC than Gulf risks.</t>
        </is>
      </c>
    </row>
    <row r="57" ht="46" customHeight="1">
      <c r="A57" s="5" t="inlineStr">
        <is>
          <t>Geopolitical</t>
        </is>
      </c>
      <c r="B57" s="6" t="inlineStr">
        <is>
          <t>China / Taiwan</t>
        </is>
      </c>
      <c r="C57" s="7" t="inlineStr">
        <is>
          <t>Asia</t>
        </is>
      </c>
      <c r="D57" s="3" t="inlineStr">
        <is>
          <t>cross-strait conflict risk</t>
        </is>
      </c>
      <c r="E57" s="3" t="inlineStr">
        <is>
          <t>tech supply chains and global trade</t>
        </is>
      </c>
      <c r="F57" s="3" t="inlineStr">
        <is>
          <t>escalation → global risk-off, tech hit</t>
        </is>
      </c>
      <c r="G57" s="3" t="inlineStr">
        <is>
          <t>de-escalation → risk-on</t>
        </is>
      </c>
      <c r="H57" s="7" t="inlineStr">
        <is>
          <t>↔</t>
        </is>
      </c>
      <c r="I57" s="7" t="inlineStr">
        <is>
          <t>↓</t>
        </is>
      </c>
      <c r="J57" s="7" t="inlineStr">
        <is>
          <t>Neutral</t>
        </is>
      </c>
      <c r="K57" s="7" t="inlineStr">
        <is>
          <t>↑</t>
        </is>
      </c>
      <c r="L57" s="7" t="inlineStr">
        <is>
          <t>↓</t>
        </is>
      </c>
      <c r="M57" s="7" t="inlineStr">
        <is>
          <t>↑</t>
        </is>
      </c>
      <c r="N57" s="7" t="inlineStr">
        <is>
          <t>↑</t>
        </is>
      </c>
      <c r="O57" s="7" t="inlineStr">
        <is>
          <t>↑</t>
        </is>
      </c>
      <c r="P57" s="7" t="inlineStr">
        <is>
          <t>↓↓</t>
        </is>
      </c>
      <c r="Q57" s="7" t="inlineStr">
        <is>
          <t>↓↓</t>
        </is>
      </c>
      <c r="R57" s="7" t="inlineStr">
        <is>
          <t>↓</t>
        </is>
      </c>
      <c r="S57" s="3" t="inlineStr">
        <is>
          <t>Escalation → severe risk-off, semis &amp; trade hit</t>
        </is>
      </c>
      <c r="T57" s="3" t="inlineStr">
        <is>
          <t>Low probability but very high impact</t>
        </is>
      </c>
      <c r="U57" s="7" t="inlineStr">
        <is>
          <t>Low</t>
        </is>
      </c>
      <c r="V57" s="3" t="inlineStr">
        <is>
          <t>A global tail risk, not just Asian.</t>
        </is>
      </c>
    </row>
    <row r="58" ht="46" customHeight="1">
      <c r="A58" s="5" t="inlineStr">
        <is>
          <t>Geopolitical</t>
        </is>
      </c>
      <c r="B58" s="6" t="inlineStr">
        <is>
          <t>Red Sea Shipping</t>
        </is>
      </c>
      <c r="C58" s="7" t="inlineStr">
        <is>
          <t>Middle East</t>
        </is>
      </c>
      <c r="D58" s="3" t="inlineStr">
        <is>
          <t>attacks disrupting Suez/Red Sea trade</t>
        </is>
      </c>
      <c r="E58" s="3" t="inlineStr">
        <is>
          <t>container freight and supply chains</t>
        </is>
      </c>
      <c r="F58" s="3" t="inlineStr">
        <is>
          <t>escalation → freight &amp; goods inflation up</t>
        </is>
      </c>
      <c r="G58" s="3" t="inlineStr">
        <is>
          <t>easing → freight normalizes</t>
        </is>
      </c>
      <c r="H58" s="7" t="inlineStr">
        <is>
          <t>↑</t>
        </is>
      </c>
      <c r="I58" s="7" t="inlineStr">
        <is>
          <t>↔</t>
        </is>
      </c>
      <c r="J58" s="7" t="inlineStr">
        <is>
          <t>Neutral</t>
        </is>
      </c>
      <c r="K58" s="7" t="inlineStr">
        <is>
          <t>↔</t>
        </is>
      </c>
      <c r="L58" s="7" t="inlineStr">
        <is>
          <t>↑</t>
        </is>
      </c>
      <c r="M58" s="7" t="inlineStr">
        <is>
          <t>↓</t>
        </is>
      </c>
      <c r="N58" s="7" t="inlineStr">
        <is>
          <t>↑</t>
        </is>
      </c>
      <c r="O58" s="7" t="inlineStr">
        <is>
          <t>↑</t>
        </is>
      </c>
      <c r="P58" s="7" t="inlineStr">
        <is>
          <t>↓</t>
        </is>
      </c>
      <c r="Q58" s="7" t="inlineStr">
        <is>
          <t>↓</t>
        </is>
      </c>
      <c r="R58" s="7" t="inlineStr">
        <is>
          <t>Mixed</t>
        </is>
      </c>
      <c r="S58" s="3" t="inlineStr">
        <is>
          <t>Disruption → longer routes, freight &amp; inflation up</t>
        </is>
      </c>
      <c r="T58" s="3" t="inlineStr">
        <is>
          <t>Hits goods inflation and delivery times</t>
        </is>
      </c>
      <c r="U58" s="7" t="inlineStr">
        <is>
          <t>Medium</t>
        </is>
      </c>
      <c r="V58" s="3" t="inlineStr">
        <is>
          <t>Watch freight rates and re-routing.</t>
        </is>
      </c>
    </row>
    <row r="59" ht="46" customHeight="1">
      <c r="A59" s="5" t="inlineStr">
        <is>
          <t>Geopolitical</t>
        </is>
      </c>
      <c r="B59" s="6" t="inlineStr">
        <is>
          <t>Sanctions</t>
        </is>
      </c>
      <c r="C59" s="7" t="inlineStr">
        <is>
          <t>Global</t>
        </is>
      </c>
      <c r="D59" s="3" t="inlineStr">
        <is>
          <t>trade/financial restrictions on states</t>
        </is>
      </c>
      <c r="E59" s="3" t="inlineStr">
        <is>
          <t>supply of oil, metals and goods</t>
        </is>
      </c>
      <c r="F59" s="3" t="inlineStr">
        <is>
          <t>new sanctions → supply tighter, prices up</t>
        </is>
      </c>
      <c r="G59" s="3" t="inlineStr">
        <is>
          <t>removal → supply eases</t>
        </is>
      </c>
      <c r="H59" s="7" t="inlineStr">
        <is>
          <t>↑</t>
        </is>
      </c>
      <c r="I59" s="7" t="inlineStr">
        <is>
          <t>↔</t>
        </is>
      </c>
      <c r="J59" s="7" t="inlineStr">
        <is>
          <t>Neutral</t>
        </is>
      </c>
      <c r="K59" s="7" t="inlineStr">
        <is>
          <t>↑</t>
        </is>
      </c>
      <c r="L59" s="7" t="inlineStr">
        <is>
          <t>↔</t>
        </is>
      </c>
      <c r="M59" s="7" t="inlineStr">
        <is>
          <t>↔</t>
        </is>
      </c>
      <c r="N59" s="7" t="inlineStr">
        <is>
          <t>↑</t>
        </is>
      </c>
      <c r="O59" s="7" t="inlineStr">
        <is>
          <t>↑</t>
        </is>
      </c>
      <c r="P59" s="7" t="inlineStr">
        <is>
          <t>Mixed</t>
        </is>
      </c>
      <c r="Q59" s="7" t="inlineStr">
        <is>
          <t>↓</t>
        </is>
      </c>
      <c r="R59" s="7" t="inlineStr">
        <is>
          <t>Mixed</t>
        </is>
      </c>
      <c r="S59" s="3" t="inlineStr">
        <is>
          <t>Energy sanctions → oil up, inflationary</t>
        </is>
      </c>
      <c r="T59" s="3" t="inlineStr">
        <is>
          <t>Effect depends on enforcement and workarounds</t>
        </is>
      </c>
      <c r="U59" s="7" t="inlineStr">
        <is>
          <t>Low</t>
        </is>
      </c>
      <c r="V59" s="3" t="inlineStr">
        <is>
          <t>Commodity-supply channel is the key for markets.</t>
        </is>
      </c>
    </row>
    <row r="60" ht="46" customHeight="1">
      <c r="A60" s="5" t="inlineStr">
        <is>
          <t>Global</t>
        </is>
      </c>
      <c r="B60" s="6" t="inlineStr">
        <is>
          <t>Global PMI</t>
        </is>
      </c>
      <c r="C60" s="7" t="inlineStr">
        <is>
          <t>Global</t>
        </is>
      </c>
      <c r="D60" s="3" t="inlineStr">
        <is>
          <t>world composite activity survey</t>
        </is>
      </c>
      <c r="E60" s="3" t="inlineStr">
        <is>
          <t>global demand, trade and commodities</t>
        </is>
      </c>
      <c r="F60" s="3" t="inlineStr">
        <is>
          <t>expansion → risk-on, commodities up</t>
        </is>
      </c>
      <c r="G60" s="3" t="inlineStr">
        <is>
          <t>contraction → risk-off</t>
        </is>
      </c>
      <c r="H60" s="7" t="inlineStr">
        <is>
          <t>↔</t>
        </is>
      </c>
      <c r="I60" s="7" t="inlineStr">
        <is>
          <t>↑</t>
        </is>
      </c>
      <c r="J60" s="7" t="inlineStr">
        <is>
          <t>Neutral</t>
        </is>
      </c>
      <c r="K60" s="7" t="inlineStr">
        <is>
          <t>↓</t>
        </is>
      </c>
      <c r="L60" s="7" t="inlineStr">
        <is>
          <t>↑</t>
        </is>
      </c>
      <c r="M60" s="7" t="inlineStr">
        <is>
          <t>↓</t>
        </is>
      </c>
      <c r="N60" s="7" t="inlineStr">
        <is>
          <t>↔</t>
        </is>
      </c>
      <c r="O60" s="7" t="inlineStr">
        <is>
          <t>↑</t>
        </is>
      </c>
      <c r="P60" s="7" t="inlineStr">
        <is>
          <t>↑</t>
        </is>
      </c>
      <c r="Q60" s="7" t="inlineStr">
        <is>
          <t>↑</t>
        </is>
      </c>
      <c r="R60" s="7" t="inlineStr">
        <is>
          <t>↑</t>
        </is>
      </c>
      <c r="S60" s="3" t="inlineStr">
        <is>
          <t>Global upturn → oil, EM, GCC supported</t>
        </is>
      </c>
      <c r="T60" s="3" t="inlineStr">
        <is>
          <t>China's swing dominates the global cycle</t>
        </is>
      </c>
      <c r="U60" s="7" t="inlineStr">
        <is>
          <t>Medium</t>
        </is>
      </c>
      <c r="V60" s="3" t="inlineStr">
        <is>
          <t>Best single read on the global cycle.</t>
        </is>
      </c>
    </row>
    <row r="61" ht="46" customHeight="1">
      <c r="A61" s="5" t="inlineStr">
        <is>
          <t>Global</t>
        </is>
      </c>
      <c r="B61" s="6" t="inlineStr">
        <is>
          <t>China GDP</t>
        </is>
      </c>
      <c r="C61" s="7" t="inlineStr">
        <is>
          <t>China</t>
        </is>
      </c>
      <c r="D61" s="3" t="inlineStr">
        <is>
          <t>China real growth</t>
        </is>
      </c>
      <c r="E61" s="3" t="inlineStr">
        <is>
          <t>the largest marginal source of commodity demand</t>
        </is>
      </c>
      <c r="F61" s="3" t="inlineStr">
        <is>
          <t>strong → commodities &amp; EM up</t>
        </is>
      </c>
      <c r="G61" s="3" t="inlineStr">
        <is>
          <t>weak → risk-off, oil down</t>
        </is>
      </c>
      <c r="H61" s="7" t="inlineStr">
        <is>
          <t>↔</t>
        </is>
      </c>
      <c r="I61" s="7" t="inlineStr">
        <is>
          <t>↑</t>
        </is>
      </c>
      <c r="J61" s="7" t="inlineStr">
        <is>
          <t>Neutral</t>
        </is>
      </c>
      <c r="K61" s="7" t="inlineStr">
        <is>
          <t>↓</t>
        </is>
      </c>
      <c r="L61" s="7" t="inlineStr">
        <is>
          <t>↑</t>
        </is>
      </c>
      <c r="M61" s="7" t="inlineStr">
        <is>
          <t>↓</t>
        </is>
      </c>
      <c r="N61" s="7" t="inlineStr">
        <is>
          <t>↔</t>
        </is>
      </c>
      <c r="O61" s="7" t="inlineStr">
        <is>
          <t>↑</t>
        </is>
      </c>
      <c r="P61" s="7" t="inlineStr">
        <is>
          <t>↑</t>
        </is>
      </c>
      <c r="Q61" s="7" t="inlineStr">
        <is>
          <t>↑</t>
        </is>
      </c>
      <c r="R61" s="7" t="inlineStr">
        <is>
          <t>↑</t>
        </is>
      </c>
      <c r="S61" s="3" t="inlineStr">
        <is>
          <t>Strong China → oil, EM, GCC up</t>
        </is>
      </c>
      <c r="T61" s="3" t="inlineStr">
        <is>
          <t>Official data quality is debated</t>
        </is>
      </c>
      <c r="U61" s="7" t="inlineStr">
        <is>
          <t>Medium</t>
        </is>
      </c>
      <c r="V61" s="3" t="inlineStr">
        <is>
          <t>China demand is central to the GCC oil bid.</t>
        </is>
      </c>
    </row>
    <row r="62" ht="46" customHeight="1">
      <c r="A62" s="5" t="inlineStr">
        <is>
          <t>Global</t>
        </is>
      </c>
      <c r="B62" s="6" t="inlineStr">
        <is>
          <t>China Trade Data</t>
        </is>
      </c>
      <c r="C62" s="7" t="inlineStr">
        <is>
          <t>China</t>
        </is>
      </c>
      <c r="D62" s="3" t="inlineStr">
        <is>
          <t>China exports and imports</t>
        </is>
      </c>
      <c r="E62" s="3" t="inlineStr">
        <is>
          <t>global trade pulse and commodity appetite</t>
        </is>
      </c>
      <c r="F62" s="3" t="inlineStr">
        <is>
          <t>strong imports → commodity demand up</t>
        </is>
      </c>
      <c r="G62" s="3" t="inlineStr">
        <is>
          <t>weak → global demand fear</t>
        </is>
      </c>
      <c r="H62" s="7" t="inlineStr">
        <is>
          <t>↔</t>
        </is>
      </c>
      <c r="I62" s="7" t="inlineStr">
        <is>
          <t>↑</t>
        </is>
      </c>
      <c r="J62" s="7" t="inlineStr">
        <is>
          <t>Neutral</t>
        </is>
      </c>
      <c r="K62" s="7" t="inlineStr">
        <is>
          <t>↓</t>
        </is>
      </c>
      <c r="L62" s="7" t="inlineStr">
        <is>
          <t>↔</t>
        </is>
      </c>
      <c r="M62" s="7" t="inlineStr">
        <is>
          <t>↔</t>
        </is>
      </c>
      <c r="N62" s="7" t="inlineStr">
        <is>
          <t>↔</t>
        </is>
      </c>
      <c r="O62" s="7" t="inlineStr">
        <is>
          <t>↑</t>
        </is>
      </c>
      <c r="P62" s="7" t="inlineStr">
        <is>
          <t>↑</t>
        </is>
      </c>
      <c r="Q62" s="7" t="inlineStr">
        <is>
          <t>↑</t>
        </is>
      </c>
      <c r="R62" s="7" t="inlineStr">
        <is>
          <t>↑</t>
        </is>
      </c>
      <c r="S62" s="3" t="inlineStr">
        <is>
          <t>Weak China imports → oil &amp; EM down</t>
        </is>
      </c>
      <c r="T62" s="3" t="inlineStr">
        <is>
          <t>Lunar New Year seasonality distorts</t>
        </is>
      </c>
      <c r="U62" s="7" t="inlineStr">
        <is>
          <t>Low</t>
        </is>
      </c>
      <c r="V62" s="3" t="inlineStr">
        <is>
          <t>Imports proxy China's commodity appetite.</t>
        </is>
      </c>
    </row>
    <row r="63" ht="46" customHeight="1">
      <c r="A63" s="5" t="inlineStr">
        <is>
          <t>Global</t>
        </is>
      </c>
      <c r="B63" s="6" t="inlineStr">
        <is>
          <t>Eurozone CPI</t>
        </is>
      </c>
      <c r="C63" s="7" t="inlineStr">
        <is>
          <t>Eurozone</t>
        </is>
      </c>
      <c r="D63" s="3" t="inlineStr">
        <is>
          <t>euro-area inflation</t>
        </is>
      </c>
      <c r="E63" s="3" t="inlineStr">
        <is>
          <t>drives ECB policy and EUR</t>
        </is>
      </c>
      <c r="F63" s="3" t="inlineStr">
        <is>
          <t>hot → ECB hawkish, EUR up (USD down)</t>
        </is>
      </c>
      <c r="G63" s="3" t="inlineStr">
        <is>
          <t>cool → ECB dovish, EUR down</t>
        </is>
      </c>
      <c r="H63" s="7" t="inlineStr">
        <is>
          <t>↑</t>
        </is>
      </c>
      <c r="I63" s="7" t="inlineStr">
        <is>
          <t>↔</t>
        </is>
      </c>
      <c r="J63" s="7" t="inlineStr">
        <is>
          <t>Hawkish</t>
        </is>
      </c>
      <c r="K63" s="7" t="inlineStr">
        <is>
          <t>↓</t>
        </is>
      </c>
      <c r="L63" s="7" t="inlineStr">
        <is>
          <t>↑</t>
        </is>
      </c>
      <c r="M63" s="7" t="inlineStr">
        <is>
          <t>↓</t>
        </is>
      </c>
      <c r="N63" s="7" t="inlineStr">
        <is>
          <t>↔</t>
        </is>
      </c>
      <c r="O63" s="7" t="inlineStr">
        <is>
          <t>↔</t>
        </is>
      </c>
      <c r="P63" s="7" t="inlineStr">
        <is>
          <t>Mixed</t>
        </is>
      </c>
      <c r="Q63" s="7" t="inlineStr">
        <is>
          <t>↔</t>
        </is>
      </c>
      <c r="R63" s="7" t="inlineStr">
        <is>
          <t>↔</t>
        </is>
      </c>
      <c r="S63" s="3" t="inlineStr">
        <is>
          <t>Hot EZ CPI → ECB hawkish, EUR up</t>
        </is>
      </c>
      <c r="T63" s="3" t="inlineStr">
        <is>
          <t>Country dispersion matters</t>
        </is>
      </c>
      <c r="U63" s="7" t="inlineStr">
        <is>
          <t>Medium</t>
        </is>
      </c>
      <c r="V63" s="3" t="inlineStr">
        <is>
          <t>Main input to the ECB path and EUR/USD.</t>
        </is>
      </c>
    </row>
    <row r="64" ht="46" customHeight="1">
      <c r="A64" s="5" t="inlineStr">
        <is>
          <t>Global</t>
        </is>
      </c>
      <c r="B64" s="6" t="inlineStr">
        <is>
          <t>ECB Policy</t>
        </is>
      </c>
      <c r="C64" s="7" t="inlineStr">
        <is>
          <t>Eurozone</t>
        </is>
      </c>
      <c r="D64" s="3" t="inlineStr">
        <is>
          <t>European Central Bank decisions</t>
        </is>
      </c>
      <c r="E64" s="3" t="inlineStr">
        <is>
          <t>euro-area rates and EUR/USD</t>
        </is>
      </c>
      <c r="F64" s="3" t="inlineStr">
        <is>
          <t>hawkish → EUR up, USD down</t>
        </is>
      </c>
      <c r="G64" s="3" t="inlineStr">
        <is>
          <t>dovish → EUR down, USD up</t>
        </is>
      </c>
      <c r="H64" s="7" t="inlineStr">
        <is>
          <t>↔</t>
        </is>
      </c>
      <c r="I64" s="7" t="inlineStr">
        <is>
          <t>↔</t>
        </is>
      </c>
      <c r="J64" s="7" t="inlineStr">
        <is>
          <t>Mixed</t>
        </is>
      </c>
      <c r="K64" s="7" t="inlineStr">
        <is>
          <t>↓</t>
        </is>
      </c>
      <c r="L64" s="7" t="inlineStr">
        <is>
          <t>↑</t>
        </is>
      </c>
      <c r="M64" s="7" t="inlineStr">
        <is>
          <t>↓</t>
        </is>
      </c>
      <c r="N64" s="7" t="inlineStr">
        <is>
          <t>↔</t>
        </is>
      </c>
      <c r="O64" s="7" t="inlineStr">
        <is>
          <t>↔</t>
        </is>
      </c>
      <c r="P64" s="7" t="inlineStr">
        <is>
          <t>Mixed</t>
        </is>
      </c>
      <c r="Q64" s="7" t="inlineStr">
        <is>
          <t>↔</t>
        </is>
      </c>
      <c r="R64" s="7" t="inlineStr">
        <is>
          <t>↔</t>
        </is>
      </c>
      <c r="S64" s="3" t="inlineStr">
        <is>
          <t>Hawkish ECB → EUR up, bunds down</t>
        </is>
      </c>
      <c r="T64" s="3" t="inlineStr">
        <is>
          <t>EUR is the biggest DXY weight</t>
        </is>
      </c>
      <c r="U64" s="7" t="inlineStr">
        <is>
          <t>Medium</t>
        </is>
      </c>
      <c r="V64" s="3" t="inlineStr">
        <is>
          <t>Second-most important CB for USD.</t>
        </is>
      </c>
    </row>
    <row r="65" ht="46" customHeight="1">
      <c r="A65" s="5" t="inlineStr">
        <is>
          <t>Global</t>
        </is>
      </c>
      <c r="B65" s="6" t="inlineStr">
        <is>
          <t>BOE Policy</t>
        </is>
      </c>
      <c r="C65" s="7" t="inlineStr">
        <is>
          <t>UK</t>
        </is>
      </c>
      <c r="D65" s="3" t="inlineStr">
        <is>
          <t>Bank of England decisions</t>
        </is>
      </c>
      <c r="E65" s="3" t="inlineStr">
        <is>
          <t>UK rates and GBP</t>
        </is>
      </c>
      <c r="F65" s="3" t="inlineStr">
        <is>
          <t>hawkish → GBP up</t>
        </is>
      </c>
      <c r="G65" s="3" t="inlineStr">
        <is>
          <t>dovish → GBP down</t>
        </is>
      </c>
      <c r="H65" s="7" t="inlineStr">
        <is>
          <t>↔</t>
        </is>
      </c>
      <c r="I65" s="7" t="inlineStr">
        <is>
          <t>↔</t>
        </is>
      </c>
      <c r="J65" s="7" t="inlineStr">
        <is>
          <t>Mixed</t>
        </is>
      </c>
      <c r="K65" s="7" t="inlineStr">
        <is>
          <t>↓</t>
        </is>
      </c>
      <c r="L65" s="7" t="inlineStr">
        <is>
          <t>↑</t>
        </is>
      </c>
      <c r="M65" s="7" t="inlineStr">
        <is>
          <t>↓</t>
        </is>
      </c>
      <c r="N65" s="7" t="inlineStr">
        <is>
          <t>↔</t>
        </is>
      </c>
      <c r="O65" s="7" t="inlineStr">
        <is>
          <t>↔</t>
        </is>
      </c>
      <c r="P65" s="7" t="inlineStr">
        <is>
          <t>↔</t>
        </is>
      </c>
      <c r="Q65" s="7" t="inlineStr">
        <is>
          <t>↔</t>
        </is>
      </c>
      <c r="R65" s="7" t="inlineStr">
        <is>
          <t>↔</t>
        </is>
      </c>
      <c r="S65" s="3" t="inlineStr">
        <is>
          <t>Hawkish BOE → GBP up, gilts down</t>
        </is>
      </c>
      <c r="T65" s="3" t="inlineStr">
        <is>
          <t>UK inflation has been stickier</t>
        </is>
      </c>
      <c r="U65" s="7" t="inlineStr">
        <is>
          <t>Low</t>
        </is>
      </c>
      <c r="V65" s="3" t="inlineStr">
        <is>
          <t>Mainly a GBP and gilt driver.</t>
        </is>
      </c>
    </row>
    <row r="66" ht="46" customHeight="1">
      <c r="A66" s="5" t="inlineStr">
        <is>
          <t>Global</t>
        </is>
      </c>
      <c r="B66" s="6" t="inlineStr">
        <is>
          <t>SNB Policy</t>
        </is>
      </c>
      <c r="C66" s="7" t="inlineStr">
        <is>
          <t>Switzerland</t>
        </is>
      </c>
      <c r="D66" s="3" t="inlineStr">
        <is>
          <t>Swiss National Bank decisions</t>
        </is>
      </c>
      <c r="E66" s="3" t="inlineStr">
        <is>
          <t>CHF, a key safe-haven currency</t>
        </is>
      </c>
      <c r="F66" s="3" t="inlineStr">
        <is>
          <t>hawkish/intervention → CHF up</t>
        </is>
      </c>
      <c r="G66" s="3" t="inlineStr">
        <is>
          <t>dovish → CHF down</t>
        </is>
      </c>
      <c r="H66" s="7" t="inlineStr">
        <is>
          <t>↔</t>
        </is>
      </c>
      <c r="I66" s="7" t="inlineStr">
        <is>
          <t>↔</t>
        </is>
      </c>
      <c r="J66" s="7" t="inlineStr">
        <is>
          <t>Neutral</t>
        </is>
      </c>
      <c r="K66" s="7" t="inlineStr">
        <is>
          <t>Mixed</t>
        </is>
      </c>
      <c r="L66" s="7" t="inlineStr">
        <is>
          <t>↔</t>
        </is>
      </c>
      <c r="M66" s="7" t="inlineStr">
        <is>
          <t>↔</t>
        </is>
      </c>
      <c r="N66" s="7" t="inlineStr">
        <is>
          <t>↔</t>
        </is>
      </c>
      <c r="O66" s="7" t="inlineStr">
        <is>
          <t>↔</t>
        </is>
      </c>
      <c r="P66" s="7" t="inlineStr">
        <is>
          <t>↔</t>
        </is>
      </c>
      <c r="Q66" s="7" t="inlineStr">
        <is>
          <t>↔</t>
        </is>
      </c>
      <c r="R66" s="7" t="inlineStr">
        <is>
          <t>↔</t>
        </is>
      </c>
      <c r="S66" s="3" t="inlineStr">
        <is>
          <t>CHF strength signals risk-off demand</t>
        </is>
      </c>
      <c r="T66" s="3" t="inlineStr">
        <is>
          <t>SNB intervenes in FX directly</t>
        </is>
      </c>
      <c r="U66" s="7" t="inlineStr">
        <is>
          <t>Low</t>
        </is>
      </c>
      <c r="V66" s="3" t="inlineStr">
        <is>
          <t>CHF is a risk-off barometer alongside gold/JPY.</t>
        </is>
      </c>
    </row>
    <row r="67" ht="46" customHeight="1">
      <c r="A67" s="5" t="inlineStr">
        <is>
          <t>Global</t>
        </is>
      </c>
      <c r="B67" s="6" t="inlineStr">
        <is>
          <t>BOJ Policy</t>
        </is>
      </c>
      <c r="C67" s="7" t="inlineStr">
        <is>
          <t>Japan</t>
        </is>
      </c>
      <c r="D67" s="3" t="inlineStr">
        <is>
          <t>Bank of Japan decisions</t>
        </is>
      </c>
      <c r="E67" s="3" t="inlineStr">
        <is>
          <t>JPY, global carry and rates</t>
        </is>
      </c>
      <c r="F67" s="3" t="inlineStr">
        <is>
          <t>hawkish (exit) → JPY up, global yields up</t>
        </is>
      </c>
      <c r="G67" s="3" t="inlineStr">
        <is>
          <t>dovish → JPY down, carry-on</t>
        </is>
      </c>
      <c r="H67" s="7" t="inlineStr">
        <is>
          <t>↔</t>
        </is>
      </c>
      <c r="I67" s="7" t="inlineStr">
        <is>
          <t>↔</t>
        </is>
      </c>
      <c r="J67" s="7" t="inlineStr">
        <is>
          <t>Mixed</t>
        </is>
      </c>
      <c r="K67" s="7" t="inlineStr">
        <is>
          <t>Mixed</t>
        </is>
      </c>
      <c r="L67" s="7" t="inlineStr">
        <is>
          <t>↑</t>
        </is>
      </c>
      <c r="M67" s="7" t="inlineStr">
        <is>
          <t>↓</t>
        </is>
      </c>
      <c r="N67" s="7" t="inlineStr">
        <is>
          <t>↔</t>
        </is>
      </c>
      <c r="O67" s="7" t="inlineStr">
        <is>
          <t>↔</t>
        </is>
      </c>
      <c r="P67" s="7" t="inlineStr">
        <is>
          <t>↓</t>
        </is>
      </c>
      <c r="Q67" s="7" t="inlineStr">
        <is>
          <t>↓</t>
        </is>
      </c>
      <c r="R67" s="7" t="inlineStr">
        <is>
          <t>↔</t>
        </is>
      </c>
      <c r="S67" s="3" t="inlineStr">
        <is>
          <t>Hawkish BOJ → JPY up, unwind of carry trades</t>
        </is>
      </c>
      <c r="T67" s="3" t="inlineStr">
        <is>
          <t>Yen carry unwind can jolt global markets</t>
        </is>
      </c>
      <c r="U67" s="7" t="inlineStr">
        <is>
          <t>Medium</t>
        </is>
      </c>
      <c r="V67" s="3" t="inlineStr">
        <is>
          <t>A hawkish surprise can trigger global de-risking.</t>
        </is>
      </c>
    </row>
  </sheetData>
  <autoFilter ref="A4:V67"/>
  <mergeCells count="3">
    <mergeCell ref="A2:V2"/>
    <mergeCell ref="A1:V1"/>
    <mergeCell ref="A3:V3"/>
  </mergeCells>
  <conditionalFormatting sqref="H5:R67">
    <cfRule type="cellIs" priority="1" operator="equal" dxfId="0">
      <formula>"↑↑"</formula>
    </cfRule>
    <cfRule type="cellIs" priority="2" operator="equal" dxfId="0">
      <formula>"↑"</formula>
    </cfRule>
    <cfRule type="cellIs" priority="3" operator="equal" dxfId="1">
      <formula>"↓↓"</formula>
    </cfRule>
    <cfRule type="cellIs" priority="4" operator="equal" dxfId="1">
      <formula>"↓"</formula>
    </cfRule>
    <cfRule type="cellIs" priority="5" operator="equal" dxfId="2">
      <formula>"↔"</formula>
    </cfRule>
    <cfRule type="cellIs" priority="6" operator="equal" dxfId="3">
      <formula>"Mixed"</formula>
    </cfRule>
  </conditionalFormatting>
  <conditionalFormatting sqref="J5:J67">
    <cfRule type="cellIs" priority="7" operator="equal" dxfId="1">
      <formula>"Hawkish"</formula>
    </cfRule>
    <cfRule type="cellIs" priority="8" operator="equal" dxfId="0">
      <formula>"Dovish"</formula>
    </cfRule>
    <cfRule type="cellIs" priority="9" operator="equal" dxfId="2">
      <formula>"Neutral"</formula>
    </cfRule>
    <cfRule type="cellIs" priority="10" operator="equal" dxfId="3">
      <formula>"Mixed"</formula>
    </cfRule>
  </conditionalFormatting>
  <conditionalFormatting sqref="U5:U67">
    <cfRule type="cellIs" priority="11" operator="equal" dxfId="0">
      <formula>"High"</formula>
    </cfRule>
    <cfRule type="cellIs" priority="12" operator="equal" dxfId="3">
      <formula>"Medium"</formula>
    </cfRule>
    <cfRule type="cellIs" priority="13" operator="equal" dxfId="2">
      <formula>"Low"</formula>
    </cfRule>
  </conditionalFormatting>
  <dataValidations count="1">
    <dataValidation sqref="U5:U67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K3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3" customWidth="1" min="3" max="3"/>
    <col width="10" customWidth="1" min="4" max="4"/>
    <col width="10" customWidth="1" min="5" max="5"/>
    <col width="12" customWidth="1" min="6" max="6"/>
    <col width="12" customWidth="1" min="7" max="7"/>
    <col width="11" customWidth="1" min="8" max="8"/>
    <col width="9" customWidth="1" min="9" max="9"/>
    <col width="11" customWidth="1" min="10" max="10"/>
    <col width="30" customWidth="1" min="11" max="11"/>
  </cols>
  <sheetData>
    <row r="1" ht="26" customHeight="1">
      <c r="A1" s="1" t="inlineStr">
        <is>
          <t>GLOBAL STRESS / FEAR INDEX</t>
        </is>
      </c>
    </row>
    <row r="2">
      <c r="A2" s="2" t="inlineStr">
        <is>
          <t>A 0-100 composite of market fear and stress - are markets calm, normal, elevated, stressed or in crisis?</t>
        </is>
      </c>
    </row>
    <row r="3">
      <c r="A3" s="3" t="inlineStr">
        <is>
          <t>Yellow = you type (levels, changes, thresholds, weights). Grey = calculated. Score = Σ(component score × weight) = SUMPRODUCT(scores, weights).</t>
        </is>
      </c>
    </row>
    <row r="5">
      <c r="A5" s="5" t="inlineStr">
        <is>
          <t>GLOBAL STRESS SCORE (0-100)</t>
        </is>
      </c>
      <c r="C5" s="8">
        <f>ROUND(SUM(J10:J18),0)</f>
        <v/>
      </c>
      <c r="D5" s="9" t="n"/>
      <c r="E5" s="10">
        <f>IF(C5&lt;=20,"Calm",IF(C5&lt;=40,"Normal",IF(C5&lt;=60,"Elevated",IF(C5&lt;=80,"High Stress","Crisis"))))</f>
        <v/>
      </c>
      <c r="F5" s="11" t="n"/>
      <c r="G5" s="11" t="n"/>
      <c r="H5" s="9" t="n"/>
    </row>
    <row r="6">
      <c r="A6" s="5" t="inlineStr">
        <is>
          <t>Main stress driver</t>
        </is>
      </c>
      <c r="C6" s="12">
        <f>IFERROR(INDEX(A10:A18,MATCH(MAX(H10:H18),H10:H18,0)),"")</f>
        <v/>
      </c>
      <c r="D6" s="13" t="n"/>
      <c r="E6" s="13" t="n"/>
      <c r="F6" s="13" t="n"/>
      <c r="G6" s="13" t="n"/>
      <c r="H6" s="14" t="n"/>
    </row>
    <row r="7">
      <c r="A7" s="5" t="inlineStr">
        <is>
          <t>Secondary stress driver</t>
        </is>
      </c>
      <c r="C7" s="12">
        <f>IFERROR(INDEX(A10:A18,MATCH(LARGE(H10:H18,2),H10:H18,0)),"")</f>
        <v/>
      </c>
      <c r="D7" s="13" t="n"/>
      <c r="E7" s="13" t="n"/>
      <c r="F7" s="13" t="n"/>
      <c r="G7" s="13" t="n"/>
      <c r="H7" s="14" t="n"/>
    </row>
    <row r="9" ht="26" customHeight="1">
      <c r="A9" s="4" t="inlineStr">
        <is>
          <t>Component</t>
        </is>
      </c>
      <c r="B9" s="4" t="inlineStr">
        <is>
          <t>Description</t>
        </is>
      </c>
      <c r="C9" s="4" t="inlineStr">
        <is>
          <t>Current level</t>
        </is>
      </c>
      <c r="D9" s="4" t="inlineStr">
        <is>
          <t>1-wk chg</t>
        </is>
      </c>
      <c r="E9" s="4" t="inlineStr">
        <is>
          <t>1-mo chg</t>
        </is>
      </c>
      <c r="F9" s="4" t="inlineStr">
        <is>
          <t>Normal thr.</t>
        </is>
      </c>
      <c r="G9" s="4" t="inlineStr">
        <is>
          <t>Stress thr.</t>
        </is>
      </c>
      <c r="H9" s="4" t="inlineStr">
        <is>
          <t>Score 0-100</t>
        </is>
      </c>
      <c r="I9" s="4" t="inlineStr">
        <is>
          <t>Weight</t>
        </is>
      </c>
      <c r="J9" s="4" t="inlineStr">
        <is>
          <t>Weighted</t>
        </is>
      </c>
      <c r="K9" s="4" t="inlineStr">
        <is>
          <t>Comment</t>
        </is>
      </c>
    </row>
    <row r="10">
      <c r="A10" s="5" t="inlineStr">
        <is>
          <t>Equity fear (VIX)</t>
        </is>
      </c>
      <c r="B10" s="3" t="inlineStr">
        <is>
          <t>S&amp;P 500 implied volatility</t>
        </is>
      </c>
      <c r="C10" s="15" t="n">
        <v>24</v>
      </c>
      <c r="D10" s="16" t="n">
        <v>3</v>
      </c>
      <c r="E10" s="16" t="n">
        <v>6</v>
      </c>
      <c r="F10" s="15" t="n">
        <v>15</v>
      </c>
      <c r="G10" s="15" t="n">
        <v>35</v>
      </c>
      <c r="H10" s="17">
        <f>IF(C10="","",IFERROR(MEDIAN(0,100*(C10-F10)/(G10-F10),100),0))</f>
        <v/>
      </c>
      <c r="I10" s="18" t="n">
        <v>0.18</v>
      </c>
      <c r="J10" s="19">
        <f>IF(H10="","",H10*I10)</f>
        <v/>
      </c>
      <c r="K10" s="20" t="inlineStr">
        <is>
          <t>Above 30 signals fear; above 40 panic.</t>
        </is>
      </c>
    </row>
    <row r="11">
      <c r="A11" s="5" t="inlineStr">
        <is>
          <t>Bond volatility (MOVE)</t>
        </is>
      </c>
      <c r="B11" s="3" t="inlineStr">
        <is>
          <t>Treasury implied volatility</t>
        </is>
      </c>
      <c r="C11" s="15" t="n">
        <v>115</v>
      </c>
      <c r="D11" s="16" t="n">
        <v>8</v>
      </c>
      <c r="E11" s="16" t="n">
        <v>15</v>
      </c>
      <c r="F11" s="15" t="n">
        <v>90</v>
      </c>
      <c r="G11" s="15" t="n">
        <v>160</v>
      </c>
      <c r="H11" s="17">
        <f>IF(C11="","",IFERROR(MEDIAN(0,100*(C11-F11)/(G11-F11),100),0))</f>
        <v/>
      </c>
      <c r="I11" s="18" t="n">
        <v>0.12</v>
      </c>
      <c r="J11" s="19">
        <f>IF(H11="","",H11*I11)</f>
        <v/>
      </c>
      <c r="K11" s="20" t="inlineStr">
        <is>
          <t>Rising MOVE tightens financial conditions.</t>
        </is>
      </c>
    </row>
    <row r="12">
      <c r="A12" s="5" t="inlineStr">
        <is>
          <t>USD strength (DXY)</t>
        </is>
      </c>
      <c r="B12" s="3" t="inlineStr">
        <is>
          <t>USD vs major currencies</t>
        </is>
      </c>
      <c r="C12" s="15" t="n">
        <v>104.5</v>
      </c>
      <c r="D12" s="16" t="n">
        <v>0.8</v>
      </c>
      <c r="E12" s="16" t="n">
        <v>2.5</v>
      </c>
      <c r="F12" s="15" t="n">
        <v>0</v>
      </c>
      <c r="G12" s="15" t="n">
        <v>4</v>
      </c>
      <c r="H12" s="17">
        <f>IF(E12="","",IFERROR(MEDIAN(0,100*(E12-F12)/(G12-F12),100),0))</f>
        <v/>
      </c>
      <c r="I12" s="18" t="n">
        <v>0.08</v>
      </c>
      <c r="J12" s="19">
        <f>IF(H12="","",H12*I12)</f>
        <v/>
      </c>
      <c r="K12" s="20" t="inlineStr">
        <is>
          <t>A fast USD rally = global tightening / flight to safety.</t>
        </is>
      </c>
    </row>
    <row r="13">
      <c r="A13" s="5" t="inlineStr">
        <is>
          <t>Safe-haven gold</t>
        </is>
      </c>
      <c r="B13" s="3" t="inlineStr">
        <is>
          <t>gold spot price</t>
        </is>
      </c>
      <c r="C13" s="15" t="n">
        <v>2380</v>
      </c>
      <c r="D13" s="16" t="n">
        <v>1.5</v>
      </c>
      <c r="E13" s="16" t="n">
        <v>5</v>
      </c>
      <c r="F13" s="15" t="n">
        <v>0</v>
      </c>
      <c r="G13" s="15" t="n">
        <v>10</v>
      </c>
      <c r="H13" s="17">
        <f>IF(E13="","",IFERROR(MEDIAN(0,100*(E13-F13)/(G13-F13),100),0))</f>
        <v/>
      </c>
      <c r="I13" s="18" t="n">
        <v>0.06</v>
      </c>
      <c r="J13" s="19">
        <f>IF(H13="","",H13*I13)</f>
        <v/>
      </c>
      <c r="K13" s="20" t="inlineStr">
        <is>
          <t>Sharp gold rallies signal hedging demand.</t>
        </is>
      </c>
    </row>
    <row r="14">
      <c r="A14" s="5" t="inlineStr">
        <is>
          <t>Oil shock (Brent)</t>
        </is>
      </c>
      <c r="B14" s="3" t="inlineStr">
        <is>
          <t>Brent crude</t>
        </is>
      </c>
      <c r="C14" s="15" t="n">
        <v>88</v>
      </c>
      <c r="D14" s="16" t="n">
        <v>4</v>
      </c>
      <c r="E14" s="16" t="n">
        <v>9</v>
      </c>
      <c r="F14" s="15" t="n">
        <v>0</v>
      </c>
      <c r="G14" s="15" t="n">
        <v>15</v>
      </c>
      <c r="H14" s="17">
        <f>IF(E14="","",IFERROR(MEDIAN(0,100*(E14-F14)/(G14-F14),100),0))</f>
        <v/>
      </c>
      <c r="I14" s="18" t="n">
        <v>0.1</v>
      </c>
      <c r="J14" s="19">
        <f>IF(H14="","",H14*I14)</f>
        <v/>
      </c>
      <c r="K14" s="20" t="inlineStr">
        <is>
          <t>Supply/geo-driven spikes are inflationary and risk-negative.</t>
        </is>
      </c>
    </row>
    <row r="15">
      <c r="A15" s="5" t="inlineStr">
        <is>
          <t>Equity drawdown (S&amp;P 500)</t>
        </is>
      </c>
      <c r="B15" s="3" t="inlineStr">
        <is>
          <t>S&amp;P 500 pullback</t>
        </is>
      </c>
      <c r="C15" s="15" t="n">
        <v>5100</v>
      </c>
      <c r="D15" s="16" t="n">
        <v>-1.5</v>
      </c>
      <c r="E15" s="16" t="n">
        <v>-4</v>
      </c>
      <c r="F15" s="15" t="n">
        <v>0</v>
      </c>
      <c r="G15" s="15" t="n">
        <v>15</v>
      </c>
      <c r="H15" s="17">
        <f>IF(E15="","",IFERROR(MEDIAN(0,100*(-E15-F15)/(G15-F15),100),0))</f>
        <v/>
      </c>
      <c r="I15" s="18" t="n">
        <v>0.15</v>
      </c>
      <c r="J15" s="19">
        <f>IF(H15="","",H15*I15)</f>
        <v/>
      </c>
      <c r="K15" s="20" t="inlineStr">
        <is>
          <t>Drawdown magnitude from the recent high.</t>
        </is>
      </c>
    </row>
    <row r="16">
      <c r="A16" s="5" t="inlineStr">
        <is>
          <t>Credit spreads (HY)</t>
        </is>
      </c>
      <c r="B16" s="3" t="inlineStr">
        <is>
          <t>high-yield OAS</t>
        </is>
      </c>
      <c r="C16" s="15" t="n">
        <v>400</v>
      </c>
      <c r="D16" s="16" t="n">
        <v>20</v>
      </c>
      <c r="E16" s="16" t="n">
        <v>55</v>
      </c>
      <c r="F16" s="15" t="n">
        <v>350</v>
      </c>
      <c r="G16" s="15" t="n">
        <v>800</v>
      </c>
      <c r="H16" s="17">
        <f>IF(C16="","",IFERROR(MEDIAN(0,100*(C16-F16)/(G16-F16),100),0))</f>
        <v/>
      </c>
      <c r="I16" s="18" t="n">
        <v>0.13</v>
      </c>
      <c r="J16" s="19">
        <f>IF(H16="","",H16*I16)</f>
        <v/>
      </c>
      <c r="K16" s="20" t="inlineStr">
        <is>
          <t>Widening high-yield spreads = credit / funding stress.</t>
        </is>
      </c>
    </row>
    <row r="17">
      <c r="A17" s="5" t="inlineStr">
        <is>
          <t>Rate shock (US 10Y)</t>
        </is>
      </c>
      <c r="B17" s="3" t="inlineStr">
        <is>
          <t>10-year Treasury yield move</t>
        </is>
      </c>
      <c r="C17" s="15" t="n">
        <v>4.35</v>
      </c>
      <c r="D17" s="16" t="n">
        <v>10</v>
      </c>
      <c r="E17" s="16" t="n">
        <v>35</v>
      </c>
      <c r="F17" s="15" t="n">
        <v>0</v>
      </c>
      <c r="G17" s="15" t="n">
        <v>60</v>
      </c>
      <c r="H17" s="17">
        <f>IF(E17="","",IFERROR(MEDIAN(0,100*(ABS(E17)-F17)/(G17-F17),100),0))</f>
        <v/>
      </c>
      <c r="I17" s="18" t="n">
        <v>0.08</v>
      </c>
      <c r="J17" s="19">
        <f>IF(H17="","",H17*I17)</f>
        <v/>
      </c>
      <c r="K17" s="20" t="inlineStr">
        <is>
          <t>Fast 10Y moves (up or down) destabilize markets.</t>
        </is>
      </c>
    </row>
    <row r="18">
      <c r="A18" s="5" t="inlineStr">
        <is>
          <t>Geopolitical risk</t>
        </is>
      </c>
      <c r="B18" s="3" t="inlineStr">
        <is>
          <t>wars, Iran, Ukraine, Red Sea, Taiwan</t>
        </is>
      </c>
      <c r="C18" s="15" t="n">
        <v>60</v>
      </c>
      <c r="D18" s="16" t="n">
        <v>5</v>
      </c>
      <c r="E18" s="16" t="n">
        <v>10</v>
      </c>
      <c r="F18" s="15" t="n">
        <v>0</v>
      </c>
      <c r="G18" s="15" t="n">
        <v>100</v>
      </c>
      <c r="H18" s="17">
        <f>IF(C18="","",MEDIAN(0,C18,100))</f>
        <v/>
      </c>
      <c r="I18" s="18" t="n">
        <v>0.1</v>
      </c>
      <c r="J18" s="19">
        <f>IF(H18="","",H18*I18)</f>
        <v/>
      </c>
      <c r="K18" s="20" t="inlineStr">
        <is>
          <t>Analyst score: 0 calm .. 100 crisis.</t>
        </is>
      </c>
    </row>
    <row r="19">
      <c r="A19" s="21" t="inlineStr">
        <is>
          <t>TOTAL</t>
        </is>
      </c>
      <c r="B19" s="22" t="n"/>
      <c r="C19" s="22" t="n"/>
      <c r="D19" s="22" t="n"/>
      <c r="E19" s="22" t="n"/>
      <c r="F19" s="22" t="n"/>
      <c r="G19" s="22" t="n"/>
      <c r="H19" s="23">
        <f>ROUND(SUM(J10:J18),0)</f>
        <v/>
      </c>
      <c r="I19" s="24">
        <f>SUM(I10:I18)</f>
        <v/>
      </c>
      <c r="J19" s="25">
        <f>SUM(J10:J18)</f>
        <v/>
      </c>
      <c r="K19" s="26">
        <f>IF(ABS(SUM(I10:I18)-1)&lt;0.001,"weights OK","WARNING: weights ≠ 100%")</f>
        <v/>
      </c>
    </row>
    <row r="21" ht="30" customHeight="1">
      <c r="A21" s="5" t="inlineStr">
        <is>
          <t>Market interpretation</t>
        </is>
      </c>
      <c r="C21" s="27">
        <f>IFERROR(INDEX(C31:C35,MATCH(E5,A31:A35,0)),"")</f>
        <v/>
      </c>
    </row>
    <row r="22" ht="30" customHeight="1">
      <c r="A22" s="5" t="inlineStr">
        <is>
          <t>Portfolio implication</t>
        </is>
      </c>
      <c r="C22" s="27">
        <f>IFERROR(INDEX(G31:G35,MATCH(E5,A31:A35,0)),"")</f>
        <v/>
      </c>
    </row>
    <row r="24" ht="56" customHeight="1">
      <c r="A24" s="5" t="inlineStr">
        <is>
          <t>Auto summary</t>
        </is>
      </c>
      <c r="C24" s="28">
        <f>IF(C5="","","Global market stress is "&amp;LOWER(E5)&amp;" ("&amp;TEXT(C5,"0")&amp;"/100). Main drivers: "&amp;C6&amp;" and "&amp;C7&amp;". "&amp;INDEX(C31:C35,MATCH(E5,A31:A35,0))&amp;" Portfolio: "&amp;INDEX(G31:G35,MATCH(E5,A31:A35,0)))</f>
        <v/>
      </c>
      <c r="D24" s="13" t="n"/>
      <c r="E24" s="13" t="n"/>
      <c r="F24" s="13" t="n"/>
      <c r="G24" s="13" t="n"/>
      <c r="H24" s="13" t="n"/>
      <c r="I24" s="13" t="n"/>
      <c r="J24" s="13" t="n"/>
      <c r="K24" s="14" t="n"/>
    </row>
    <row r="26" ht="42" customHeight="1">
      <c r="A26" s="5" t="inlineStr">
        <is>
          <t>Analyst comment</t>
        </is>
      </c>
      <c r="C26" s="20" t="inlineStr"/>
      <c r="D26" s="29" t="n"/>
      <c r="E26" s="29" t="n"/>
      <c r="F26" s="29" t="n"/>
      <c r="G26" s="29" t="n"/>
      <c r="H26" s="29" t="n"/>
      <c r="I26" s="29" t="n"/>
      <c r="J26" s="29" t="n"/>
      <c r="K26" s="30" t="n"/>
    </row>
    <row r="29">
      <c r="A29" s="31" t="inlineStr">
        <is>
          <t>Classification bands</t>
        </is>
      </c>
    </row>
    <row r="30">
      <c r="A30" s="32" t="inlineStr">
        <is>
          <t>Band</t>
        </is>
      </c>
      <c r="B30" s="32" t="inlineStr">
        <is>
          <t>Range</t>
        </is>
      </c>
      <c r="C30" s="32" t="inlineStr">
        <is>
          <t>Market interpretation</t>
        </is>
      </c>
      <c r="G30" s="32" t="inlineStr">
        <is>
          <t>Portfolio implication</t>
        </is>
      </c>
    </row>
    <row r="31" ht="30" customHeight="1">
      <c r="A31" s="5" t="inlineStr">
        <is>
          <t>Calm</t>
        </is>
      </c>
      <c r="B31" s="7" t="inlineStr">
        <is>
          <t>0-20</t>
        </is>
      </c>
      <c r="C31" s="3" t="inlineStr">
        <is>
          <t>Risk-on; volatility low. Supportive for equities, EM and carry; safe havens soften.</t>
        </is>
      </c>
      <c r="G31" s="3" t="inlineStr">
        <is>
          <t>Add risk selectively; equities and EM acceptable; keep some hedges.</t>
        </is>
      </c>
    </row>
    <row r="32" ht="30" customHeight="1">
      <c r="A32" s="5" t="inlineStr">
        <is>
          <t>Normal</t>
        </is>
      </c>
      <c r="B32" s="7" t="inlineStr">
        <is>
          <t>21-40</t>
        </is>
      </c>
      <c r="C32" s="3" t="inlineStr">
        <is>
          <t>Balanced conditions; no broad market stress signal.</t>
        </is>
      </c>
      <c r="G32" s="3" t="inlineStr">
        <is>
          <t>Neutral positioning; no defensive tilt required.</t>
        </is>
      </c>
    </row>
    <row r="33" ht="30" customHeight="1">
      <c r="A33" s="5" t="inlineStr">
        <is>
          <t>Elevated</t>
        </is>
      </c>
      <c r="B33" s="7" t="inlineStr">
        <is>
          <t>41-60</t>
        </is>
      </c>
      <c r="C33" s="3" t="inlineStr">
        <is>
          <t>Caution; risk-off pressure building. Favor quality, USD and safe havens; watch oil and GCC risk.</t>
        </is>
      </c>
      <c r="G33" s="3" t="inlineStr">
        <is>
          <t>Trim risk; raise USD, gold and quality bonds. Higher oil aids GCC fiscal but geopolitics pressures GCC equities.</t>
        </is>
      </c>
    </row>
    <row r="34" ht="30" customHeight="1">
      <c r="A34" s="5" t="inlineStr">
        <is>
          <t>High Stress</t>
        </is>
      </c>
      <c r="B34" s="7" t="inlineStr">
        <is>
          <t>61-80</t>
        </is>
      </c>
      <c r="C34" s="3" t="inlineStr">
        <is>
          <t>Risk-off; deleveraging risk. Long USD, Treasuries and gold; reduce equities and EM.</t>
        </is>
      </c>
      <c r="G34" s="3" t="inlineStr">
        <is>
          <t>Defensive: long USD, US Treasuries and gold; cut equities, EM and GCC risk exposure.</t>
        </is>
      </c>
    </row>
    <row r="35" ht="30" customHeight="1">
      <c r="A35" s="5" t="inlineStr">
        <is>
          <t>Crisis</t>
        </is>
      </c>
      <c r="B35" s="7" t="inlineStr">
        <is>
          <t>81-100</t>
        </is>
      </c>
      <c r="C35" s="3" t="inlineStr">
        <is>
          <t>Acute stress; flight to safety. Preserve capital, hold cash/USTs/gold, cut risk exposure.</t>
        </is>
      </c>
      <c r="G35" s="3" t="inlineStr">
        <is>
          <t>Maximum defensive: cash, US Treasuries and gold; minimal risk assets; protect GCC/oil-linked exposure.</t>
        </is>
      </c>
    </row>
  </sheetData>
  <mergeCells count="30">
    <mergeCell ref="A24:B24"/>
    <mergeCell ref="C5:D5"/>
    <mergeCell ref="C22:K22"/>
    <mergeCell ref="C32:F32"/>
    <mergeCell ref="A19:G19"/>
    <mergeCell ref="A1:K1"/>
    <mergeCell ref="A6:B6"/>
    <mergeCell ref="C21:K21"/>
    <mergeCell ref="A7:B7"/>
    <mergeCell ref="C34:F34"/>
    <mergeCell ref="C33:F33"/>
    <mergeCell ref="C7:H7"/>
    <mergeCell ref="E5:H5"/>
    <mergeCell ref="A26:B26"/>
    <mergeCell ref="A21:B21"/>
    <mergeCell ref="A3:K3"/>
    <mergeCell ref="G34:K34"/>
    <mergeCell ref="C35:F35"/>
    <mergeCell ref="A5:B5"/>
    <mergeCell ref="A2:K2"/>
    <mergeCell ref="G33:K33"/>
    <mergeCell ref="A22:B22"/>
    <mergeCell ref="C24:K24"/>
    <mergeCell ref="C6:H6"/>
    <mergeCell ref="C31:F31"/>
    <mergeCell ref="G35:K35"/>
    <mergeCell ref="A29:K29"/>
    <mergeCell ref="G32:K32"/>
    <mergeCell ref="C26:K26"/>
    <mergeCell ref="G31:K31"/>
  </mergeCells>
  <conditionalFormatting sqref="E5">
    <cfRule type="cellIs" priority="1" operator="equal" dxfId="4">
      <formula>"Calm"</formula>
    </cfRule>
    <cfRule type="cellIs" priority="2" operator="equal" dxfId="5">
      <formula>"Normal"</formula>
    </cfRule>
    <cfRule type="cellIs" priority="3" operator="equal" dxfId="6">
      <formula>"Elevated"</formula>
    </cfRule>
    <cfRule type="cellIs" priority="4" operator="equal" dxfId="7">
      <formula>"High Stress"</formula>
    </cfRule>
    <cfRule type="cellIs" priority="5" operator="equal" dxfId="8">
      <formula>"Crisis"</formula>
    </cfRule>
  </conditionalFormatting>
  <conditionalFormatting sqref="K19">
    <cfRule type="cellIs" priority="6" operator="equal" dxfId="0">
      <formula>"weights OK"</formula>
    </cfRule>
  </conditionalFormatting>
  <conditionalFormatting sqref="H10:H18">
    <cfRule type="colorScale" priority="7">
      <colorScale>
        <cfvo type="num" val="0"/>
        <cfvo type="num" val="50"/>
        <cfvo type="num" val="100"/>
        <color rgb="00C6EFCE"/>
        <color rgb="00FFEB9C"/>
        <color rgb="00FFC7CE"/>
      </colorScale>
    </cfRule>
  </conditionalFormatting>
  <conditionalFormatting sqref="A31:A35">
    <cfRule type="cellIs" priority="8" operator="equal" dxfId="4">
      <formula>"Calm"</formula>
    </cfRule>
    <cfRule type="cellIs" priority="9" operator="equal" dxfId="5">
      <formula>"Normal"</formula>
    </cfRule>
    <cfRule type="cellIs" priority="10" operator="equal" dxfId="6">
      <formula>"Elevated"</formula>
    </cfRule>
    <cfRule type="cellIs" priority="11" operator="equal" dxfId="7">
      <formula>"High Stress"</formula>
    </cfRule>
    <cfRule type="cellIs" priority="12" operator="equal" dxfId="8">
      <formula>"Crisis"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Macro Impact Library &amp; Global Stress Index</dc:title>
  <dcterms:created xsi:type="dcterms:W3CDTF">2026-07-06T09:04:59Z</dcterms:created>
  <dcterms:modified xsi:type="dcterms:W3CDTF">2026-07-06T09:05:00Z</dcterms:modified>
</cp:coreProperties>
</file>
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 Inputs" sheetId="2" state="visible" r:id="rId2"/>
    <sheet name="Scenario Output" sheetId="3" state="visible" r:id="rId3"/>
    <sheet name="Risk &amp; Return" sheetId="4" state="visible" r:id="rId4"/>
    <sheet name="Allocation" sheetId="5" state="visible" r:id="rId5"/>
    <sheet name="Rebalancing" sheetId="6" state="visible" r:id="rId6"/>
    <sheet name="Dashboard" sheetId="7" state="visible" r:id="rId7"/>
    <sheet name="Formula Guide" sheetId="8" state="visible" r:id="rId8"/>
  </sheets>
  <definedNames>
    <definedName name="BaseCcy">'Scenario Inputs'!$C$20</definedName>
    <definedName name="TotalInvested">'Scenario Inputs'!$G$29</definedName>
    <definedName name="RiskFree">'Risk &amp; Return'!$C$13</definedName>
    <definedName name="RecBasis">'Allocation'!$C$54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;(#,##0)"/>
    <numFmt numFmtId="166" formatCode="0.0%;(0.0%)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886"/>
      <sz val="9"/>
    </font>
    <font>
      <name val="Calibri"/>
      <b val="1"/>
      <color rgb="00FFFFFF"/>
      <sz val="10"/>
    </font>
    <font>
      <name val="Calibri"/>
      <b val="1"/>
      <color rgb="001A2330"/>
      <sz val="9"/>
    </font>
    <font>
      <name val="Calibri"/>
      <color rgb="001A2330"/>
      <sz val="9"/>
    </font>
    <font>
      <name val="Calibri"/>
      <b val="1"/>
      <color rgb="001A2330"/>
      <sz val="10"/>
    </font>
    <font>
      <name val="Calibri"/>
      <color rgb="000000FF"/>
      <sz val="10"/>
    </font>
    <font>
      <name val="Calibri"/>
      <color rgb="001A1A1A"/>
      <sz val="10"/>
    </font>
    <font>
      <name val="Calibri"/>
      <b val="1"/>
      <color rgb="001F7A3D"/>
      <sz val="10"/>
    </font>
    <font>
      <name val="Calibri"/>
      <b val="1"/>
      <color rgb="00FFFFFF"/>
      <sz val="9"/>
    </font>
    <font>
      <name val="Calibri"/>
      <color rgb="001A2330"/>
      <sz val="10"/>
    </font>
    <font>
      <name val="Calibri"/>
      <b val="1"/>
      <color rgb="001F7A3D"/>
      <sz val="12"/>
    </font>
    <font>
      <name val="Calibri"/>
      <color rgb="001F7A3D"/>
      <sz val="10"/>
    </font>
    <font>
      <name val="Calibri"/>
      <b val="1"/>
      <color rgb="001F7A3D"/>
      <sz val="15"/>
    </font>
    <font>
      <name val="Calibri"/>
      <i val="1"/>
      <color rgb="006B7886"/>
      <sz val="9"/>
    </font>
  </fonts>
  <fills count="11">
    <fill>
      <patternFill/>
    </fill>
    <fill>
      <patternFill patternType="gray125"/>
    </fill>
    <fill>
      <patternFill patternType="solid">
        <fgColor rgb="0012324F"/>
        <bgColor rgb="0012324F"/>
      </patternFill>
    </fill>
    <fill>
      <patternFill patternType="solid">
        <fgColor rgb="002E6CA4"/>
        <bgColor rgb="002E6CA4"/>
      </patternFill>
    </fill>
    <fill>
      <patternFill patternType="solid">
        <fgColor rgb="00FFF8E1"/>
        <bgColor rgb="00FFF8E1"/>
      </patternFill>
    </fill>
    <fill>
      <patternFill patternType="solid">
        <fgColor rgb="00FFF7D6"/>
        <bgColor rgb="00FFF7D6"/>
      </patternFill>
    </fill>
    <fill>
      <patternFill patternType="solid">
        <fgColor rgb="00E2EFDA"/>
        <bgColor rgb="00E2EFDA"/>
      </patternFill>
    </fill>
    <fill>
      <patternFill patternType="solid">
        <fgColor rgb="004A7FB0"/>
        <bgColor rgb="004A7FB0"/>
      </patternFill>
    </fill>
    <fill>
      <patternFill patternType="solid">
        <fgColor rgb="00EAF1F8"/>
        <bgColor rgb="00EAF1F8"/>
      </patternFill>
    </fill>
    <fill>
      <patternFill patternType="solid">
        <fgColor rgb="00D6EAD9"/>
        <bgColor rgb="00D6EAD9"/>
      </patternFill>
    </fill>
    <fill>
      <patternFill patternType="solid">
        <fgColor rgb="00F4F8FC"/>
        <bgColor rgb="00F4F8FC"/>
      </patternFill>
    </fill>
  </fills>
  <borders count="13">
    <border>
      <left/>
      <right/>
      <top/>
      <bottom/>
      <diagonal/>
    </border>
    <border/>
    <border>
      <left style="medium">
        <color rgb="00E6C200"/>
      </left>
      <right style="medium">
        <color rgb="00E6C200"/>
      </right>
      <top style="medium">
        <color rgb="00E6C200"/>
      </top>
      <bottom style="medium">
        <color rgb="00E6C200"/>
      </bottom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top style="medium">
        <color rgb="00B7C2CE"/>
      </top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/>
      <right/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/>
      <diagonal/>
    </border>
    <border>
      <left/>
      <right style="medium">
        <color rgb="00B7C2CE"/>
      </right>
      <top style="medium">
        <color rgb="00B7C2CE"/>
      </top>
      <bottom style="medium">
        <color rgb="00B7C2CE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5" borderId="3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3" fontId="8" fillId="5" borderId="3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8" fillId="5" borderId="3" applyAlignment="1" applyProtection="1" pivotButton="0" quotePrefix="0" xfId="0">
      <alignment horizontal="left" vertical="center"/>
      <protection locked="0" hidden="0"/>
    </xf>
    <xf numFmtId="3" fontId="8" fillId="5" borderId="3" applyAlignment="1" applyProtection="1" pivotButton="0" quotePrefix="0" xfId="0">
      <alignment horizontal="right" vertical="center"/>
      <protection locked="0" hidden="0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4" fontId="8" fillId="5" borderId="3" applyAlignment="1" applyProtection="1" pivotButton="0" quotePrefix="0" xfId="0">
      <alignment horizontal="right" vertical="center"/>
      <protection locked="0" hidden="0"/>
    </xf>
    <xf numFmtId="164" fontId="8" fillId="5" borderId="3" applyAlignment="1" applyProtection="1" pivotButton="0" quotePrefix="0" xfId="0">
      <alignment horizontal="right" vertical="center"/>
      <protection locked="0" hidden="0"/>
    </xf>
    <xf numFmtId="165" fontId="8" fillId="5" borderId="3" applyAlignment="1" applyProtection="1" pivotButton="0" quotePrefix="0" xfId="0">
      <alignment horizontal="right" vertical="center"/>
      <protection locked="0" hidden="0"/>
    </xf>
    <xf numFmtId="166" fontId="10" fillId="6" borderId="3" applyAlignment="1" pivotButton="0" quotePrefix="0" xfId="0">
      <alignment horizontal="right" vertical="center"/>
    </xf>
    <xf numFmtId="166" fontId="8" fillId="5" borderId="3" applyAlignment="1" applyProtection="1" pivotButton="0" quotePrefix="0" xfId="0">
      <alignment horizontal="right" vertical="center"/>
      <protection locked="0" hidden="0"/>
    </xf>
    <xf numFmtId="0" fontId="7" fillId="8" borderId="8" applyAlignment="1" pivotButton="0" quotePrefix="0" xfId="0">
      <alignment horizontal="left" vertical="center"/>
    </xf>
    <xf numFmtId="0" fontId="7" fillId="8" borderId="8" applyAlignment="1" pivotButton="0" quotePrefix="0" xfId="0">
      <alignment horizontal="right" vertical="center"/>
    </xf>
    <xf numFmtId="165" fontId="7" fillId="8" borderId="8" applyAlignment="1" pivotButton="0" quotePrefix="0" xfId="0">
      <alignment horizontal="right" vertical="center"/>
    </xf>
    <xf numFmtId="166" fontId="7" fillId="8" borderId="8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166" fontId="13" fillId="9" borderId="9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15" fillId="10" borderId="9" applyAlignment="1" pivotButton="0" quotePrefix="0" xfId="0">
      <alignment horizontal="center" vertical="center"/>
    </xf>
    <xf numFmtId="0" fontId="0" fillId="0" borderId="12" pivotButton="0" quotePrefix="0" xfId="0"/>
    <xf numFmtId="2" fontId="9" fillId="0" borderId="1" applyAlignment="1" pivotButton="0" quotePrefix="0" xfId="0">
      <alignment horizontal="right" vertical="center"/>
    </xf>
    <xf numFmtId="2" fontId="8" fillId="5" borderId="3" applyAlignment="1" applyProtection="1" pivotButton="0" quotePrefix="0" xfId="0">
      <alignment horizontal="center" vertical="center"/>
      <protection locked="0" hidden="0"/>
    </xf>
    <xf numFmtId="167" fontId="9" fillId="0" borderId="1" applyAlignment="1" pivotButton="0" quotePrefix="0" xfId="0">
      <alignment horizontal="right" vertical="center"/>
    </xf>
    <xf numFmtId="2" fontId="7" fillId="8" borderId="8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10" fillId="6" borderId="3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Calibri"/>
        <b val="1"/>
        <color rgb="001F7A3D"/>
        <sz val="10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9C6500"/>
        <sz val="10"/>
      </font>
      <fill>
        <patternFill patternType="solid">
          <fgColor rgb="00FFF1C2"/>
          <bgColor rgb="00FFF1C2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'Dashboard'!$B$17:$B$21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Recommended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'Dashboard'!$C$17:$C$21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vs recommended weight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'Dashboard'!$B$17:$B$21</f>
            </numRef>
          </val>
        </ser>
        <ser>
          <idx val="1"/>
          <order val="1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'Dashboard'!$A$17:$A$21</f>
            </numRef>
          </cat>
          <val>
            <numRef>
              <f>'Dashboard'!$C$17:$C$21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return by asset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'Dashboard'!F16</f>
            </strRef>
          </tx>
          <spPr>
            <a:ln>
              <a:prstDash val="solid"/>
            </a:ln>
          </spPr>
          <cat>
            <numRef>
              <f>'Dashboard'!$E$17:$E$21</f>
            </numRef>
          </cat>
          <val>
            <numRef>
              <f>'Dashboard'!$F$17:$F$21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Contribution to portfolio return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'Dashboard'!G16</f>
            </strRef>
          </tx>
          <spPr>
            <a:ln>
              <a:prstDash val="solid"/>
            </a:ln>
          </spPr>
          <cat>
            <numRef>
              <f>'Dashboard'!$E$17:$E$21</f>
            </numRef>
          </cat>
          <val>
            <numRef>
              <f>'Dashboard'!$G$17:$G$21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/ return map (portfolios and assets)</a:t>
            </a:r>
          </a:p>
        </rich>
      </tx>
    </title>
    <plotArea>
      <scatterChart>
        <ser>
          <idx val="0"/>
          <order val="0"/>
          <tx>
            <v>Portfolios &amp; assets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'Dashboard'!$J$17:$J$27</f>
            </numRef>
          </xVal>
          <yVal>
            <numRef>
              <f>'Dashboard'!$K$17:$K$27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Risk (volatility)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Expected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Portfolio Optimizer</author>
  </authors>
  <commentList>
    <comment ref="A53" authorId="0" shapeId="0">
      <text>
        <t>Bond return = (End price - Start price + Coupon earned) / Start price.
It feeds the US Government Bonds local return on Scenario Output.</t>
      </text>
    </comment>
  </commentList>
</comments>
</file>

<file path=xl/comments/comment2.xml><?xml version="1.0" encoding="utf-8"?>
<comments xmlns="http://schemas.openxmlformats.org/spreadsheetml/2006/main">
  <authors>
    <author>Portfolio Optimizer</author>
  </authors>
  <commentList>
    <comment ref="F14" authorId="0" shapeId="0">
      <text>
        <t>Currency-adjusted return = (1 + Local return) x (1 + FX effect) - 1.
This is what you actually earned in your base currency.</t>
      </text>
    </comment>
    <comment ref="H14" authorId="0" shapeId="0">
      <text>
        <t>Contribution = Current weight x Currency-adjusted return.
Add up every asset's contribution to get the portfolio return.</t>
      </text>
    </comment>
  </commentList>
</comments>
</file>

<file path=xl/comments/comment3.xml><?xml version="1.0" encoding="utf-8"?>
<comments xmlns="http://schemas.openxmlformats.org/spreadsheetml/2006/main">
  <authors>
    <author>Portfolio Optimizer</author>
  </authors>
  <commentList>
    <comment ref="D14" authorId="0" shapeId="0">
      <text>
        <t>Sharpe score = max(0, expected return - risk-free) / volatility^2.
Higher = better long-term return per unit of risk -&gt; more weight in Max-Sharpe.</t>
      </text>
    </comment>
    <comment ref="F14" authorId="0" shapeId="0">
      <text>
        <t>Tilt = capped( sensitivity x (scenario return - average scenario return) ).
Capped so the recommendation never chases short-term moves.</t>
      </text>
    </comment>
    <comment ref="N41" authorId="0" shapeId="0">
      <text>
        <t>Volatility = SQRT( portfolio variance ), where variance is built from the weights and the covariance table on Risk &amp; Return. Lower correlations -&gt; lower risk.</t>
      </text>
    </comment>
  </commentList>
</comments>
</file>

<file path=xl/comments/comment4.xml><?xml version="1.0" encoding="utf-8"?>
<comments xmlns="http://schemas.openxmlformats.org/spreadsheetml/2006/main">
  <authors>
    <author>Portfolio Optimizer</author>
  </authors>
  <commentList>
    <comment ref="F13" authorId="0" shapeId="0">
      <text>
        <t>Buy/Sell = Target value - Current value.
Target value = Recommended weight x Total invested.</t>
      </text>
    </comment>
    <comment ref="G13" authorId="0" shapeId="0">
      <text>
        <t>Buy if recommended weight is above current, Sell if below, Hold if the gap is within 1%.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28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58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58</row>
      <rowOff>0</rowOff>
    </from>
    <ext cx="54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Relationship Type="http://schemas.openxmlformats.org/officeDocument/2006/relationships/drawing" Target="/xl/drawings/drawing1.xm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Relationship Type="http://schemas.openxmlformats.org/officeDocument/2006/relationships/hyperlink" Target="#'Scenario Inputs'!A1" TargetMode="External" Id="rId2" /><Relationship Type="http://schemas.openxmlformats.org/officeDocument/2006/relationships/hyperlink" Target="#'Scenario Output'!A1" TargetMode="External" Id="rId3" /><Relationship Type="http://schemas.openxmlformats.org/officeDocument/2006/relationships/hyperlink" Target="#'Risk &amp; Return'!A1" TargetMode="External" Id="rId4" /><Relationship Type="http://schemas.openxmlformats.org/officeDocument/2006/relationships/hyperlink" Target="#'Allocation'!A1" TargetMode="External" Id="rId5" /><Relationship Type="http://schemas.openxmlformats.org/officeDocument/2006/relationships/hyperlink" Target="#'Rebalancing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Formula Guide'!A1" TargetMode="External" Id="rId8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J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PORTFOLIO ALLOCATION OPTIMIZER</t>
        </is>
      </c>
    </row>
    <row r="2">
      <c r="A2" s="2" t="inlineStr">
        <is>
          <t>Scenario analysis, risk/return and recommended rebalancing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8" customHeight="1">
      <c r="A7" s="5" t="inlineStr">
        <is>
          <t>What this tool does</t>
        </is>
      </c>
    </row>
    <row r="8" ht="46" customHeight="1">
      <c r="A8" s="3" t="inlineStr">
        <is>
          <t>It helps you understand four things, simply and transparently: (1) your CURRENT allocation, (2) the IMPACT of a market scenario on each asset and the whole portfolio, (3) the RISK and RETURN trade-off across allocation choices, and (4) a recommended set of REBALANCING actions.</t>
        </is>
      </c>
    </row>
    <row r="9" ht="30" customHeight="1">
      <c r="A9" s="3" t="inlineStr">
        <is>
          <t>It is a clean, explainable Excel tool -- not a black-box quant model. Every result is a short, visible formula you can follow and audit.</t>
        </is>
      </c>
    </row>
    <row r="10" ht="18" customHeight="1">
      <c r="A10" s="5" t="inlineStr">
        <is>
          <t>How to use it (in order)</t>
        </is>
      </c>
    </row>
    <row r="11" ht="26" customHeight="1">
      <c r="A11" s="6" t="inlineStr">
        <is>
          <t>1.  Scenario Inputs</t>
        </is>
      </c>
      <c r="C11" s="7" t="inlineStr">
        <is>
          <t>Type your scenario: dates, each asset's start/end price and FX rate, amounts invested, and target/min/max weights. Includes a small bond calculator.</t>
        </is>
      </c>
    </row>
    <row r="12" ht="26" customHeight="1">
      <c r="A12" s="6" t="inlineStr">
        <is>
          <t>2.  Scenario Output</t>
        </is>
      </c>
      <c r="C12" s="7" t="inlineStr">
        <is>
          <t>See each asset's local return, FX effect, currency-adjusted return and contribution to the portfolio return.</t>
        </is>
      </c>
    </row>
    <row r="13" ht="26" customHeight="1">
      <c r="A13" s="6" t="inlineStr">
        <is>
          <t>3.  Risk &amp; Return</t>
        </is>
      </c>
      <c r="C13" s="7" t="inlineStr">
        <is>
          <t>Enter long-term expected return, volatility and correlations -- the inputs behind the recommendation.</t>
        </is>
      </c>
    </row>
    <row r="14" ht="26" customHeight="1">
      <c r="A14" s="6" t="inlineStr">
        <is>
          <t>4.  Allocation</t>
        </is>
      </c>
      <c r="C14" s="7" t="inlineStr">
        <is>
          <t>Compare six allocations and build the scenario-stressed recommendation; pick which one to rebalance toward.</t>
        </is>
      </c>
    </row>
    <row r="15" ht="26" customHeight="1">
      <c r="A15" s="6" t="inlineStr">
        <is>
          <t>5.  Rebalancing</t>
        </is>
      </c>
      <c r="C15" s="7" t="inlineStr">
        <is>
          <t>Get the buy/sell/hold actions and the reason for each.</t>
        </is>
      </c>
    </row>
    <row r="16" ht="26" customHeight="1">
      <c r="A16" s="6" t="inlineStr">
        <is>
          <t>6.  Dashboard</t>
        </is>
      </c>
      <c r="C16" s="7" t="inlineStr">
        <is>
          <t>See it all visually: allocation pies, scenario bars and a risk/return map.</t>
        </is>
      </c>
    </row>
    <row r="17" ht="26" customHeight="1">
      <c r="A17" s="6" t="inlineStr">
        <is>
          <t>7.  Formula Guide</t>
        </is>
      </c>
      <c r="C17" s="7" t="inlineStr">
        <is>
          <t>Every formula explained in plain language.</t>
        </is>
      </c>
    </row>
    <row r="19" ht="18" customHeight="1">
      <c r="A19" s="5" t="inlineStr">
        <is>
          <t>Investable assets</t>
        </is>
      </c>
    </row>
    <row r="20">
      <c r="A20" s="6" t="inlineStr">
        <is>
          <t>SMI (Swiss Market Index)</t>
        </is>
      </c>
      <c r="D20" s="7" t="inlineStr">
        <is>
          <t>native currency: CHF</t>
        </is>
      </c>
    </row>
    <row r="21">
      <c r="A21" s="6" t="inlineStr">
        <is>
          <t>S&amp;P 500</t>
        </is>
      </c>
      <c r="D21" s="7" t="inlineStr">
        <is>
          <t>native currency: USD</t>
        </is>
      </c>
    </row>
    <row r="22">
      <c r="A22" s="6" t="inlineStr">
        <is>
          <t>SXI Real Estate Funds Broad Index</t>
        </is>
      </c>
      <c r="D22" s="7" t="inlineStr">
        <is>
          <t>native currency: CHF</t>
        </is>
      </c>
    </row>
    <row r="23">
      <c r="A23" s="6" t="inlineStr">
        <is>
          <t>Gold</t>
        </is>
      </c>
      <c r="D23" s="7" t="inlineStr">
        <is>
          <t>native currency: USD</t>
        </is>
      </c>
    </row>
    <row r="24">
      <c r="A24" s="6" t="inlineStr">
        <is>
          <t>US Government Bonds</t>
        </is>
      </c>
      <c r="D24" s="7" t="inlineStr">
        <is>
          <t>native currency: USD</t>
        </is>
      </c>
    </row>
    <row r="26" ht="18" customHeight="1">
      <c r="A26" s="5" t="inlineStr">
        <is>
          <t>Market indicators  (context / drivers only -- not holdings unless you mark them investable)</t>
        </is>
      </c>
    </row>
    <row r="27">
      <c r="A27" s="6" t="inlineStr">
        <is>
          <t>DXY (US Dollar Index)</t>
        </is>
      </c>
      <c r="D27" s="7" t="inlineStr">
        <is>
          <t>Strength of the US dollar vs major currencies.</t>
        </is>
      </c>
    </row>
    <row r="28">
      <c r="A28" s="6" t="inlineStr">
        <is>
          <t>CHF/USD</t>
        </is>
      </c>
      <c r="D28" s="7" t="inlineStr">
        <is>
          <t>Swiss franc per US dollar (drives USD-asset value in CHF terms).</t>
        </is>
      </c>
    </row>
    <row r="29">
      <c r="A29" s="6" t="inlineStr">
        <is>
          <t>USD/KWD</t>
        </is>
      </c>
      <c r="D29" s="7" t="inlineStr">
        <is>
          <t>US dollar value in Kuwaiti dinar (FX for USD assets).</t>
        </is>
      </c>
    </row>
    <row r="30">
      <c r="A30" s="6" t="inlineStr">
        <is>
          <t>CHF/KWD</t>
        </is>
      </c>
      <c r="D30" s="7" t="inlineStr">
        <is>
          <t>Swiss franc value in Kuwaiti dinar (FX for CHF assets).</t>
        </is>
      </c>
    </row>
    <row r="32" ht="18" customHeight="1">
      <c r="A32" s="5" t="inlineStr">
        <is>
          <t>The six allocations compared</t>
        </is>
      </c>
    </row>
    <row r="33">
      <c r="A33" s="6" t="inlineStr">
        <is>
          <t>Current</t>
        </is>
      </c>
      <c r="D33" s="7" t="inlineStr">
        <is>
          <t>Your portfolio today, from invested amounts.</t>
        </is>
      </c>
    </row>
    <row r="34">
      <c r="A34" s="6" t="inlineStr">
        <is>
          <t>Equal-weight</t>
        </is>
      </c>
      <c r="D34" s="7" t="inlineStr">
        <is>
          <t>Every asset gets the same weight (1 / N).</t>
        </is>
      </c>
    </row>
    <row r="35">
      <c r="A35" s="6" t="inlineStr">
        <is>
          <t>Custom target</t>
        </is>
      </c>
      <c r="D35" s="7" t="inlineStr">
        <is>
          <t>The target weights you type in.</t>
        </is>
      </c>
    </row>
    <row r="36">
      <c r="A36" s="6" t="inlineStr">
        <is>
          <t>Max-Sharpe*</t>
        </is>
      </c>
      <c r="D36" s="7" t="inlineStr">
        <is>
          <t>Tilts to assets with the best long-term return per unit of risk.</t>
        </is>
      </c>
    </row>
    <row r="37">
      <c r="A37" s="6" t="inlineStr">
        <is>
          <t>Min-volatility*</t>
        </is>
      </c>
      <c r="D37" s="7" t="inlineStr">
        <is>
          <t>Tilts to the calmer (lower-volatility) assets.</t>
        </is>
      </c>
    </row>
    <row r="38">
      <c r="A38" s="6" t="inlineStr">
        <is>
          <t>Scenario-stressed</t>
        </is>
      </c>
      <c r="D38" s="7" t="inlineStr">
        <is>
          <t>Max-Sharpe base, modestly tilted by the scenario, within your limits.</t>
        </is>
      </c>
    </row>
    <row r="40">
      <c r="A40" s="6" t="inlineStr">
        <is>
          <t>Legend:</t>
        </is>
      </c>
      <c r="B40" s="8" t="inlineStr">
        <is>
          <t>Input (type here)</t>
        </is>
      </c>
      <c r="D40" s="9" t="inlineStr">
        <is>
          <t>Formula</t>
        </is>
      </c>
      <c r="F40" s="10" t="inlineStr">
        <is>
          <t>Key output / link</t>
        </is>
      </c>
      <c r="H40" s="7" t="inlineStr">
        <is>
          <t>blue = input - black = formula - green = output</t>
        </is>
      </c>
    </row>
    <row r="42" ht="16" customHeight="1">
      <c r="A42" s="11" t="inlineStr">
        <is>
          <t>Important</t>
        </is>
      </c>
    </row>
    <row r="43" ht="26" customHeight="1">
      <c r="A43" s="12" t="inlineStr">
        <is>
          <t>The recommended allocation is model-based and should be used as a decision-support tool, not as a guaranteed perfect portfolio.</t>
        </is>
      </c>
    </row>
  </sheetData>
  <mergeCells count="35">
    <mergeCell ref="D28:J28"/>
    <mergeCell ref="A32:J32"/>
    <mergeCell ref="A8:J8"/>
    <mergeCell ref="C15:J15"/>
    <mergeCell ref="C14:J14"/>
    <mergeCell ref="D24:J24"/>
    <mergeCell ref="D30:J30"/>
    <mergeCell ref="A43:J43"/>
    <mergeCell ref="D33:J33"/>
    <mergeCell ref="A10:J10"/>
    <mergeCell ref="D29:J29"/>
    <mergeCell ref="D23:J23"/>
    <mergeCell ref="A19:J19"/>
    <mergeCell ref="D38:J38"/>
    <mergeCell ref="A9:J9"/>
    <mergeCell ref="D35:J35"/>
    <mergeCell ref="C16:J16"/>
    <mergeCell ref="D20:J20"/>
    <mergeCell ref="D34:J34"/>
    <mergeCell ref="A1:J1"/>
    <mergeCell ref="C12:J12"/>
    <mergeCell ref="D22:J22"/>
    <mergeCell ref="D36:J36"/>
    <mergeCell ref="C11:J11"/>
    <mergeCell ref="D21:J21"/>
    <mergeCell ref="A7:J7"/>
    <mergeCell ref="D27:J27"/>
    <mergeCell ref="C17:J17"/>
    <mergeCell ref="A3:J3"/>
    <mergeCell ref="H40:J40"/>
    <mergeCell ref="A26:J26"/>
    <mergeCell ref="C13:J13"/>
    <mergeCell ref="A2:J2"/>
    <mergeCell ref="A42:J42"/>
    <mergeCell ref="D37:J3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K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8" customWidth="1" min="10" max="10"/>
    <col width="8" customWidth="1" min="11" max="11"/>
  </cols>
  <sheetData>
    <row r="1" ht="28" customHeight="1">
      <c r="A1" s="1" t="inlineStr">
        <is>
          <t>SCENARIO INPUTS</t>
        </is>
      </c>
    </row>
    <row r="2">
      <c r="A2" s="2" t="inlineStr">
        <is>
          <t>Type your scenario here -- the whole workbook updates from this sheet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IS FOR:  describe one scenario (e.g. 'Since Fed Rate Decision') and the price/FX moves over it.</t>
        </is>
      </c>
    </row>
    <row r="9" ht="26" customHeight="1">
      <c r="A9" s="12" t="inlineStr">
        <is>
          <t>WHAT TO INPUT:  the yellow cells -- scenario dates, each asset's start &amp; end price, its FX rate vs your base currency, how much you have invested, and your target / minimum / maximum weights.</t>
        </is>
      </c>
    </row>
    <row r="10" ht="26" customHeight="1">
      <c r="A10" s="12" t="inlineStr">
        <is>
          <t>FX RATE MEANING:  the value of 1 unit of the asset's currency in your base currency (KWD).  USD assets use USD/KWD;  CHF assets use CHF/KWD.</t>
        </is>
      </c>
    </row>
    <row r="11" ht="26" customHeight="1">
      <c r="A11" s="12" t="inlineStr">
        <is>
          <t>DXY and the FX pairs are DRIVERS / context only -- they are NOT portfolio holdings unless you set 'Investable?' to Yes.</t>
        </is>
      </c>
    </row>
    <row r="13">
      <c r="A13" s="6" t="inlineStr">
        <is>
          <t>Legend:</t>
        </is>
      </c>
      <c r="B13" s="8" t="inlineStr">
        <is>
          <t>Input (type here)</t>
        </is>
      </c>
      <c r="D13" s="9" t="inlineStr">
        <is>
          <t>Formula</t>
        </is>
      </c>
      <c r="F13" s="10" t="inlineStr">
        <is>
          <t>Key output / link</t>
        </is>
      </c>
      <c r="H13" s="7" t="inlineStr">
        <is>
          <t>blue = input - black = formula - green = output</t>
        </is>
      </c>
    </row>
    <row r="15" ht="18" customHeight="1">
      <c r="A15" s="5" t="inlineStr">
        <is>
          <t>Scenario</t>
        </is>
      </c>
    </row>
    <row r="16">
      <c r="A16" s="6" t="inlineStr">
        <is>
          <t>Scenario name</t>
        </is>
      </c>
      <c r="C16" s="13" t="inlineStr">
        <is>
          <t>Since Fed Rate Decision</t>
        </is>
      </c>
      <c r="D16" s="14" t="n"/>
      <c r="E16" s="15" t="n"/>
    </row>
    <row r="17">
      <c r="A17" s="6" t="inlineStr">
        <is>
          <t>Start date</t>
        </is>
      </c>
      <c r="C17" s="16" t="inlineStr">
        <is>
          <t>2024-09-18</t>
        </is>
      </c>
      <c r="D17" s="14" t="n"/>
      <c r="E17" s="15" t="n"/>
    </row>
    <row r="18">
      <c r="A18" s="6" t="inlineStr">
        <is>
          <t>End date</t>
        </is>
      </c>
      <c r="C18" s="16" t="inlineStr">
        <is>
          <t>2024-12-15</t>
        </is>
      </c>
      <c r="D18" s="14" t="n"/>
      <c r="E18" s="15" t="n"/>
    </row>
    <row r="19">
      <c r="A19" s="6" t="inlineStr">
        <is>
          <t>Holding period (days)</t>
        </is>
      </c>
      <c r="C19" s="17" t="n">
        <v>88</v>
      </c>
      <c r="D19" s="14" t="n"/>
      <c r="E19" s="15" t="n"/>
    </row>
    <row r="20">
      <c r="A20" s="6" t="inlineStr">
        <is>
          <t>Base currency</t>
        </is>
      </c>
      <c r="C20" s="16" t="inlineStr">
        <is>
          <t>KWD</t>
        </is>
      </c>
      <c r="D20" s="14" t="n"/>
      <c r="E20" s="15" t="n"/>
    </row>
    <row r="22" ht="18" customHeight="1">
      <c r="A22" s="5" t="inlineStr">
        <is>
          <t>Portfolio Assets  (investable)</t>
        </is>
      </c>
    </row>
    <row r="23" ht="26" customHeight="1">
      <c r="A23" s="18" t="inlineStr">
        <is>
          <t>Asset</t>
        </is>
      </c>
      <c r="B23" s="19" t="inlineStr">
        <is>
          <t>Ccy</t>
        </is>
      </c>
      <c r="C23" s="19" t="inlineStr">
        <is>
          <t>Start price
(local)</t>
        </is>
      </c>
      <c r="D23" s="19" t="inlineStr">
        <is>
          <t>End price
(local)</t>
        </is>
      </c>
      <c r="E23" s="19" t="inlineStr">
        <is>
          <t>Start FX
(1 ccy = ? KWD)</t>
        </is>
      </c>
      <c r="F23" s="19" t="inlineStr">
        <is>
          <t>End FX
(? KWD)</t>
        </is>
      </c>
      <c r="G23" s="19" t="inlineStr">
        <is>
          <t>Invested
(KWD)</t>
        </is>
      </c>
      <c r="H23" s="19" t="inlineStr">
        <is>
          <t>Current
weight</t>
        </is>
      </c>
      <c r="I23" s="19" t="inlineStr">
        <is>
          <t>Target
weight</t>
        </is>
      </c>
      <c r="J23" s="19" t="inlineStr">
        <is>
          <t>Min
weight</t>
        </is>
      </c>
      <c r="K23" s="19" t="inlineStr">
        <is>
          <t>Max
weight</t>
        </is>
      </c>
    </row>
    <row r="24">
      <c r="A24" s="20" t="inlineStr">
        <is>
          <t>SMI (Swiss Market Index)</t>
        </is>
      </c>
      <c r="B24" s="8" t="inlineStr">
        <is>
          <t>CHF</t>
        </is>
      </c>
      <c r="C24" s="21" t="n">
        <v>12000</v>
      </c>
      <c r="D24" s="21" t="n">
        <v>11600</v>
      </c>
      <c r="E24" s="22" t="n">
        <v>0.36</v>
      </c>
      <c r="F24" s="22" t="n">
        <v>0.355</v>
      </c>
      <c r="G24" s="23" t="n">
        <v>25000</v>
      </c>
      <c r="H24" s="24">
        <f>IFERROR('Scenario Inputs'!$G$24/TotalInvested,0)</f>
        <v/>
      </c>
      <c r="I24" s="25" t="n">
        <v>0.18</v>
      </c>
      <c r="J24" s="25" t="n">
        <v>0.05</v>
      </c>
      <c r="K24" s="25" t="n">
        <v>0.3</v>
      </c>
    </row>
    <row r="25">
      <c r="A25" s="20" t="inlineStr">
        <is>
          <t>S&amp;P 500</t>
        </is>
      </c>
      <c r="B25" s="8" t="inlineStr">
        <is>
          <t>USD</t>
        </is>
      </c>
      <c r="C25" s="21" t="n">
        <v>5600</v>
      </c>
      <c r="D25" s="21" t="n">
        <v>5950</v>
      </c>
      <c r="E25" s="22" t="n">
        <v>0.307</v>
      </c>
      <c r="F25" s="22" t="n">
        <v>0.31</v>
      </c>
      <c r="G25" s="23" t="n">
        <v>40000</v>
      </c>
      <c r="H25" s="24">
        <f>IFERROR('Scenario Inputs'!$G$25/TotalInvested,0)</f>
        <v/>
      </c>
      <c r="I25" s="25" t="n">
        <v>0.32</v>
      </c>
      <c r="J25" s="25" t="n">
        <v>0.1</v>
      </c>
      <c r="K25" s="25" t="n">
        <v>0.4</v>
      </c>
    </row>
    <row r="26">
      <c r="A26" s="20" t="inlineStr">
        <is>
          <t>SXI Real Estate Funds Broad Index</t>
        </is>
      </c>
      <c r="B26" s="8" t="inlineStr">
        <is>
          <t>CHF</t>
        </is>
      </c>
      <c r="C26" s="21" t="n">
        <v>530</v>
      </c>
      <c r="D26" s="21" t="n">
        <v>545</v>
      </c>
      <c r="E26" s="22" t="n">
        <v>0.36</v>
      </c>
      <c r="F26" s="22" t="n">
        <v>0.355</v>
      </c>
      <c r="G26" s="23" t="n">
        <v>15000</v>
      </c>
      <c r="H26" s="24">
        <f>IFERROR('Scenario Inputs'!$G$26/TotalInvested,0)</f>
        <v/>
      </c>
      <c r="I26" s="25" t="n">
        <v>0.12</v>
      </c>
      <c r="J26" s="25" t="n">
        <v>0.05</v>
      </c>
      <c r="K26" s="25" t="n">
        <v>0.25</v>
      </c>
    </row>
    <row r="27">
      <c r="A27" s="20" t="inlineStr">
        <is>
          <t>Gold</t>
        </is>
      </c>
      <c r="B27" s="8" t="inlineStr">
        <is>
          <t>USD</t>
        </is>
      </c>
      <c r="C27" s="21" t="n">
        <v>2580</v>
      </c>
      <c r="D27" s="21" t="n">
        <v>2650</v>
      </c>
      <c r="E27" s="22" t="n">
        <v>0.307</v>
      </c>
      <c r="F27" s="22" t="n">
        <v>0.31</v>
      </c>
      <c r="G27" s="23" t="n">
        <v>12000</v>
      </c>
      <c r="H27" s="24">
        <f>IFERROR('Scenario Inputs'!$G$27/TotalInvested,0)</f>
        <v/>
      </c>
      <c r="I27" s="25" t="n">
        <v>0.1</v>
      </c>
      <c r="J27" s="25" t="n">
        <v>0.05</v>
      </c>
      <c r="K27" s="25" t="n">
        <v>0.2</v>
      </c>
    </row>
    <row r="28">
      <c r="A28" s="20" t="inlineStr">
        <is>
          <t>US Government Bonds</t>
        </is>
      </c>
      <c r="B28" s="8" t="inlineStr">
        <is>
          <t>USD</t>
        </is>
      </c>
      <c r="C28" s="21" t="n">
        <v>99</v>
      </c>
      <c r="D28" s="21" t="n">
        <v>98</v>
      </c>
      <c r="E28" s="22" t="n">
        <v>0.307</v>
      </c>
      <c r="F28" s="22" t="n">
        <v>0.31</v>
      </c>
      <c r="G28" s="23" t="n">
        <v>18000</v>
      </c>
      <c r="H28" s="24">
        <f>IFERROR('Scenario Inputs'!$G$28/TotalInvested,0)</f>
        <v/>
      </c>
      <c r="I28" s="25" t="n">
        <v>0.28</v>
      </c>
      <c r="J28" s="25" t="n">
        <v>0.1</v>
      </c>
      <c r="K28" s="25" t="n">
        <v>0.4</v>
      </c>
    </row>
    <row r="29">
      <c r="A29" s="26" t="inlineStr">
        <is>
          <t>Total</t>
        </is>
      </c>
      <c r="B29" s="27" t="n"/>
      <c r="C29" s="27" t="n"/>
      <c r="D29" s="27" t="n"/>
      <c r="E29" s="27" t="n"/>
      <c r="F29" s="27" t="n"/>
      <c r="G29" s="28">
        <f>SUM('Scenario Inputs'!$G$24:$G$28)</f>
        <v/>
      </c>
      <c r="H29" s="29">
        <f>SUM('Scenario Inputs'!$H$24:$H$28)</f>
        <v/>
      </c>
      <c r="I29" s="29">
        <f>SUM('Scenario Inputs'!$I$24:$I$28)</f>
        <v/>
      </c>
    </row>
    <row r="30">
      <c r="A30" s="3" t="inlineStr">
        <is>
          <t>Tip: target weights should sum to 100%. Current weights are computed from the amounts invested.</t>
        </is>
      </c>
    </row>
    <row r="32" ht="18" customHeight="1">
      <c r="A32" s="5" t="inlineStr">
        <is>
          <t>Market Indicators  (drivers / context only -- not holdings unless marked investable)</t>
        </is>
      </c>
    </row>
    <row r="33">
      <c r="A33" s="18" t="inlineStr">
        <is>
          <t>Indicator</t>
        </is>
      </c>
      <c r="B33" s="19" t="inlineStr">
        <is>
          <t>Start</t>
        </is>
      </c>
      <c r="C33" s="19" t="inlineStr">
        <is>
          <t>End</t>
        </is>
      </c>
      <c r="D33" s="19" t="inlineStr">
        <is>
          <t>% change</t>
        </is>
      </c>
      <c r="E33" s="19" t="inlineStr">
        <is>
          <t>Investable?</t>
        </is>
      </c>
      <c r="F33" s="19" t="inlineStr">
        <is>
          <t>What it tells you</t>
        </is>
      </c>
    </row>
    <row r="34">
      <c r="A34" s="20" t="inlineStr">
        <is>
          <t>DXY (US Dollar Index)</t>
        </is>
      </c>
      <c r="B34" s="22" t="n">
        <v>101</v>
      </c>
      <c r="C34" s="22" t="n">
        <v>107</v>
      </c>
      <c r="D34" s="30">
        <f>IFERROR('Scenario Inputs'!$C$34/'Scenario Inputs'!$B$34-1,"")</f>
        <v/>
      </c>
      <c r="E34" s="8" t="inlineStr">
        <is>
          <t>No</t>
        </is>
      </c>
      <c r="F34" s="7" t="inlineStr">
        <is>
          <t>Strength of the US dollar vs major currencies.</t>
        </is>
      </c>
    </row>
    <row r="35">
      <c r="A35" s="20" t="inlineStr">
        <is>
          <t>CHF/USD</t>
        </is>
      </c>
      <c r="B35" s="22" t="n">
        <v>1.18</v>
      </c>
      <c r="C35" s="22" t="n">
        <v>1.14</v>
      </c>
      <c r="D35" s="30">
        <f>IFERROR('Scenario Inputs'!$C$35/'Scenario Inputs'!$B$35-1,"")</f>
        <v/>
      </c>
      <c r="E35" s="8" t="inlineStr">
        <is>
          <t>No</t>
        </is>
      </c>
      <c r="F35" s="7" t="inlineStr">
        <is>
          <t>Swiss franc per US dollar (drives USD-asset value in CHF terms).</t>
        </is>
      </c>
    </row>
    <row r="36">
      <c r="A36" s="20" t="inlineStr">
        <is>
          <t>USD/KWD</t>
        </is>
      </c>
      <c r="B36" s="22" t="n">
        <v>0.307</v>
      </c>
      <c r="C36" s="22" t="n">
        <v>0.31</v>
      </c>
      <c r="D36" s="30">
        <f>IFERROR('Scenario Inputs'!$C$36/'Scenario Inputs'!$B$36-1,"")</f>
        <v/>
      </c>
      <c r="E36" s="8" t="inlineStr">
        <is>
          <t>No</t>
        </is>
      </c>
      <c r="F36" s="7" t="inlineStr">
        <is>
          <t>US dollar value in Kuwaiti dinar (FX for USD assets).</t>
        </is>
      </c>
    </row>
    <row r="37">
      <c r="A37" s="20" t="inlineStr">
        <is>
          <t>CHF/KWD</t>
        </is>
      </c>
      <c r="B37" s="22" t="n">
        <v>0.36</v>
      </c>
      <c r="C37" s="22" t="n">
        <v>0.355</v>
      </c>
      <c r="D37" s="30">
        <f>IFERROR('Scenario Inputs'!$C$37/'Scenario Inputs'!$B$37-1,"")</f>
        <v/>
      </c>
      <c r="E37" s="8" t="inlineStr">
        <is>
          <t>No</t>
        </is>
      </c>
      <c r="F37" s="7" t="inlineStr">
        <is>
          <t>Swiss franc value in Kuwaiti dinar (FX for CHF assets).</t>
        </is>
      </c>
    </row>
    <row r="39" ht="18" customHeight="1">
      <c r="A39" s="5" t="inlineStr">
        <is>
          <t>Bond Scenario Calculator  (US Government Bonds)</t>
        </is>
      </c>
    </row>
    <row r="40" ht="16" customHeight="1">
      <c r="A40" s="11" t="inlineStr">
        <is>
          <t>How the bond return works</t>
        </is>
      </c>
    </row>
    <row r="41" ht="14" customHeight="1">
      <c r="A41" s="12" t="inlineStr">
        <is>
          <t>Bonds earn a coupon as well as moving in price, so we add the coupon to the price change.</t>
        </is>
      </c>
    </row>
    <row r="42" ht="26" customHeight="1">
      <c r="A42" s="12" t="inlineStr">
        <is>
          <t>Bond return = (End price - Start price + Coupon earned) / Start price.   Coupon earned = Face x Coupon rate x (Holding days / 365).</t>
        </is>
      </c>
    </row>
    <row r="43" ht="14" customHeight="1">
      <c r="A43" s="12" t="inlineStr">
        <is>
          <t>This bond Total return feeds the 'US Government Bonds' local return on the Scenario Output sheet.</t>
        </is>
      </c>
    </row>
    <row r="45">
      <c r="A45" s="6" t="inlineStr">
        <is>
          <t>Starting bond price</t>
        </is>
      </c>
      <c r="C45" s="21" t="n">
        <v>99</v>
      </c>
    </row>
    <row r="46">
      <c r="A46" s="6" t="inlineStr">
        <is>
          <t>Ending bond price</t>
        </is>
      </c>
      <c r="C46" s="21" t="n">
        <v>98</v>
      </c>
    </row>
    <row r="47">
      <c r="A47" s="6" t="inlineStr">
        <is>
          <t>Face value</t>
        </is>
      </c>
      <c r="C47" s="21" t="n">
        <v>100</v>
      </c>
    </row>
    <row r="48">
      <c r="A48" s="6" t="inlineStr">
        <is>
          <t>Coupon rate (annual)</t>
        </is>
      </c>
      <c r="C48" s="25" t="n">
        <v>0.04</v>
      </c>
    </row>
    <row r="49">
      <c r="A49" s="6" t="inlineStr">
        <is>
          <t>Holding period (days)</t>
        </is>
      </c>
      <c r="C49" s="17" t="n">
        <v>88</v>
      </c>
    </row>
    <row r="50">
      <c r="A50" s="6" t="inlineStr">
        <is>
          <t>Coupon frequency (per year)</t>
        </is>
      </c>
      <c r="C50" s="17" t="n">
        <v>2</v>
      </c>
    </row>
    <row r="51">
      <c r="A51" s="6" t="inlineStr">
        <is>
          <t>Price return</t>
        </is>
      </c>
      <c r="C51" s="30">
        <f>IFERROR(('Scenario Inputs'!$C$46-'Scenario Inputs'!$C$45)/'Scenario Inputs'!$C$45,0)</f>
        <v/>
      </c>
      <c r="E51" s="7" t="inlineStr">
        <is>
          <t>(End - Start) / Start</t>
        </is>
      </c>
    </row>
    <row r="52">
      <c r="A52" s="6" t="inlineStr">
        <is>
          <t>Coupon earned (per 100 face)</t>
        </is>
      </c>
      <c r="C52" s="31">
        <f>'Scenario Inputs'!$C$47*'Scenario Inputs'!$C$48*'Scenario Inputs'!$C$49/365</f>
        <v/>
      </c>
      <c r="E52" s="7" t="inlineStr">
        <is>
          <t>Face x Coupon rate x Days / 365</t>
        </is>
      </c>
    </row>
    <row r="53">
      <c r="A53" s="6" t="inlineStr">
        <is>
          <t>Total bond return</t>
        </is>
      </c>
      <c r="C53" s="32">
        <f>IFERROR(('Scenario Inputs'!$C$46-'Scenario Inputs'!$C$45+'Scenario Inputs'!$C$52)/'Scenario Inputs'!$C$45,0)</f>
        <v/>
      </c>
      <c r="E53" s="7" t="inlineStr">
        <is>
          <t>(End - Start + Coupon) / Start</t>
        </is>
      </c>
    </row>
  </sheetData>
  <mergeCells count="31">
    <mergeCell ref="C16:E16"/>
    <mergeCell ref="H13:K13"/>
    <mergeCell ref="F33:K33"/>
    <mergeCell ref="A30:K30"/>
    <mergeCell ref="A39:K39"/>
    <mergeCell ref="F36:K36"/>
    <mergeCell ref="A15:K15"/>
    <mergeCell ref="A11:K11"/>
    <mergeCell ref="F35:K35"/>
    <mergeCell ref="A1:K1"/>
    <mergeCell ref="E53:K53"/>
    <mergeCell ref="A7:K7"/>
    <mergeCell ref="A41:K41"/>
    <mergeCell ref="C17:E17"/>
    <mergeCell ref="F37:K37"/>
    <mergeCell ref="E52:K52"/>
    <mergeCell ref="A3:K3"/>
    <mergeCell ref="C19:E19"/>
    <mergeCell ref="A2:K2"/>
    <mergeCell ref="C18:E18"/>
    <mergeCell ref="E51:K51"/>
    <mergeCell ref="A42:K42"/>
    <mergeCell ref="A32:K32"/>
    <mergeCell ref="A8:K8"/>
    <mergeCell ref="A22:K22"/>
    <mergeCell ref="F34:K34"/>
    <mergeCell ref="A43:K43"/>
    <mergeCell ref="A10:K10"/>
    <mergeCell ref="C20:E20"/>
    <mergeCell ref="A40:K40"/>
    <mergeCell ref="A9:K9"/>
  </mergeCells>
  <dataValidations count="4">
    <dataValidation sqref="E34" showDropDown="0" showInputMessage="0" showErrorMessage="1" allowBlank="1" type="list">
      <formula1>"No,Yes"</formula1>
    </dataValidation>
    <dataValidation sqref="E35" showDropDown="0" showInputMessage="0" showErrorMessage="1" allowBlank="1" type="list">
      <formula1>"No,Yes"</formula1>
    </dataValidation>
    <dataValidation sqref="E36" showDropDown="0" showInputMessage="0" showErrorMessage="1" allowBlank="1" type="list">
      <formula1>"No,Yes"</formula1>
    </dataValidation>
    <dataValidation sqref="E37" showDropDown="0" showInputMessage="0" showErrorMessage="1" allowBlank="1" type="list">
      <formula1>"No,Yes"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K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12" customWidth="1" min="8" max="8"/>
    <col width="13" customWidth="1" min="9" max="9"/>
    <col width="13" customWidth="1" min="10" max="10"/>
    <col width="34" customWidth="1" min="11" max="11"/>
  </cols>
  <sheetData>
    <row r="1" ht="28" customHeight="1">
      <c r="A1" s="1" t="inlineStr">
        <is>
          <t>SCENARIO OUTPUT</t>
        </is>
      </c>
    </row>
    <row r="2">
      <c r="A2" s="2" t="inlineStr">
        <is>
          <t>What the scenario did to each asset and to the whole portfolio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TELLS YOU:  how each asset performed in the scenario, in your base currency, and how much each one added to (or subtracted from) the total portfolio return.</t>
        </is>
      </c>
    </row>
    <row r="9" ht="38" customHeight="1">
      <c r="A9" s="12" t="inlineStr">
        <is>
          <t>COLUMNS:  Local return = price move in the asset's own currency.  FX effect = currency move vs your base currency.  Currency-adjusted return = the two combined (what you actually earned).  Contribution = Current weight x Currency-adjusted return.  Portfolio return = sum of all contributions.</t>
        </is>
      </c>
    </row>
    <row r="10" ht="26" customHeight="1">
      <c r="A10" s="12" t="inlineStr">
        <is>
          <t>FORMULAS:   Local = End / Start - 1   |   FX = End FX / Start FX - 1   |   Adjusted = (1 + Local) x (1 + FX) - 1   |   Contribution = Weight x Adjusted.</t>
        </is>
      </c>
    </row>
    <row r="11" ht="26" customHeight="1">
      <c r="A11" s="12" t="inlineStr">
        <is>
          <t>Note: 'US Government Bonds' local return comes from the Bond Calculator (price move + coupon), not price alone.</t>
        </is>
      </c>
    </row>
    <row r="14" ht="26" customHeight="1">
      <c r="A14" s="18" t="inlineStr">
        <is>
          <t>Asset</t>
        </is>
      </c>
      <c r="B14" s="19" t="inlineStr">
        <is>
          <t>Start
price</t>
        </is>
      </c>
      <c r="C14" s="19" t="inlineStr">
        <is>
          <t>End
price</t>
        </is>
      </c>
      <c r="D14" s="19" t="inlineStr">
        <is>
          <t>Local
return</t>
        </is>
      </c>
      <c r="E14" s="19" t="inlineStr">
        <is>
          <t>FX
effect</t>
        </is>
      </c>
      <c r="F14" s="19" t="inlineStr">
        <is>
          <t>Currency-adj.
return</t>
        </is>
      </c>
      <c r="G14" s="19" t="inlineStr">
        <is>
          <t>Current
weight</t>
        </is>
      </c>
      <c r="H14" s="19" t="inlineStr">
        <is>
          <t>Contribution
to return</t>
        </is>
      </c>
      <c r="I14" s="19" t="inlineStr">
        <is>
          <t>Start value
(KWD)</t>
        </is>
      </c>
      <c r="J14" s="19" t="inlineStr">
        <is>
          <t>End value
(KWD)</t>
        </is>
      </c>
      <c r="K14" s="19" t="inlineStr">
        <is>
          <t>Performance attribution</t>
        </is>
      </c>
    </row>
    <row r="15">
      <c r="A15" s="20" t="inlineStr">
        <is>
          <t>SMI (Swiss Market Index)</t>
        </is>
      </c>
      <c r="B15" s="33">
        <f>'Scenario Inputs'!$C$24</f>
        <v/>
      </c>
      <c r="C15" s="33">
        <f>'Scenario Inputs'!$D$24</f>
        <v/>
      </c>
      <c r="D15" s="30">
        <f>IFERROR('Scenario Inputs'!$D$24/'Scenario Inputs'!$C$24-1,0)</f>
        <v/>
      </c>
      <c r="E15" s="30">
        <f>IFERROR('Scenario Inputs'!$F$24/'Scenario Inputs'!$E$24-1,0)</f>
        <v/>
      </c>
      <c r="F15" s="24">
        <f>(1+'Scenario Output'!$D$15)*(1+'Scenario Output'!$E$15)-1</f>
        <v/>
      </c>
      <c r="G15" s="34">
        <f>'Scenario Inputs'!$H$24</f>
        <v/>
      </c>
      <c r="H15" s="24">
        <f>'Scenario Output'!$G$15*'Scenario Output'!$F$15</f>
        <v/>
      </c>
      <c r="I15" s="35">
        <f>'Scenario Inputs'!$G$24</f>
        <v/>
      </c>
      <c r="J15" s="36">
        <f>'Scenario Output'!$I$15*(1+'Scenario Output'!$F$15)</f>
        <v/>
      </c>
      <c r="K15" s="9">
        <f>IF('Scenario Output'!$F$15&gt;=0,"Helped: +","Hurt: ")&amp;TEXT('Scenario Output'!$H$15,"0.0%")&amp;" of portfolio return"</f>
        <v/>
      </c>
    </row>
    <row r="16">
      <c r="A16" s="20" t="inlineStr">
        <is>
          <t>S&amp;P 500</t>
        </is>
      </c>
      <c r="B16" s="33">
        <f>'Scenario Inputs'!$C$25</f>
        <v/>
      </c>
      <c r="C16" s="33">
        <f>'Scenario Inputs'!$D$25</f>
        <v/>
      </c>
      <c r="D16" s="30">
        <f>IFERROR('Scenario Inputs'!$D$25/'Scenario Inputs'!$C$25-1,0)</f>
        <v/>
      </c>
      <c r="E16" s="30">
        <f>IFERROR('Scenario Inputs'!$F$25/'Scenario Inputs'!$E$25-1,0)</f>
        <v/>
      </c>
      <c r="F16" s="24">
        <f>(1+'Scenario Output'!$D$16)*(1+'Scenario Output'!$E$16)-1</f>
        <v/>
      </c>
      <c r="G16" s="34">
        <f>'Scenario Inputs'!$H$25</f>
        <v/>
      </c>
      <c r="H16" s="24">
        <f>'Scenario Output'!$G$16*'Scenario Output'!$F$16</f>
        <v/>
      </c>
      <c r="I16" s="35">
        <f>'Scenario Inputs'!$G$25</f>
        <v/>
      </c>
      <c r="J16" s="36">
        <f>'Scenario Output'!$I$16*(1+'Scenario Output'!$F$16)</f>
        <v/>
      </c>
      <c r="K16" s="9">
        <f>IF('Scenario Output'!$F$16&gt;=0,"Helped: +","Hurt: ")&amp;TEXT('Scenario Output'!$H$16,"0.0%")&amp;" of portfolio return"</f>
        <v/>
      </c>
    </row>
    <row r="17">
      <c r="A17" s="20" t="inlineStr">
        <is>
          <t>SXI Real Estate Funds Broad Index</t>
        </is>
      </c>
      <c r="B17" s="33">
        <f>'Scenario Inputs'!$C$26</f>
        <v/>
      </c>
      <c r="C17" s="33">
        <f>'Scenario Inputs'!$D$26</f>
        <v/>
      </c>
      <c r="D17" s="30">
        <f>IFERROR('Scenario Inputs'!$D$26/'Scenario Inputs'!$C$26-1,0)</f>
        <v/>
      </c>
      <c r="E17" s="30">
        <f>IFERROR('Scenario Inputs'!$F$26/'Scenario Inputs'!$E$26-1,0)</f>
        <v/>
      </c>
      <c r="F17" s="24">
        <f>(1+'Scenario Output'!$D$17)*(1+'Scenario Output'!$E$17)-1</f>
        <v/>
      </c>
      <c r="G17" s="34">
        <f>'Scenario Inputs'!$H$26</f>
        <v/>
      </c>
      <c r="H17" s="24">
        <f>'Scenario Output'!$G$17*'Scenario Output'!$F$17</f>
        <v/>
      </c>
      <c r="I17" s="35">
        <f>'Scenario Inputs'!$G$26</f>
        <v/>
      </c>
      <c r="J17" s="36">
        <f>'Scenario Output'!$I$17*(1+'Scenario Output'!$F$17)</f>
        <v/>
      </c>
      <c r="K17" s="9">
        <f>IF('Scenario Output'!$F$17&gt;=0,"Helped: +","Hurt: ")&amp;TEXT('Scenario Output'!$H$17,"0.0%")&amp;" of portfolio return"</f>
        <v/>
      </c>
    </row>
    <row r="18">
      <c r="A18" s="20" t="inlineStr">
        <is>
          <t>Gold</t>
        </is>
      </c>
      <c r="B18" s="33">
        <f>'Scenario Inputs'!$C$27</f>
        <v/>
      </c>
      <c r="C18" s="33">
        <f>'Scenario Inputs'!$D$27</f>
        <v/>
      </c>
      <c r="D18" s="30">
        <f>IFERROR('Scenario Inputs'!$D$27/'Scenario Inputs'!$C$27-1,0)</f>
        <v/>
      </c>
      <c r="E18" s="30">
        <f>IFERROR('Scenario Inputs'!$F$27/'Scenario Inputs'!$E$27-1,0)</f>
        <v/>
      </c>
      <c r="F18" s="24">
        <f>(1+'Scenario Output'!$D$18)*(1+'Scenario Output'!$E$18)-1</f>
        <v/>
      </c>
      <c r="G18" s="34">
        <f>'Scenario Inputs'!$H$27</f>
        <v/>
      </c>
      <c r="H18" s="24">
        <f>'Scenario Output'!$G$18*'Scenario Output'!$F$18</f>
        <v/>
      </c>
      <c r="I18" s="35">
        <f>'Scenario Inputs'!$G$27</f>
        <v/>
      </c>
      <c r="J18" s="36">
        <f>'Scenario Output'!$I$18*(1+'Scenario Output'!$F$18)</f>
        <v/>
      </c>
      <c r="K18" s="9">
        <f>IF('Scenario Output'!$F$18&gt;=0,"Helped: +","Hurt: ")&amp;TEXT('Scenario Output'!$H$18,"0.0%")&amp;" of portfolio return"</f>
        <v/>
      </c>
    </row>
    <row r="19">
      <c r="A19" s="20" t="inlineStr">
        <is>
          <t>US Government Bonds</t>
        </is>
      </c>
      <c r="B19" s="33">
        <f>'Scenario Inputs'!$C$28</f>
        <v/>
      </c>
      <c r="C19" s="33">
        <f>'Scenario Inputs'!$D$28</f>
        <v/>
      </c>
      <c r="D19" s="30">
        <f>'Scenario Inputs'!$C$53</f>
        <v/>
      </c>
      <c r="E19" s="30">
        <f>IFERROR('Scenario Inputs'!$F$28/'Scenario Inputs'!$E$28-1,0)</f>
        <v/>
      </c>
      <c r="F19" s="24">
        <f>(1+'Scenario Output'!$D$19)*(1+'Scenario Output'!$E$19)-1</f>
        <v/>
      </c>
      <c r="G19" s="34">
        <f>'Scenario Inputs'!$H$28</f>
        <v/>
      </c>
      <c r="H19" s="24">
        <f>'Scenario Output'!$G$19*'Scenario Output'!$F$19</f>
        <v/>
      </c>
      <c r="I19" s="35">
        <f>'Scenario Inputs'!$G$28</f>
        <v/>
      </c>
      <c r="J19" s="36">
        <f>'Scenario Output'!$I$19*(1+'Scenario Output'!$F$19)</f>
        <v/>
      </c>
      <c r="K19" s="9">
        <f>IF('Scenario Output'!$F$19&gt;=0,"Helped: +","Hurt: ")&amp;TEXT('Scenario Output'!$H$19,"0.0%")&amp;" of portfolio return"</f>
        <v/>
      </c>
    </row>
    <row r="20">
      <c r="A20" s="26" t="inlineStr">
        <is>
          <t>Portfolio total</t>
        </is>
      </c>
      <c r="G20" s="29">
        <f>SUM('Scenario Output'!$G$15:$G$19)</f>
        <v/>
      </c>
      <c r="H20" s="29">
        <f>SUM('Scenario Output'!$H$15:$H$19)</f>
        <v/>
      </c>
      <c r="I20" s="28">
        <f>SUM('Scenario Output'!$I$15:$I$19)</f>
        <v/>
      </c>
      <c r="J20" s="28">
        <f>SUM('Scenario Output'!$J$15:$J$19)</f>
        <v/>
      </c>
    </row>
    <row r="22">
      <c r="A22" s="6" t="inlineStr">
        <is>
          <t>Scenario portfolio return</t>
        </is>
      </c>
      <c r="C22" s="37">
        <f>'Scenario Output'!$H$20</f>
        <v/>
      </c>
      <c r="D22" s="38" t="n"/>
      <c r="F22" s="20" t="inlineStr">
        <is>
          <t>Cross-check (End value / Start value - 1)</t>
        </is>
      </c>
      <c r="I22" s="24">
        <f>IFERROR('Scenario Output'!$J$20/'Scenario Output'!$I$20-1,"")</f>
        <v/>
      </c>
    </row>
    <row r="23">
      <c r="A23" s="3" t="inlineStr">
        <is>
          <t>The two match because each weight is the asset's share of the starting value.</t>
        </is>
      </c>
    </row>
  </sheetData>
  <mergeCells count="10">
    <mergeCell ref="A3:K3"/>
    <mergeCell ref="A7:K7"/>
    <mergeCell ref="A2:K2"/>
    <mergeCell ref="A11:K11"/>
    <mergeCell ref="A10:K10"/>
    <mergeCell ref="C22:D22"/>
    <mergeCell ref="A1:K1"/>
    <mergeCell ref="A23:K23"/>
    <mergeCell ref="A9:K9"/>
    <mergeCell ref="A8:K8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CA4"/>
    <outlinePr summaryBelow="1" summaryRight="1"/>
    <pageSetUpPr fitToPage="1"/>
  </sheetPr>
  <dimension ref="A1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 ht="28" customHeight="1">
      <c r="A1" s="1" t="inlineStr">
        <is>
          <t>RISK &amp; RETURN</t>
        </is>
      </c>
    </row>
    <row r="2">
      <c r="A2" s="2" t="inlineStr">
        <is>
          <t>Long-term assumptions used by the recommended allocation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TO INPUT:  a long-term (annual) expected return and a volatility for each asset, plus how the assets move together (the correlation table).  These are long-run views, separate from the one-off scenario.</t>
        </is>
      </c>
    </row>
    <row r="9" ht="26" customHeight="1">
      <c r="A9" s="12" t="inlineStr">
        <is>
          <t>WHAT IT MEANS:  volatility = how much an asset bounces around (risk).  Correlation = do two assets move together (near +1), independently (0), or opposite (near -1).  Diversification works best with low correlation.</t>
        </is>
      </c>
    </row>
    <row r="10" ht="26" customHeight="1">
      <c r="A10" s="12" t="inlineStr">
        <is>
          <t>Sharpe ratio = (expected return - risk-free) / volatility = return earned per unit of risk.  Higher is better.</t>
        </is>
      </c>
    </row>
    <row r="13">
      <c r="A13" s="6" t="inlineStr">
        <is>
          <t>Risk-free rate (annual)</t>
        </is>
      </c>
      <c r="C13" s="25" t="n">
        <v>0.025</v>
      </c>
    </row>
    <row r="15" ht="18" customHeight="1">
      <c r="A15" s="5" t="inlineStr">
        <is>
          <t>Capital-Market Assumptions</t>
        </is>
      </c>
    </row>
    <row r="16" ht="26" customHeight="1">
      <c r="A16" s="18" t="inlineStr">
        <is>
          <t>Asset</t>
        </is>
      </c>
      <c r="B16" s="19" t="inlineStr">
        <is>
          <t>Expected
return</t>
        </is>
      </c>
      <c r="C16" s="19" t="inlineStr">
        <is>
          <t>Volatility
(risk)</t>
        </is>
      </c>
      <c r="D16" s="19" t="inlineStr">
        <is>
          <t>Scenario
return</t>
        </is>
      </c>
      <c r="E16" s="19" t="inlineStr">
        <is>
          <t>Sharpe
ratio</t>
        </is>
      </c>
    </row>
    <row r="17">
      <c r="A17" s="20" t="inlineStr">
        <is>
          <t>SMI (Swiss Market Index)</t>
        </is>
      </c>
      <c r="B17" s="25" t="n">
        <v>0.06</v>
      </c>
      <c r="C17" s="25" t="n">
        <v>0.14</v>
      </c>
      <c r="D17" s="34">
        <f>'Scenario Output'!$F$15</f>
        <v/>
      </c>
      <c r="E17" s="39">
        <f>IFERROR(('Risk &amp; Return'!$B$17-RiskFree)/'Risk &amp; Return'!$C$17,"")</f>
        <v/>
      </c>
    </row>
    <row r="18">
      <c r="A18" s="20" t="inlineStr">
        <is>
          <t>S&amp;P 500</t>
        </is>
      </c>
      <c r="B18" s="25" t="n">
        <v>0.075</v>
      </c>
      <c r="C18" s="25" t="n">
        <v>0.16</v>
      </c>
      <c r="D18" s="34">
        <f>'Scenario Output'!$F$16</f>
        <v/>
      </c>
      <c r="E18" s="39">
        <f>IFERROR(('Risk &amp; Return'!$B$18-RiskFree)/'Risk &amp; Return'!$C$18,"")</f>
        <v/>
      </c>
    </row>
    <row r="19">
      <c r="A19" s="20" t="inlineStr">
        <is>
          <t>SXI Real Estate Funds Broad Index</t>
        </is>
      </c>
      <c r="B19" s="25" t="n">
        <v>0.045</v>
      </c>
      <c r="C19" s="25" t="n">
        <v>0.09</v>
      </c>
      <c r="D19" s="34">
        <f>'Scenario Output'!$F$17</f>
        <v/>
      </c>
      <c r="E19" s="39">
        <f>IFERROR(('Risk &amp; Return'!$B$19-RiskFree)/'Risk &amp; Return'!$C$19,"")</f>
        <v/>
      </c>
    </row>
    <row r="20">
      <c r="A20" s="20" t="inlineStr">
        <is>
          <t>Gold</t>
        </is>
      </c>
      <c r="B20" s="25" t="n">
        <v>0.04</v>
      </c>
      <c r="C20" s="25" t="n">
        <v>0.15</v>
      </c>
      <c r="D20" s="34">
        <f>'Scenario Output'!$F$18</f>
        <v/>
      </c>
      <c r="E20" s="39">
        <f>IFERROR(('Risk &amp; Return'!$B$20-RiskFree)/'Risk &amp; Return'!$C$20,"")</f>
        <v/>
      </c>
    </row>
    <row r="21">
      <c r="A21" s="20" t="inlineStr">
        <is>
          <t>US Government Bonds</t>
        </is>
      </c>
      <c r="B21" s="25" t="n">
        <v>0.03</v>
      </c>
      <c r="C21" s="25" t="n">
        <v>0.06</v>
      </c>
      <c r="D21" s="34">
        <f>'Scenario Output'!$F$19</f>
        <v/>
      </c>
      <c r="E21" s="39">
        <f>IFERROR(('Risk &amp; Return'!$B$21-RiskFree)/'Risk &amp; Return'!$C$21,"")</f>
        <v/>
      </c>
    </row>
    <row r="23" ht="18" customHeight="1">
      <c r="A23" s="5" t="inlineStr">
        <is>
          <t>Correlation Matrix  (how assets move together; 1 = same, 0 = independent, -1 = opposite)</t>
        </is>
      </c>
    </row>
    <row r="24">
      <c r="A24" s="18" t="inlineStr">
        <is>
          <t>Correlation</t>
        </is>
      </c>
      <c r="B24" s="19" t="inlineStr">
        <is>
          <t>SMI</t>
        </is>
      </c>
      <c r="C24" s="19" t="inlineStr">
        <is>
          <t>S&amp;P 500</t>
        </is>
      </c>
      <c r="D24" s="19" t="inlineStr">
        <is>
          <t>SXI RE</t>
        </is>
      </c>
      <c r="E24" s="19" t="inlineStr">
        <is>
          <t>Gold</t>
        </is>
      </c>
      <c r="F24" s="19" t="inlineStr">
        <is>
          <t>US Bonds</t>
        </is>
      </c>
    </row>
    <row r="25">
      <c r="A25" s="6" t="inlineStr">
        <is>
          <t>SMI</t>
        </is>
      </c>
      <c r="B25" s="40" t="n">
        <v>1</v>
      </c>
      <c r="C25" s="40" t="n">
        <v>0.8</v>
      </c>
      <c r="D25" s="40" t="n">
        <v>0.55</v>
      </c>
      <c r="E25" s="40" t="n">
        <v>0.15</v>
      </c>
      <c r="F25" s="40" t="n">
        <v>-0.1</v>
      </c>
    </row>
    <row r="26">
      <c r="A26" s="6" t="inlineStr">
        <is>
          <t>S&amp;P 500</t>
        </is>
      </c>
      <c r="B26" s="40" t="n">
        <v>0.8</v>
      </c>
      <c r="C26" s="40" t="n">
        <v>1</v>
      </c>
      <c r="D26" s="40" t="n">
        <v>0.45</v>
      </c>
      <c r="E26" s="40" t="n">
        <v>0.1</v>
      </c>
      <c r="F26" s="40" t="n">
        <v>-0.15</v>
      </c>
    </row>
    <row r="27">
      <c r="A27" s="6" t="inlineStr">
        <is>
          <t>SXI RE</t>
        </is>
      </c>
      <c r="B27" s="40" t="n">
        <v>0.55</v>
      </c>
      <c r="C27" s="40" t="n">
        <v>0.45</v>
      </c>
      <c r="D27" s="40" t="n">
        <v>1</v>
      </c>
      <c r="E27" s="40" t="n">
        <v>0.2</v>
      </c>
      <c r="F27" s="40" t="n">
        <v>0.1</v>
      </c>
    </row>
    <row r="28">
      <c r="A28" s="6" t="inlineStr">
        <is>
          <t>Gold</t>
        </is>
      </c>
      <c r="B28" s="40" t="n">
        <v>0.15</v>
      </c>
      <c r="C28" s="40" t="n">
        <v>0.1</v>
      </c>
      <c r="D28" s="40" t="n">
        <v>0.2</v>
      </c>
      <c r="E28" s="40" t="n">
        <v>1</v>
      </c>
      <c r="F28" s="40" t="n">
        <v>0.25</v>
      </c>
    </row>
    <row r="29">
      <c r="A29" s="6" t="inlineStr">
        <is>
          <t>US Bonds</t>
        </is>
      </c>
      <c r="B29" s="40" t="n">
        <v>-0.1</v>
      </c>
      <c r="C29" s="40" t="n">
        <v>-0.15</v>
      </c>
      <c r="D29" s="40" t="n">
        <v>0.1</v>
      </c>
      <c r="E29" s="40" t="n">
        <v>0.25</v>
      </c>
      <c r="F29" s="40" t="n">
        <v>1</v>
      </c>
    </row>
    <row r="31" ht="18" customHeight="1">
      <c r="A31" s="5" t="inlineStr">
        <is>
          <t>Covariance Matrix  (computed = volatility i x volatility j x correlation)</t>
        </is>
      </c>
    </row>
    <row r="32">
      <c r="A32" s="18" t="inlineStr">
        <is>
          <t>Covariance</t>
        </is>
      </c>
      <c r="B32" s="19" t="inlineStr">
        <is>
          <t>SMI</t>
        </is>
      </c>
      <c r="C32" s="19" t="inlineStr">
        <is>
          <t>S&amp;P 500</t>
        </is>
      </c>
      <c r="D32" s="19" t="inlineStr">
        <is>
          <t>SXI RE</t>
        </is>
      </c>
      <c r="E32" s="19" t="inlineStr">
        <is>
          <t>Gold</t>
        </is>
      </c>
      <c r="F32" s="19" t="inlineStr">
        <is>
          <t>US Bonds</t>
        </is>
      </c>
    </row>
    <row r="33">
      <c r="A33" s="6" t="inlineStr">
        <is>
          <t>SMI</t>
        </is>
      </c>
      <c r="B33" s="41">
        <f>'Risk &amp; Return'!$C$17*'Risk &amp; Return'!$C$17*'Risk &amp; Return'!$B$25</f>
        <v/>
      </c>
      <c r="C33" s="41">
        <f>'Risk &amp; Return'!$C$17*'Risk &amp; Return'!$C$18*'Risk &amp; Return'!$C$25</f>
        <v/>
      </c>
      <c r="D33" s="41">
        <f>'Risk &amp; Return'!$C$17*'Risk &amp; Return'!$C$19*'Risk &amp; Return'!$D$25</f>
        <v/>
      </c>
      <c r="E33" s="41">
        <f>'Risk &amp; Return'!$C$17*'Risk &amp; Return'!$C$20*'Risk &amp; Return'!$E$25</f>
        <v/>
      </c>
      <c r="F33" s="41">
        <f>'Risk &amp; Return'!$C$17*'Risk &amp; Return'!$C$21*'Risk &amp; Return'!$F$25</f>
        <v/>
      </c>
    </row>
    <row r="34">
      <c r="A34" s="6" t="inlineStr">
        <is>
          <t>S&amp;P 500</t>
        </is>
      </c>
      <c r="B34" s="41">
        <f>'Risk &amp; Return'!$C$18*'Risk &amp; Return'!$C$17*'Risk &amp; Return'!$B$26</f>
        <v/>
      </c>
      <c r="C34" s="41">
        <f>'Risk &amp; Return'!$C$18*'Risk &amp; Return'!$C$18*'Risk &amp; Return'!$C$26</f>
        <v/>
      </c>
      <c r="D34" s="41">
        <f>'Risk &amp; Return'!$C$18*'Risk &amp; Return'!$C$19*'Risk &amp; Return'!$D$26</f>
        <v/>
      </c>
      <c r="E34" s="41">
        <f>'Risk &amp; Return'!$C$18*'Risk &amp; Return'!$C$20*'Risk &amp; Return'!$E$26</f>
        <v/>
      </c>
      <c r="F34" s="41">
        <f>'Risk &amp; Return'!$C$18*'Risk &amp; Return'!$C$21*'Risk &amp; Return'!$F$26</f>
        <v/>
      </c>
    </row>
    <row r="35">
      <c r="A35" s="6" t="inlineStr">
        <is>
          <t>SXI RE</t>
        </is>
      </c>
      <c r="B35" s="41">
        <f>'Risk &amp; Return'!$C$19*'Risk &amp; Return'!$C$17*'Risk &amp; Return'!$B$27</f>
        <v/>
      </c>
      <c r="C35" s="41">
        <f>'Risk &amp; Return'!$C$19*'Risk &amp; Return'!$C$18*'Risk &amp; Return'!$C$27</f>
        <v/>
      </c>
      <c r="D35" s="41">
        <f>'Risk &amp; Return'!$C$19*'Risk &amp; Return'!$C$19*'Risk &amp; Return'!$D$27</f>
        <v/>
      </c>
      <c r="E35" s="41">
        <f>'Risk &amp; Return'!$C$19*'Risk &amp; Return'!$C$20*'Risk &amp; Return'!$E$27</f>
        <v/>
      </c>
      <c r="F35" s="41">
        <f>'Risk &amp; Return'!$C$19*'Risk &amp; Return'!$C$21*'Risk &amp; Return'!$F$27</f>
        <v/>
      </c>
    </row>
    <row r="36">
      <c r="A36" s="6" t="inlineStr">
        <is>
          <t>Gold</t>
        </is>
      </c>
      <c r="B36" s="41">
        <f>'Risk &amp; Return'!$C$20*'Risk &amp; Return'!$C$17*'Risk &amp; Return'!$B$28</f>
        <v/>
      </c>
      <c r="C36" s="41">
        <f>'Risk &amp; Return'!$C$20*'Risk &amp; Return'!$C$18*'Risk &amp; Return'!$C$28</f>
        <v/>
      </c>
      <c r="D36" s="41">
        <f>'Risk &amp; Return'!$C$20*'Risk &amp; Return'!$C$19*'Risk &amp; Return'!$D$28</f>
        <v/>
      </c>
      <c r="E36" s="41">
        <f>'Risk &amp; Return'!$C$20*'Risk &amp; Return'!$C$20*'Risk &amp; Return'!$E$28</f>
        <v/>
      </c>
      <c r="F36" s="41">
        <f>'Risk &amp; Return'!$C$20*'Risk &amp; Return'!$C$21*'Risk &amp; Return'!$F$28</f>
        <v/>
      </c>
    </row>
    <row r="37">
      <c r="A37" s="6" t="inlineStr">
        <is>
          <t>US Bonds</t>
        </is>
      </c>
      <c r="B37" s="41">
        <f>'Risk &amp; Return'!$C$21*'Risk &amp; Return'!$C$17*'Risk &amp; Return'!$B$29</f>
        <v/>
      </c>
      <c r="C37" s="41">
        <f>'Risk &amp; Return'!$C$21*'Risk &amp; Return'!$C$18*'Risk &amp; Return'!$C$29</f>
        <v/>
      </c>
      <c r="D37" s="41">
        <f>'Risk &amp; Return'!$C$21*'Risk &amp; Return'!$C$19*'Risk &amp; Return'!$D$29</f>
        <v/>
      </c>
      <c r="E37" s="41">
        <f>'Risk &amp; Return'!$C$21*'Risk &amp; Return'!$C$20*'Risk &amp; Return'!$E$29</f>
        <v/>
      </c>
      <c r="F37" s="41">
        <f>'Risk &amp; Return'!$C$21*'Risk &amp; Return'!$C$21*'Risk &amp; Return'!$F$29</f>
        <v/>
      </c>
    </row>
    <row r="39">
      <c r="A39" s="3" t="inlineStr">
        <is>
          <t>The Allocation sheet multiplies these covariances by the portfolio weights to get each portfolio's volatility (risk). Lower correlations -&gt; more diversification -&gt; lower risk.</t>
        </is>
      </c>
    </row>
  </sheetData>
  <mergeCells count="11">
    <mergeCell ref="A2:F2"/>
    <mergeCell ref="A10:F10"/>
    <mergeCell ref="A1:F1"/>
    <mergeCell ref="A23:F23"/>
    <mergeCell ref="A9:F9"/>
    <mergeCell ref="A8:F8"/>
    <mergeCell ref="A31:F31"/>
    <mergeCell ref="A3:F3"/>
    <mergeCell ref="A39:F39"/>
    <mergeCell ref="A15:F15"/>
    <mergeCell ref="A7:F7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P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ALLOCATION</t>
        </is>
      </c>
    </row>
    <row r="2">
      <c r="A2" s="2" t="inlineStr">
        <is>
          <t>Compare allocations and build a scenario-stressed recommendation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DOES:  compares your Current allocation with Equal-weight, your Custom target, a simplified Max-Sharpe and Min-volatility mix, and a Scenario-stressed recommendation.</t>
        </is>
      </c>
    </row>
    <row r="9" ht="38" customHeight="1">
      <c r="A9" s="12" t="inlineStr">
        <is>
          <t>HOW THE RECOMMENDATION IS BUILT:  it starts from the Max-Sharpe mix (long-term return vs risk vs correlation), tilts modestly toward assets that did well in the scenario (capped so it never chases short-term moves), then respects your minimum/maximum weights.</t>
        </is>
      </c>
    </row>
    <row r="10" ht="26" customHeight="1">
      <c r="A10" s="12" t="inlineStr">
        <is>
          <t>HOW TO READ IT:  look at expected return AND volatility together -- higher return with higher risk is not automatically better. The Sharpe ratio (return per unit of risk) helps you compare.</t>
        </is>
      </c>
    </row>
    <row r="13" ht="18" customHeight="1">
      <c r="A13" s="5" t="inlineStr">
        <is>
          <t>Step 1 - Building blocks (used by Max-Sharpe, Min-volatility and the scenario tilt)</t>
        </is>
      </c>
    </row>
    <row r="14" ht="26" customHeight="1">
      <c r="A14" s="18" t="inlineStr">
        <is>
          <t>Asset</t>
        </is>
      </c>
      <c r="B14" s="19" t="inlineStr">
        <is>
          <t>Volatility</t>
        </is>
      </c>
      <c r="C14" s="19" t="inlineStr">
        <is>
          <t>1 / Vol^2
(min-vol)</t>
        </is>
      </c>
      <c r="D14" s="19" t="inlineStr">
        <is>
          <t>Sharpe score
(max-Sharpe)</t>
        </is>
      </c>
      <c r="E14" s="19" t="inlineStr">
        <is>
          <t>Scenario
return</t>
        </is>
      </c>
      <c r="F14" s="19" t="inlineStr">
        <is>
          <t>Tilt
(capped)</t>
        </is>
      </c>
      <c r="G14" s="19" t="inlineStr">
        <is>
          <t>Min
weight</t>
        </is>
      </c>
      <c r="H14" s="19" t="inlineStr">
        <is>
          <t>Max
weight</t>
        </is>
      </c>
    </row>
    <row r="15">
      <c r="A15" s="20" t="inlineStr">
        <is>
          <t>SMI (Swiss Market Index)</t>
        </is>
      </c>
      <c r="B15" s="34">
        <f>'Risk &amp; Return'!$C$17</f>
        <v/>
      </c>
      <c r="C15" s="39">
        <f>IFERROR(1/'Risk &amp; Return'!$C$17^2,0)</f>
        <v/>
      </c>
      <c r="D15" s="39">
        <f>IFERROR(MAX(0,'Risk &amp; Return'!$B$17-RiskFree)/'Risk &amp; Return'!$C$17^2,0)</f>
        <v/>
      </c>
      <c r="E15" s="34">
        <f>'Risk &amp; Return'!$D$17</f>
        <v/>
      </c>
      <c r="F15" s="30">
        <f>MEDIAN(-0.4,0.5*('Risk &amp; Return'!$D$17-AVERAGE('Risk &amp; Return'!$D$17:$D$21)),0.4)</f>
        <v/>
      </c>
      <c r="G15" s="34">
        <f>'Scenario Inputs'!$J$24</f>
        <v/>
      </c>
      <c r="H15" s="34">
        <f>'Scenario Inputs'!$K$24</f>
        <v/>
      </c>
    </row>
    <row r="16">
      <c r="A16" s="20" t="inlineStr">
        <is>
          <t>S&amp;P 500</t>
        </is>
      </c>
      <c r="B16" s="34">
        <f>'Risk &amp; Return'!$C$18</f>
        <v/>
      </c>
      <c r="C16" s="39">
        <f>IFERROR(1/'Risk &amp; Return'!$C$18^2,0)</f>
        <v/>
      </c>
      <c r="D16" s="39">
        <f>IFERROR(MAX(0,'Risk &amp; Return'!$B$18-RiskFree)/'Risk &amp; Return'!$C$18^2,0)</f>
        <v/>
      </c>
      <c r="E16" s="34">
        <f>'Risk &amp; Return'!$D$18</f>
        <v/>
      </c>
      <c r="F16" s="30">
        <f>MEDIAN(-0.4,0.5*('Risk &amp; Return'!$D$18-AVERAGE('Risk &amp; Return'!$D$17:$D$21)),0.4)</f>
        <v/>
      </c>
      <c r="G16" s="34">
        <f>'Scenario Inputs'!$J$25</f>
        <v/>
      </c>
      <c r="H16" s="34">
        <f>'Scenario Inputs'!$K$25</f>
        <v/>
      </c>
    </row>
    <row r="17">
      <c r="A17" s="20" t="inlineStr">
        <is>
          <t>SXI Real Estate Funds Broad Index</t>
        </is>
      </c>
      <c r="B17" s="34">
        <f>'Risk &amp; Return'!$C$19</f>
        <v/>
      </c>
      <c r="C17" s="39">
        <f>IFERROR(1/'Risk &amp; Return'!$C$19^2,0)</f>
        <v/>
      </c>
      <c r="D17" s="39">
        <f>IFERROR(MAX(0,'Risk &amp; Return'!$B$19-RiskFree)/'Risk &amp; Return'!$C$19^2,0)</f>
        <v/>
      </c>
      <c r="E17" s="34">
        <f>'Risk &amp; Return'!$D$19</f>
        <v/>
      </c>
      <c r="F17" s="30">
        <f>MEDIAN(-0.4,0.5*('Risk &amp; Return'!$D$19-AVERAGE('Risk &amp; Return'!$D$17:$D$21)),0.4)</f>
        <v/>
      </c>
      <c r="G17" s="34">
        <f>'Scenario Inputs'!$J$26</f>
        <v/>
      </c>
      <c r="H17" s="34">
        <f>'Scenario Inputs'!$K$26</f>
        <v/>
      </c>
    </row>
    <row r="18">
      <c r="A18" s="20" t="inlineStr">
        <is>
          <t>Gold</t>
        </is>
      </c>
      <c r="B18" s="34">
        <f>'Risk &amp; Return'!$C$20</f>
        <v/>
      </c>
      <c r="C18" s="39">
        <f>IFERROR(1/'Risk &amp; Return'!$C$20^2,0)</f>
        <v/>
      </c>
      <c r="D18" s="39">
        <f>IFERROR(MAX(0,'Risk &amp; Return'!$B$20-RiskFree)/'Risk &amp; Return'!$C$20^2,0)</f>
        <v/>
      </c>
      <c r="E18" s="34">
        <f>'Risk &amp; Return'!$D$20</f>
        <v/>
      </c>
      <c r="F18" s="30">
        <f>MEDIAN(-0.4,0.5*('Risk &amp; Return'!$D$20-AVERAGE('Risk &amp; Return'!$D$17:$D$21)),0.4)</f>
        <v/>
      </c>
      <c r="G18" s="34">
        <f>'Scenario Inputs'!$J$27</f>
        <v/>
      </c>
      <c r="H18" s="34">
        <f>'Scenario Inputs'!$K$27</f>
        <v/>
      </c>
    </row>
    <row r="19">
      <c r="A19" s="20" t="inlineStr">
        <is>
          <t>US Government Bonds</t>
        </is>
      </c>
      <c r="B19" s="34">
        <f>'Risk &amp; Return'!$C$21</f>
        <v/>
      </c>
      <c r="C19" s="39">
        <f>IFERROR(1/'Risk &amp; Return'!$C$21^2,0)</f>
        <v/>
      </c>
      <c r="D19" s="39">
        <f>IFERROR(MAX(0,'Risk &amp; Return'!$B$21-RiskFree)/'Risk &amp; Return'!$C$21^2,0)</f>
        <v/>
      </c>
      <c r="E19" s="34">
        <f>'Risk &amp; Return'!$D$21</f>
        <v/>
      </c>
      <c r="F19" s="30">
        <f>MEDIAN(-0.4,0.5*('Risk &amp; Return'!$D$21-AVERAGE('Risk &amp; Return'!$D$17:$D$21)),0.4)</f>
        <v/>
      </c>
      <c r="G19" s="34">
        <f>'Scenario Inputs'!$J$28</f>
        <v/>
      </c>
      <c r="H19" s="34">
        <f>'Scenario Inputs'!$K$28</f>
        <v/>
      </c>
    </row>
    <row r="20">
      <c r="A20" s="26" t="inlineStr">
        <is>
          <t>Total</t>
        </is>
      </c>
      <c r="C20" s="42">
        <f>SUM(C15:C19)</f>
        <v/>
      </c>
      <c r="D20" s="42">
        <f>SUM(D15:D19)</f>
        <v/>
      </c>
    </row>
    <row r="22" ht="18" customHeight="1">
      <c r="A22" s="5" t="inlineStr">
        <is>
          <t>Step 2 - How the scenario-stressed allocation is built  (fit to your min/max, re-total to 100%, repeat so it settles)</t>
        </is>
      </c>
    </row>
    <row r="23" ht="26" customHeight="1">
      <c r="A23" s="18" t="inlineStr">
        <is>
          <t>Asset</t>
        </is>
      </c>
      <c r="B23" s="19" t="inlineStr">
        <is>
          <t>Max-Sharpe
base</t>
        </is>
      </c>
      <c r="C23" s="19" t="inlineStr">
        <is>
          <t>Tilt
(capped)</t>
        </is>
      </c>
      <c r="D23" s="19" t="inlineStr">
        <is>
          <t>Raw
= base x (1+tilt)</t>
        </is>
      </c>
      <c r="E23" s="19" t="inlineStr">
        <is>
          <t>Normalised</t>
        </is>
      </c>
      <c r="F23" s="19" t="inlineStr">
        <is>
          <t>Fit to
min/max</t>
        </is>
      </c>
      <c r="G23" s="19" t="inlineStr">
        <is>
          <t>Re-total
to 100%</t>
        </is>
      </c>
      <c r="H23" s="19" t="inlineStr">
        <is>
          <t>Fit
again</t>
        </is>
      </c>
      <c r="I23" s="19" t="inlineStr">
        <is>
          <t>Final
weight</t>
        </is>
      </c>
      <c r="J23" s="19" t="inlineStr">
        <is>
          <t>Within limits?</t>
        </is>
      </c>
    </row>
    <row r="24">
      <c r="A24" s="20" t="inlineStr">
        <is>
          <t>SMI (Swiss Market Index)</t>
        </is>
      </c>
      <c r="B24" s="34">
        <f>'Allocation'!$E$33</f>
        <v/>
      </c>
      <c r="C24" s="34">
        <f>'Allocation'!$F$15</f>
        <v/>
      </c>
      <c r="D24" s="30">
        <f>$B$24*(1+$C$24)</f>
        <v/>
      </c>
      <c r="E24" s="30">
        <f>IFERROR($D$24/SUM(D24:D28),0)</f>
        <v/>
      </c>
      <c r="F24" s="30">
        <f>MEDIAN('Scenario Inputs'!$J$24,$E$24,'Scenario Inputs'!$K$24)</f>
        <v/>
      </c>
      <c r="G24" s="30">
        <f>IFERROR($F$24/SUM(F24:F28),0)</f>
        <v/>
      </c>
      <c r="H24" s="30">
        <f>MEDIAN('Scenario Inputs'!$J$24,$G$24,'Scenario Inputs'!$K$24)</f>
        <v/>
      </c>
      <c r="I24" s="24">
        <f>IFERROR($H$24/SUM(H24:H28),0)</f>
        <v/>
      </c>
      <c r="J24" s="43">
        <f>IF(AND($I$24&gt;='Scenario Inputs'!$J$24-0.005,$I$24&lt;='Scenario Inputs'!$K$24+0.005),"Within","Review")</f>
        <v/>
      </c>
    </row>
    <row r="25">
      <c r="A25" s="20" t="inlineStr">
        <is>
          <t>S&amp;P 500</t>
        </is>
      </c>
      <c r="B25" s="34">
        <f>'Allocation'!$E$34</f>
        <v/>
      </c>
      <c r="C25" s="34">
        <f>'Allocation'!$F$16</f>
        <v/>
      </c>
      <c r="D25" s="30">
        <f>$B$25*(1+$C$25)</f>
        <v/>
      </c>
      <c r="E25" s="30">
        <f>IFERROR($D$25/SUM(D24:D28),0)</f>
        <v/>
      </c>
      <c r="F25" s="30">
        <f>MEDIAN('Scenario Inputs'!$J$25,$E$25,'Scenario Inputs'!$K$25)</f>
        <v/>
      </c>
      <c r="G25" s="30">
        <f>IFERROR($F$25/SUM(F24:F28),0)</f>
        <v/>
      </c>
      <c r="H25" s="30">
        <f>MEDIAN('Scenario Inputs'!$J$25,$G$25,'Scenario Inputs'!$K$25)</f>
        <v/>
      </c>
      <c r="I25" s="24">
        <f>IFERROR($H$25/SUM(H24:H28),0)</f>
        <v/>
      </c>
      <c r="J25" s="43">
        <f>IF(AND($I$25&gt;='Scenario Inputs'!$J$25-0.005,$I$25&lt;='Scenario Inputs'!$K$25+0.005),"Within","Review")</f>
        <v/>
      </c>
    </row>
    <row r="26">
      <c r="A26" s="20" t="inlineStr">
        <is>
          <t>SXI Real Estate Funds Broad Index</t>
        </is>
      </c>
      <c r="B26" s="34">
        <f>'Allocation'!$E$35</f>
        <v/>
      </c>
      <c r="C26" s="34">
        <f>'Allocation'!$F$17</f>
        <v/>
      </c>
      <c r="D26" s="30">
        <f>$B$26*(1+$C$26)</f>
        <v/>
      </c>
      <c r="E26" s="30">
        <f>IFERROR($D$26/SUM(D24:D28),0)</f>
        <v/>
      </c>
      <c r="F26" s="30">
        <f>MEDIAN('Scenario Inputs'!$J$26,$E$26,'Scenario Inputs'!$K$26)</f>
        <v/>
      </c>
      <c r="G26" s="30">
        <f>IFERROR($F$26/SUM(F24:F28),0)</f>
        <v/>
      </c>
      <c r="H26" s="30">
        <f>MEDIAN('Scenario Inputs'!$J$26,$G$26,'Scenario Inputs'!$K$26)</f>
        <v/>
      </c>
      <c r="I26" s="24">
        <f>IFERROR($H$26/SUM(H24:H28),0)</f>
        <v/>
      </c>
      <c r="J26" s="43">
        <f>IF(AND($I$26&gt;='Scenario Inputs'!$J$26-0.005,$I$26&lt;='Scenario Inputs'!$K$26+0.005),"Within","Review")</f>
        <v/>
      </c>
    </row>
    <row r="27">
      <c r="A27" s="20" t="inlineStr">
        <is>
          <t>Gold</t>
        </is>
      </c>
      <c r="B27" s="34">
        <f>'Allocation'!$E$36</f>
        <v/>
      </c>
      <c r="C27" s="34">
        <f>'Allocation'!$F$18</f>
        <v/>
      </c>
      <c r="D27" s="30">
        <f>$B$27*(1+$C$27)</f>
        <v/>
      </c>
      <c r="E27" s="30">
        <f>IFERROR($D$27/SUM(D24:D28),0)</f>
        <v/>
      </c>
      <c r="F27" s="30">
        <f>MEDIAN('Scenario Inputs'!$J$27,$E$27,'Scenario Inputs'!$K$27)</f>
        <v/>
      </c>
      <c r="G27" s="30">
        <f>IFERROR($F$27/SUM(F24:F28),0)</f>
        <v/>
      </c>
      <c r="H27" s="30">
        <f>MEDIAN('Scenario Inputs'!$J$27,$G$27,'Scenario Inputs'!$K$27)</f>
        <v/>
      </c>
      <c r="I27" s="24">
        <f>IFERROR($H$27/SUM(H24:H28),0)</f>
        <v/>
      </c>
      <c r="J27" s="43">
        <f>IF(AND($I$27&gt;='Scenario Inputs'!$J$27-0.005,$I$27&lt;='Scenario Inputs'!$K$27+0.005),"Within","Review")</f>
        <v/>
      </c>
    </row>
    <row r="28">
      <c r="A28" s="20" t="inlineStr">
        <is>
          <t>US Government Bonds</t>
        </is>
      </c>
      <c r="B28" s="34">
        <f>'Allocation'!$E$37</f>
        <v/>
      </c>
      <c r="C28" s="34">
        <f>'Allocation'!$F$19</f>
        <v/>
      </c>
      <c r="D28" s="30">
        <f>$B$28*(1+$C$28)</f>
        <v/>
      </c>
      <c r="E28" s="30">
        <f>IFERROR($D$28/SUM(D24:D28),0)</f>
        <v/>
      </c>
      <c r="F28" s="30">
        <f>MEDIAN('Scenario Inputs'!$J$28,$E$28,'Scenario Inputs'!$K$28)</f>
        <v/>
      </c>
      <c r="G28" s="30">
        <f>IFERROR($F$28/SUM(F24:F28),0)</f>
        <v/>
      </c>
      <c r="H28" s="30">
        <f>MEDIAN('Scenario Inputs'!$J$28,$G$28,'Scenario Inputs'!$K$28)</f>
        <v/>
      </c>
      <c r="I28" s="24">
        <f>IFERROR($H$28/SUM(H24:H28),0)</f>
        <v/>
      </c>
      <c r="J28" s="43">
        <f>IF(AND($I$28&gt;='Scenario Inputs'!$J$28-0.005,$I$28&lt;='Scenario Inputs'!$K$28+0.005),"Within","Review")</f>
        <v/>
      </c>
    </row>
    <row r="29">
      <c r="A29" s="26" t="inlineStr">
        <is>
          <t>Total</t>
        </is>
      </c>
      <c r="I29" s="29">
        <f>SUM(I24:I28)</f>
        <v/>
      </c>
    </row>
    <row r="31" ht="18" customHeight="1">
      <c r="A31" s="5" t="inlineStr">
        <is>
          <t>Step 3 - Allocation comparison  (each column sums to 100%)</t>
        </is>
      </c>
    </row>
    <row r="32">
      <c r="A32" s="18" t="inlineStr">
        <is>
          <t>Asset</t>
        </is>
      </c>
      <c r="B32" s="19" t="inlineStr">
        <is>
          <t>Current</t>
        </is>
      </c>
      <c r="C32" s="19" t="inlineStr">
        <is>
          <t>Equal-weight</t>
        </is>
      </c>
      <c r="D32" s="19" t="inlineStr">
        <is>
          <t>Custom target</t>
        </is>
      </c>
      <c r="E32" s="19" t="inlineStr">
        <is>
          <t>Max-Sharpe*</t>
        </is>
      </c>
      <c r="F32" s="19" t="inlineStr">
        <is>
          <t>Min-volatility*</t>
        </is>
      </c>
      <c r="G32" s="19" t="inlineStr">
        <is>
          <t>Scenario-stressed</t>
        </is>
      </c>
    </row>
    <row r="33">
      <c r="A33" s="20" t="inlineStr">
        <is>
          <t>SMI (Swiss Market Index)</t>
        </is>
      </c>
      <c r="B33" s="30">
        <f>'Scenario Output'!$G$15</f>
        <v/>
      </c>
      <c r="C33" s="30">
        <f>1/5</f>
        <v/>
      </c>
      <c r="D33" s="30">
        <f>IFERROR('Scenario Inputs'!$I$24/SUM('Scenario Inputs'!$I$24:$I$28),0)</f>
        <v/>
      </c>
      <c r="E33" s="30">
        <f>IFERROR('Allocation'!$D$15/'Allocation'!$D$20,1/5)</f>
        <v/>
      </c>
      <c r="F33" s="30">
        <f>IFERROR('Allocation'!$C$15/'Allocation'!$C$20,1/5)</f>
        <v/>
      </c>
      <c r="G33" s="24">
        <f>'Allocation'!$I$24</f>
        <v/>
      </c>
    </row>
    <row r="34">
      <c r="A34" s="20" t="inlineStr">
        <is>
          <t>S&amp;P 500</t>
        </is>
      </c>
      <c r="B34" s="30">
        <f>'Scenario Output'!$G$16</f>
        <v/>
      </c>
      <c r="C34" s="30">
        <f>1/5</f>
        <v/>
      </c>
      <c r="D34" s="30">
        <f>IFERROR('Scenario Inputs'!$I$25/SUM('Scenario Inputs'!$I$24:$I$28),0)</f>
        <v/>
      </c>
      <c r="E34" s="30">
        <f>IFERROR('Allocation'!$D$16/'Allocation'!$D$20,1/5)</f>
        <v/>
      </c>
      <c r="F34" s="30">
        <f>IFERROR('Allocation'!$C$16/'Allocation'!$C$20,1/5)</f>
        <v/>
      </c>
      <c r="G34" s="24">
        <f>'Allocation'!$I$25</f>
        <v/>
      </c>
    </row>
    <row r="35">
      <c r="A35" s="20" t="inlineStr">
        <is>
          <t>SXI Real Estate Funds Broad Index</t>
        </is>
      </c>
      <c r="B35" s="30">
        <f>'Scenario Output'!$G$17</f>
        <v/>
      </c>
      <c r="C35" s="30">
        <f>1/5</f>
        <v/>
      </c>
      <c r="D35" s="30">
        <f>IFERROR('Scenario Inputs'!$I$26/SUM('Scenario Inputs'!$I$24:$I$28),0)</f>
        <v/>
      </c>
      <c r="E35" s="30">
        <f>IFERROR('Allocation'!$D$17/'Allocation'!$D$20,1/5)</f>
        <v/>
      </c>
      <c r="F35" s="30">
        <f>IFERROR('Allocation'!$C$17/'Allocation'!$C$20,1/5)</f>
        <v/>
      </c>
      <c r="G35" s="24">
        <f>'Allocation'!$I$26</f>
        <v/>
      </c>
    </row>
    <row r="36">
      <c r="A36" s="20" t="inlineStr">
        <is>
          <t>Gold</t>
        </is>
      </c>
      <c r="B36" s="30">
        <f>'Scenario Output'!$G$18</f>
        <v/>
      </c>
      <c r="C36" s="30">
        <f>1/5</f>
        <v/>
      </c>
      <c r="D36" s="30">
        <f>IFERROR('Scenario Inputs'!$I$27/SUM('Scenario Inputs'!$I$24:$I$28),0)</f>
        <v/>
      </c>
      <c r="E36" s="30">
        <f>IFERROR('Allocation'!$D$18/'Allocation'!$D$20,1/5)</f>
        <v/>
      </c>
      <c r="F36" s="30">
        <f>IFERROR('Allocation'!$C$18/'Allocation'!$C$20,1/5)</f>
        <v/>
      </c>
      <c r="G36" s="24">
        <f>'Allocation'!$I$27</f>
        <v/>
      </c>
    </row>
    <row r="37">
      <c r="A37" s="20" t="inlineStr">
        <is>
          <t>US Government Bonds</t>
        </is>
      </c>
      <c r="B37" s="30">
        <f>'Scenario Output'!$G$19</f>
        <v/>
      </c>
      <c r="C37" s="30">
        <f>1/5</f>
        <v/>
      </c>
      <c r="D37" s="30">
        <f>IFERROR('Scenario Inputs'!$I$28/SUM('Scenario Inputs'!$I$24:$I$28),0)</f>
        <v/>
      </c>
      <c r="E37" s="30">
        <f>IFERROR('Allocation'!$D$19/'Allocation'!$D$20,1/5)</f>
        <v/>
      </c>
      <c r="F37" s="30">
        <f>IFERROR('Allocation'!$C$19/'Allocation'!$C$20,1/5)</f>
        <v/>
      </c>
      <c r="G37" s="24">
        <f>'Allocation'!$I$28</f>
        <v/>
      </c>
    </row>
    <row r="38">
      <c r="A38" s="26" t="inlineStr">
        <is>
          <t>Total</t>
        </is>
      </c>
      <c r="B38" s="29">
        <f>SUM(B33:B37)</f>
        <v/>
      </c>
      <c r="C38" s="29">
        <f>SUM(C33:C37)</f>
        <v/>
      </c>
      <c r="D38" s="29">
        <f>SUM(D33:D37)</f>
        <v/>
      </c>
      <c r="E38" s="29">
        <f>SUM(E33:E37)</f>
        <v/>
      </c>
      <c r="F38" s="29">
        <f>SUM(F33:F37)</f>
        <v/>
      </c>
      <c r="G38" s="29">
        <f>SUM(G33:G37)</f>
        <v/>
      </c>
    </row>
    <row r="40" ht="18" customHeight="1">
      <c r="A40" s="5" t="inlineStr">
        <is>
          <t>Step 4 - Portfolio risk &amp; return for each allocation  (engine - no need to edit)</t>
        </is>
      </c>
    </row>
    <row r="41" ht="24" customHeight="1">
      <c r="A41" s="18" t="inlineStr">
        <is>
          <t>Allocation</t>
        </is>
      </c>
      <c r="B41" s="19" t="inlineStr">
        <is>
          <t>SMI</t>
        </is>
      </c>
      <c r="C41" s="19" t="inlineStr">
        <is>
          <t>S&amp;P 500</t>
        </is>
      </c>
      <c r="D41" s="19" t="inlineStr">
        <is>
          <t>SXI RE</t>
        </is>
      </c>
      <c r="E41" s="19" t="inlineStr">
        <is>
          <t>Gold</t>
        </is>
      </c>
      <c r="F41" s="19" t="inlineStr">
        <is>
          <t>US Bonds</t>
        </is>
      </c>
      <c r="G41" s="19" t="inlineStr">
        <is>
          <t>Exp.
return</t>
        </is>
      </c>
      <c r="H41" s="19" t="inlineStr">
        <is>
          <t>cw SMI</t>
        </is>
      </c>
      <c r="I41" s="19" t="inlineStr">
        <is>
          <t>cw S&amp;P 500</t>
        </is>
      </c>
      <c r="J41" s="19" t="inlineStr">
        <is>
          <t>cw SXI RE</t>
        </is>
      </c>
      <c r="K41" s="19" t="inlineStr">
        <is>
          <t>cw Gold</t>
        </is>
      </c>
      <c r="L41" s="19" t="inlineStr">
        <is>
          <t>cw US Bonds</t>
        </is>
      </c>
      <c r="M41" s="19" t="inlineStr">
        <is>
          <t>Variance</t>
        </is>
      </c>
      <c r="N41" s="19" t="inlineStr">
        <is>
          <t>Volatility</t>
        </is>
      </c>
      <c r="O41" s="19" t="inlineStr">
        <is>
          <t>Sharpe</t>
        </is>
      </c>
    </row>
    <row r="42">
      <c r="A42" s="44" t="inlineStr">
        <is>
          <t>Expected return (by asset)</t>
        </is>
      </c>
      <c r="B42" s="34">
        <f>'Risk &amp; Return'!$B$17</f>
        <v/>
      </c>
      <c r="C42" s="34">
        <f>'Risk &amp; Return'!$B$18</f>
        <v/>
      </c>
      <c r="D42" s="34">
        <f>'Risk &amp; Return'!$B$19</f>
        <v/>
      </c>
      <c r="E42" s="34">
        <f>'Risk &amp; Return'!$B$20</f>
        <v/>
      </c>
      <c r="F42" s="34">
        <f>'Risk &amp; Return'!$B$21</f>
        <v/>
      </c>
    </row>
    <row r="43">
      <c r="A43" s="6" t="inlineStr">
        <is>
          <t>Current</t>
        </is>
      </c>
      <c r="B43" s="30">
        <f>'Allocation'!$B$33</f>
        <v/>
      </c>
      <c r="C43" s="30">
        <f>'Allocation'!$B$34</f>
        <v/>
      </c>
      <c r="D43" s="30">
        <f>'Allocation'!$B$35</f>
        <v/>
      </c>
      <c r="E43" s="30">
        <f>'Allocation'!$B$36</f>
        <v/>
      </c>
      <c r="F43" s="30">
        <f>'Allocation'!$B$37</f>
        <v/>
      </c>
      <c r="G43" s="24">
        <f>SUMPRODUCT(B43:F43,B42:F42)</f>
        <v/>
      </c>
      <c r="H43" s="41">
        <f>SUMPRODUCT(B43:F43,'Risk &amp; Return'!$B$33:$F$33)</f>
        <v/>
      </c>
      <c r="I43" s="41">
        <f>SUMPRODUCT(B43:F43,'Risk &amp; Return'!$B$34:$F$34)</f>
        <v/>
      </c>
      <c r="J43" s="41">
        <f>SUMPRODUCT(B43:F43,'Risk &amp; Return'!$B$35:$F$35)</f>
        <v/>
      </c>
      <c r="K43" s="41">
        <f>SUMPRODUCT(B43:F43,'Risk &amp; Return'!$B$36:$F$36)</f>
        <v/>
      </c>
      <c r="L43" s="41">
        <f>SUMPRODUCT(B43:F43,'Risk &amp; Return'!$B$37:$F$37)</f>
        <v/>
      </c>
      <c r="M43" s="41">
        <f>SUMPRODUCT(B43:F43,H43:L43)</f>
        <v/>
      </c>
      <c r="N43" s="24">
        <f>SQRT('Allocation'!$M$43)</f>
        <v/>
      </c>
      <c r="O43" s="39">
        <f>IFERROR(('Allocation'!$G$43-RiskFree)/'Allocation'!$N$43,"")</f>
        <v/>
      </c>
    </row>
    <row r="44">
      <c r="A44" s="6" t="inlineStr">
        <is>
          <t>Equal-weight</t>
        </is>
      </c>
      <c r="B44" s="30">
        <f>'Allocation'!$C$33</f>
        <v/>
      </c>
      <c r="C44" s="30">
        <f>'Allocation'!$C$34</f>
        <v/>
      </c>
      <c r="D44" s="30">
        <f>'Allocation'!$C$35</f>
        <v/>
      </c>
      <c r="E44" s="30">
        <f>'Allocation'!$C$36</f>
        <v/>
      </c>
      <c r="F44" s="30">
        <f>'Allocation'!$C$37</f>
        <v/>
      </c>
      <c r="G44" s="24">
        <f>SUMPRODUCT(B44:F44,B42:F42)</f>
        <v/>
      </c>
      <c r="H44" s="41">
        <f>SUMPRODUCT(B44:F44,'Risk &amp; Return'!$B$33:$F$33)</f>
        <v/>
      </c>
      <c r="I44" s="41">
        <f>SUMPRODUCT(B44:F44,'Risk &amp; Return'!$B$34:$F$34)</f>
        <v/>
      </c>
      <c r="J44" s="41">
        <f>SUMPRODUCT(B44:F44,'Risk &amp; Return'!$B$35:$F$35)</f>
        <v/>
      </c>
      <c r="K44" s="41">
        <f>SUMPRODUCT(B44:F44,'Risk &amp; Return'!$B$36:$F$36)</f>
        <v/>
      </c>
      <c r="L44" s="41">
        <f>SUMPRODUCT(B44:F44,'Risk &amp; Return'!$B$37:$F$37)</f>
        <v/>
      </c>
      <c r="M44" s="41">
        <f>SUMPRODUCT(B44:F44,H44:L44)</f>
        <v/>
      </c>
      <c r="N44" s="24">
        <f>SQRT('Allocation'!$M$44)</f>
        <v/>
      </c>
      <c r="O44" s="39">
        <f>IFERROR(('Allocation'!$G$44-RiskFree)/'Allocation'!$N$44,"")</f>
        <v/>
      </c>
    </row>
    <row r="45">
      <c r="A45" s="6" t="inlineStr">
        <is>
          <t>Custom target</t>
        </is>
      </c>
      <c r="B45" s="30">
        <f>'Allocation'!$D$33</f>
        <v/>
      </c>
      <c r="C45" s="30">
        <f>'Allocation'!$D$34</f>
        <v/>
      </c>
      <c r="D45" s="30">
        <f>'Allocation'!$D$35</f>
        <v/>
      </c>
      <c r="E45" s="30">
        <f>'Allocation'!$D$36</f>
        <v/>
      </c>
      <c r="F45" s="30">
        <f>'Allocation'!$D$37</f>
        <v/>
      </c>
      <c r="G45" s="24">
        <f>SUMPRODUCT(B45:F45,B42:F42)</f>
        <v/>
      </c>
      <c r="H45" s="41">
        <f>SUMPRODUCT(B45:F45,'Risk &amp; Return'!$B$33:$F$33)</f>
        <v/>
      </c>
      <c r="I45" s="41">
        <f>SUMPRODUCT(B45:F45,'Risk &amp; Return'!$B$34:$F$34)</f>
        <v/>
      </c>
      <c r="J45" s="41">
        <f>SUMPRODUCT(B45:F45,'Risk &amp; Return'!$B$35:$F$35)</f>
        <v/>
      </c>
      <c r="K45" s="41">
        <f>SUMPRODUCT(B45:F45,'Risk &amp; Return'!$B$36:$F$36)</f>
        <v/>
      </c>
      <c r="L45" s="41">
        <f>SUMPRODUCT(B45:F45,'Risk &amp; Return'!$B$37:$F$37)</f>
        <v/>
      </c>
      <c r="M45" s="41">
        <f>SUMPRODUCT(B45:F45,H45:L45)</f>
        <v/>
      </c>
      <c r="N45" s="24">
        <f>SQRT('Allocation'!$M$45)</f>
        <v/>
      </c>
      <c r="O45" s="39">
        <f>IFERROR(('Allocation'!$G$45-RiskFree)/'Allocation'!$N$45,"")</f>
        <v/>
      </c>
    </row>
    <row r="46">
      <c r="A46" s="6" t="inlineStr">
        <is>
          <t>Max-Sharpe*</t>
        </is>
      </c>
      <c r="B46" s="30">
        <f>'Allocation'!$E$33</f>
        <v/>
      </c>
      <c r="C46" s="30">
        <f>'Allocation'!$E$34</f>
        <v/>
      </c>
      <c r="D46" s="30">
        <f>'Allocation'!$E$35</f>
        <v/>
      </c>
      <c r="E46" s="30">
        <f>'Allocation'!$E$36</f>
        <v/>
      </c>
      <c r="F46" s="30">
        <f>'Allocation'!$E$37</f>
        <v/>
      </c>
      <c r="G46" s="24">
        <f>SUMPRODUCT(B46:F46,B42:F42)</f>
        <v/>
      </c>
      <c r="H46" s="41">
        <f>SUMPRODUCT(B46:F46,'Risk &amp; Return'!$B$33:$F$33)</f>
        <v/>
      </c>
      <c r="I46" s="41">
        <f>SUMPRODUCT(B46:F46,'Risk &amp; Return'!$B$34:$F$34)</f>
        <v/>
      </c>
      <c r="J46" s="41">
        <f>SUMPRODUCT(B46:F46,'Risk &amp; Return'!$B$35:$F$35)</f>
        <v/>
      </c>
      <c r="K46" s="41">
        <f>SUMPRODUCT(B46:F46,'Risk &amp; Return'!$B$36:$F$36)</f>
        <v/>
      </c>
      <c r="L46" s="41">
        <f>SUMPRODUCT(B46:F46,'Risk &amp; Return'!$B$37:$F$37)</f>
        <v/>
      </c>
      <c r="M46" s="41">
        <f>SUMPRODUCT(B46:F46,H46:L46)</f>
        <v/>
      </c>
      <c r="N46" s="24">
        <f>SQRT('Allocation'!$M$46)</f>
        <v/>
      </c>
      <c r="O46" s="39">
        <f>IFERROR(('Allocation'!$G$46-RiskFree)/'Allocation'!$N$46,"")</f>
        <v/>
      </c>
    </row>
    <row r="47">
      <c r="A47" s="6" t="inlineStr">
        <is>
          <t>Min-volatility*</t>
        </is>
      </c>
      <c r="B47" s="30">
        <f>'Allocation'!$F$33</f>
        <v/>
      </c>
      <c r="C47" s="30">
        <f>'Allocation'!$F$34</f>
        <v/>
      </c>
      <c r="D47" s="30">
        <f>'Allocation'!$F$35</f>
        <v/>
      </c>
      <c r="E47" s="30">
        <f>'Allocation'!$F$36</f>
        <v/>
      </c>
      <c r="F47" s="30">
        <f>'Allocation'!$F$37</f>
        <v/>
      </c>
      <c r="G47" s="24">
        <f>SUMPRODUCT(B47:F47,B42:F42)</f>
        <v/>
      </c>
      <c r="H47" s="41">
        <f>SUMPRODUCT(B47:F47,'Risk &amp; Return'!$B$33:$F$33)</f>
        <v/>
      </c>
      <c r="I47" s="41">
        <f>SUMPRODUCT(B47:F47,'Risk &amp; Return'!$B$34:$F$34)</f>
        <v/>
      </c>
      <c r="J47" s="41">
        <f>SUMPRODUCT(B47:F47,'Risk &amp; Return'!$B$35:$F$35)</f>
        <v/>
      </c>
      <c r="K47" s="41">
        <f>SUMPRODUCT(B47:F47,'Risk &amp; Return'!$B$36:$F$36)</f>
        <v/>
      </c>
      <c r="L47" s="41">
        <f>SUMPRODUCT(B47:F47,'Risk &amp; Return'!$B$37:$F$37)</f>
        <v/>
      </c>
      <c r="M47" s="41">
        <f>SUMPRODUCT(B47:F47,H47:L47)</f>
        <v/>
      </c>
      <c r="N47" s="24">
        <f>SQRT('Allocation'!$M$47)</f>
        <v/>
      </c>
      <c r="O47" s="39">
        <f>IFERROR(('Allocation'!$G$47-RiskFree)/'Allocation'!$N$47,"")</f>
        <v/>
      </c>
    </row>
    <row r="48">
      <c r="A48" s="6" t="inlineStr">
        <is>
          <t>Scenario-stressed</t>
        </is>
      </c>
      <c r="B48" s="30">
        <f>'Allocation'!$G$33</f>
        <v/>
      </c>
      <c r="C48" s="30">
        <f>'Allocation'!$G$34</f>
        <v/>
      </c>
      <c r="D48" s="30">
        <f>'Allocation'!$G$35</f>
        <v/>
      </c>
      <c r="E48" s="30">
        <f>'Allocation'!$G$36</f>
        <v/>
      </c>
      <c r="F48" s="30">
        <f>'Allocation'!$G$37</f>
        <v/>
      </c>
      <c r="G48" s="24">
        <f>SUMPRODUCT(B48:F48,B42:F42)</f>
        <v/>
      </c>
      <c r="H48" s="41">
        <f>SUMPRODUCT(B48:F48,'Risk &amp; Return'!$B$33:$F$33)</f>
        <v/>
      </c>
      <c r="I48" s="41">
        <f>SUMPRODUCT(B48:F48,'Risk &amp; Return'!$B$34:$F$34)</f>
        <v/>
      </c>
      <c r="J48" s="41">
        <f>SUMPRODUCT(B48:F48,'Risk &amp; Return'!$B$35:$F$35)</f>
        <v/>
      </c>
      <c r="K48" s="41">
        <f>SUMPRODUCT(B48:F48,'Risk &amp; Return'!$B$36:$F$36)</f>
        <v/>
      </c>
      <c r="L48" s="41">
        <f>SUMPRODUCT(B48:F48,'Risk &amp; Return'!$B$37:$F$37)</f>
        <v/>
      </c>
      <c r="M48" s="41">
        <f>SUMPRODUCT(B48:F48,H48:L48)</f>
        <v/>
      </c>
      <c r="N48" s="24">
        <f>SQRT('Allocation'!$M$48)</f>
        <v/>
      </c>
      <c r="O48" s="39">
        <f>IFERROR(('Allocation'!$G$48-RiskFree)/'Allocation'!$N$48,"")</f>
        <v/>
      </c>
    </row>
    <row r="51" ht="18" customHeight="1">
      <c r="A51" s="5" t="inlineStr">
        <is>
          <t>Step 5 - Recommended allocation</t>
        </is>
      </c>
    </row>
    <row r="52">
      <c r="A52" s="6" t="inlineStr">
        <is>
          <t>Rebalance toward</t>
        </is>
      </c>
      <c r="C52" s="16" t="inlineStr">
        <is>
          <t>Scenario-stressed</t>
        </is>
      </c>
      <c r="D52" s="14" t="n"/>
      <c r="E52" s="15" t="n"/>
      <c r="F52" s="7" t="inlineStr">
        <is>
          <t>Pick which allocation to rebalance toward (default: Scenario-stressed).</t>
        </is>
      </c>
    </row>
    <row r="53">
      <c r="A53" s="44" t="inlineStr">
        <is>
          <t>(selector options)</t>
        </is>
      </c>
      <c r="B53" s="7" t="inlineStr">
        <is>
          <t>Current</t>
        </is>
      </c>
      <c r="C53" s="7" t="inlineStr">
        <is>
          <t>Equal-weight</t>
        </is>
      </c>
      <c r="D53" s="7" t="inlineStr">
        <is>
          <t>Custom target</t>
        </is>
      </c>
      <c r="E53" s="7" t="inlineStr">
        <is>
          <t>Max-Sharpe*</t>
        </is>
      </c>
      <c r="F53" s="7" t="inlineStr">
        <is>
          <t>Min-volatility*</t>
        </is>
      </c>
      <c r="G53" s="7" t="inlineStr">
        <is>
          <t>Scenario-stressed</t>
        </is>
      </c>
    </row>
    <row r="54">
      <c r="A54" s="20" t="inlineStr">
        <is>
          <t>Basis number</t>
        </is>
      </c>
      <c r="C54" s="45">
        <f>IFERROR(MATCH('Allocation'!$C$52,'Allocation'!$B$53:$G$53,0),6)</f>
        <v/>
      </c>
    </row>
    <row r="56">
      <c r="A56" s="18" t="inlineStr">
        <is>
          <t>Asset</t>
        </is>
      </c>
      <c r="B56" s="19" t="inlineStr">
        <is>
          <t>Recommended weight</t>
        </is>
      </c>
    </row>
    <row r="57">
      <c r="A57" s="20" t="inlineStr">
        <is>
          <t>SMI (Swiss Market Index)</t>
        </is>
      </c>
      <c r="B57" s="24">
        <f>CHOOSE(RecBasis,'Allocation'!$B$33,'Allocation'!$C$33,'Allocation'!$D$33,'Allocation'!$E$33,'Allocation'!$F$33,'Allocation'!$G$33)</f>
        <v/>
      </c>
      <c r="C57" s="46" t="n"/>
      <c r="D57" s="47" t="n"/>
    </row>
    <row r="58">
      <c r="A58" s="20" t="inlineStr">
        <is>
          <t>S&amp;P 500</t>
        </is>
      </c>
      <c r="B58" s="24">
        <f>CHOOSE(RecBasis,'Allocation'!$B$34,'Allocation'!$C$34,'Allocation'!$D$34,'Allocation'!$E$34,'Allocation'!$F$34,'Allocation'!$G$34)</f>
        <v/>
      </c>
      <c r="C58" s="46" t="n"/>
      <c r="D58" s="47" t="n"/>
    </row>
    <row r="59">
      <c r="A59" s="20" t="inlineStr">
        <is>
          <t>SXI Real Estate Funds Broad Index</t>
        </is>
      </c>
      <c r="B59" s="24">
        <f>CHOOSE(RecBasis,'Allocation'!$B$35,'Allocation'!$C$35,'Allocation'!$D$35,'Allocation'!$E$35,'Allocation'!$F$35,'Allocation'!$G$35)</f>
        <v/>
      </c>
      <c r="C59" s="46" t="n"/>
      <c r="D59" s="47" t="n"/>
    </row>
    <row r="60">
      <c r="A60" s="20" t="inlineStr">
        <is>
          <t>Gold</t>
        </is>
      </c>
      <c r="B60" s="24">
        <f>CHOOSE(RecBasis,'Allocation'!$B$36,'Allocation'!$C$36,'Allocation'!$D$36,'Allocation'!$E$36,'Allocation'!$F$36,'Allocation'!$G$36)</f>
        <v/>
      </c>
      <c r="C60" s="46" t="n"/>
      <c r="D60" s="47" t="n"/>
    </row>
    <row r="61">
      <c r="A61" s="20" t="inlineStr">
        <is>
          <t>US Government Bonds</t>
        </is>
      </c>
      <c r="B61" s="24">
        <f>CHOOSE(RecBasis,'Allocation'!$B$37,'Allocation'!$C$37,'Allocation'!$D$37,'Allocation'!$E$37,'Allocation'!$F$37,'Allocation'!$G$37)</f>
        <v/>
      </c>
      <c r="C61" s="46" t="n"/>
      <c r="D61" s="47" t="n"/>
    </row>
    <row r="62">
      <c r="A62" s="26" t="inlineStr">
        <is>
          <t>Total</t>
        </is>
      </c>
      <c r="B62" s="29">
        <f>SUM('Allocation'!$B$57:$B$61)</f>
        <v/>
      </c>
      <c r="C62" s="48" t="n"/>
      <c r="D62" s="48" t="n"/>
    </row>
    <row r="64" ht="16" customHeight="1">
      <c r="A64" s="11" t="inlineStr">
        <is>
          <t>Important</t>
        </is>
      </c>
    </row>
    <row r="65" ht="26" customHeight="1">
      <c r="A65" s="12" t="inlineStr">
        <is>
          <t>The recommended allocation is model-based and should be used as a decision-support tool, not as a guaranteed perfect portfolio.</t>
        </is>
      </c>
    </row>
  </sheetData>
  <mergeCells count="23">
    <mergeCell ref="B60:D60"/>
    <mergeCell ref="B61:D61"/>
    <mergeCell ref="B57:D57"/>
    <mergeCell ref="A8:P8"/>
    <mergeCell ref="A22:P22"/>
    <mergeCell ref="A10:P10"/>
    <mergeCell ref="A13:P13"/>
    <mergeCell ref="C52:E52"/>
    <mergeCell ref="A40:P40"/>
    <mergeCell ref="A9:P9"/>
    <mergeCell ref="A31:P31"/>
    <mergeCell ref="A64:P64"/>
    <mergeCell ref="A51:P51"/>
    <mergeCell ref="A1:P1"/>
    <mergeCell ref="B62:D62"/>
    <mergeCell ref="A7:P7"/>
    <mergeCell ref="A65:P65"/>
    <mergeCell ref="B59:D59"/>
    <mergeCell ref="F52:P52"/>
    <mergeCell ref="B56:D56"/>
    <mergeCell ref="B58:D58"/>
    <mergeCell ref="A3:P3"/>
    <mergeCell ref="A2:P2"/>
  </mergeCells>
  <conditionalFormatting sqref="J24:J28">
    <cfRule type="expression" priority="1" dxfId="0" stopIfTrue="1">
      <formula>OR(ISNUMBER(SEARCH("Buy",J24)),ISNUMBER(SEARCH("Increase",J24)),ISNUMBER(SEARCH("Good",J24)),ISNUMBER(SEARCH("OK",J24)),ISNUMBER(SEARCH("Balanced",J24)),ISNUMBER(SEARCH("Within",J24)))</formula>
    </cfRule>
    <cfRule type="expression" priority="2" dxfId="1" stopIfTrue="1">
      <formula>OR(ISNUMBER(SEARCH("Hold",J24)),ISNUMBER(SEARCH("Review",J24)),ISNUMBER(SEARCH("Watch",J24)),ISNUMBER(SEARCH("Near",J24)))</formula>
    </cfRule>
    <cfRule type="expression" priority="3" dxfId="2" stopIfTrue="1">
      <formula>OR(ISNUMBER(SEARCH("Sell",J24)),ISNUMBER(SEARCH("Reduce",J24)),ISNUMBER(SEARCH("Breach",J24)),ISNUMBER(SEARCH("Outside",J24)),ISNUMBER(SEARCH("High risk",J24)))</formula>
    </cfRule>
  </conditionalFormatting>
  <dataValidations count="1">
    <dataValidation sqref="C52" showDropDown="0" showInputMessage="0" showErrorMessage="1" allowBlank="1" type="list">
      <formula1>"Current,Equal-weight,Custom target,Max-Sharpe*,Min-volatility*,Scenario-stressed"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0641F"/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11" customWidth="1" min="4" max="4"/>
    <col width="14" customWidth="1" min="5" max="5"/>
    <col width="13" customWidth="1" min="6" max="6"/>
    <col width="9" customWidth="1" min="7" max="7"/>
    <col width="60" customWidth="1" min="8" max="8"/>
  </cols>
  <sheetData>
    <row r="1" ht="28" customHeight="1">
      <c r="A1" s="1" t="inlineStr">
        <is>
          <t>REBALANCING</t>
        </is>
      </c>
    </row>
    <row r="2">
      <c r="A2" s="2" t="inlineStr">
        <is>
          <t>What to buy, sell or hold to reach the recommended allocation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TELLS YOU:  the exact trades to move from your current portfolio to the recommended one (chosen on the Allocation sheet, Step 5).</t>
        </is>
      </c>
    </row>
    <row r="9" ht="26" customHeight="1">
      <c r="A9" s="12" t="inlineStr">
        <is>
          <t>HOW TO READ IT:  Buy/Sell amount = Target value - Current value (positive = buy, negative = sell). If the weight gap is small (within 1%), the action is Hold so you don't trade on noise.</t>
        </is>
      </c>
    </row>
    <row r="10" ht="14" customHeight="1">
      <c r="A10" s="12" t="inlineStr">
        <is>
          <t>The Reason column explains each action in plain language (risk, scenario and target weight).</t>
        </is>
      </c>
    </row>
    <row r="13" ht="26" customHeight="1">
      <c r="A13" s="18" t="inlineStr">
        <is>
          <t>Asset</t>
        </is>
      </c>
      <c r="B13" s="19" t="inlineStr">
        <is>
          <t>Current value
(KWD)</t>
        </is>
      </c>
      <c r="C13" s="19" t="inlineStr">
        <is>
          <t>Current
weight</t>
        </is>
      </c>
      <c r="D13" s="19" t="inlineStr">
        <is>
          <t>Recommended
weight</t>
        </is>
      </c>
      <c r="E13" s="19" t="inlineStr">
        <is>
          <t>Target value
(KWD)</t>
        </is>
      </c>
      <c r="F13" s="19" t="inlineStr">
        <is>
          <t>Buy / Sell
(KWD)</t>
        </is>
      </c>
      <c r="G13" s="19" t="inlineStr">
        <is>
          <t>Action</t>
        </is>
      </c>
      <c r="H13" s="19" t="inlineStr">
        <is>
          <t>Reason</t>
        </is>
      </c>
    </row>
    <row r="14">
      <c r="A14" s="20" t="inlineStr">
        <is>
          <t>SMI (Swiss Market Index)</t>
        </is>
      </c>
      <c r="B14" s="35">
        <f>'Scenario Output'!$I$15</f>
        <v/>
      </c>
      <c r="C14" s="34">
        <f>'Scenario Output'!$G$15</f>
        <v/>
      </c>
      <c r="D14" s="34">
        <f>'Allocation'!$B$57</f>
        <v/>
      </c>
      <c r="E14" s="36">
        <f>'Allocation'!$B$57*TotalInvested</f>
        <v/>
      </c>
      <c r="F14" s="49">
        <f>$E$14-$B$14</f>
        <v/>
      </c>
      <c r="G14" s="43">
        <f>IF(ABS('Allocation'!$B$57-'Scenario Output'!$G$15)&lt;=0.01,"Hold",IF('Allocation'!$B$57&gt;'Scenario Output'!$G$15,"Buy","Sell"))</f>
        <v/>
      </c>
      <c r="H14" s="9">
        <f>IF($G$14="Hold","SMI (Swiss Market Index) is already near target - no trade needed.",IF($G$14="Buy","Increase SMI (Swiss Market Index) because "&amp;IF('Risk &amp; Return'!$C$17&lt;=IFERROR(AVERAGE('Risk &amp; Return'!$C$17:$C$21),0),"it is a calmer asset that lowers portfolio volatility","it improves long-term return per unit of risk")&amp;".","Reduce SMI (Swiss Market Index) because "&amp;IF('Scenario Output'!$F$15&lt;0,"it was weak in this scenario and its weight is above target","its weight is above target and scenario-adjusted risk is high")&amp;"."))</f>
        <v/>
      </c>
    </row>
    <row r="15">
      <c r="A15" s="20" t="inlineStr">
        <is>
          <t>S&amp;P 500</t>
        </is>
      </c>
      <c r="B15" s="35">
        <f>'Scenario Output'!$I$16</f>
        <v/>
      </c>
      <c r="C15" s="34">
        <f>'Scenario Output'!$G$16</f>
        <v/>
      </c>
      <c r="D15" s="34">
        <f>'Allocation'!$B$58</f>
        <v/>
      </c>
      <c r="E15" s="36">
        <f>'Allocation'!$B$58*TotalInvested</f>
        <v/>
      </c>
      <c r="F15" s="49">
        <f>$E$15-$B$15</f>
        <v/>
      </c>
      <c r="G15" s="43">
        <f>IF(ABS('Allocation'!$B$58-'Scenario Output'!$G$16)&lt;=0.01,"Hold",IF('Allocation'!$B$58&gt;'Scenario Output'!$G$16,"Buy","Sell"))</f>
        <v/>
      </c>
      <c r="H15" s="9">
        <f>IF($G$15="Hold","S&amp;P 500 is already near target - no trade needed.",IF($G$15="Buy","Increase S&amp;P 500 because "&amp;IF('Risk &amp; Return'!$C$18&lt;=IFERROR(AVERAGE('Risk &amp; Return'!$C$17:$C$21),0),"it is a calmer asset that lowers portfolio volatility","it improves long-term return per unit of risk")&amp;".","Reduce S&amp;P 500 because "&amp;IF('Scenario Output'!$F$16&lt;0,"it was weak in this scenario and its weight is above target","its weight is above target and scenario-adjusted risk is high")&amp;"."))</f>
        <v/>
      </c>
    </row>
    <row r="16">
      <c r="A16" s="20" t="inlineStr">
        <is>
          <t>SXI Real Estate Funds Broad Index</t>
        </is>
      </c>
      <c r="B16" s="35">
        <f>'Scenario Output'!$I$17</f>
        <v/>
      </c>
      <c r="C16" s="34">
        <f>'Scenario Output'!$G$17</f>
        <v/>
      </c>
      <c r="D16" s="34">
        <f>'Allocation'!$B$59</f>
        <v/>
      </c>
      <c r="E16" s="36">
        <f>'Allocation'!$B$59*TotalInvested</f>
        <v/>
      </c>
      <c r="F16" s="49">
        <f>$E$16-$B$16</f>
        <v/>
      </c>
      <c r="G16" s="43">
        <f>IF(ABS('Allocation'!$B$59-'Scenario Output'!$G$17)&lt;=0.01,"Hold",IF('Allocation'!$B$59&gt;'Scenario Output'!$G$17,"Buy","Sell"))</f>
        <v/>
      </c>
      <c r="H16" s="9">
        <f>IF($G$16="Hold","SXI Real Estate Funds Broad Index is already near target - no trade needed.",IF($G$16="Buy","Increase SXI Real Estate Funds Broad Index because "&amp;IF('Risk &amp; Return'!$C$19&lt;=IFERROR(AVERAGE('Risk &amp; Return'!$C$17:$C$21),0),"it is a calmer asset that lowers portfolio volatility","it improves long-term return per unit of risk")&amp;".","Reduce SXI Real Estate Funds Broad Index because "&amp;IF('Scenario Output'!$F$17&lt;0,"it was weak in this scenario and its weight is above target","its weight is above target and scenario-adjusted risk is high")&amp;"."))</f>
        <v/>
      </c>
    </row>
    <row r="17">
      <c r="A17" s="20" t="inlineStr">
        <is>
          <t>Gold</t>
        </is>
      </c>
      <c r="B17" s="35">
        <f>'Scenario Output'!$I$18</f>
        <v/>
      </c>
      <c r="C17" s="34">
        <f>'Scenario Output'!$G$18</f>
        <v/>
      </c>
      <c r="D17" s="34">
        <f>'Allocation'!$B$60</f>
        <v/>
      </c>
      <c r="E17" s="36">
        <f>'Allocation'!$B$60*TotalInvested</f>
        <v/>
      </c>
      <c r="F17" s="49">
        <f>$E$17-$B$17</f>
        <v/>
      </c>
      <c r="G17" s="43">
        <f>IF(ABS('Allocation'!$B$60-'Scenario Output'!$G$18)&lt;=0.01,"Hold",IF('Allocation'!$B$60&gt;'Scenario Output'!$G$18,"Buy","Sell"))</f>
        <v/>
      </c>
      <c r="H17" s="9">
        <f>IF($G$17="Hold","Gold is already near target - no trade needed.",IF($G$17="Buy","Increase Gold because "&amp;IF('Risk &amp; Return'!$C$20&lt;=IFERROR(AVERAGE('Risk &amp; Return'!$C$17:$C$21),0),"it is a calmer asset that lowers portfolio volatility","it improves long-term return per unit of risk")&amp;".","Reduce Gold because "&amp;IF('Scenario Output'!$F$18&lt;0,"it was weak in this scenario and its weight is above target","its weight is above target and scenario-adjusted risk is high")&amp;"."))</f>
        <v/>
      </c>
    </row>
    <row r="18">
      <c r="A18" s="20" t="inlineStr">
        <is>
          <t>US Government Bonds</t>
        </is>
      </c>
      <c r="B18" s="35">
        <f>'Scenario Output'!$I$19</f>
        <v/>
      </c>
      <c r="C18" s="34">
        <f>'Scenario Output'!$G$19</f>
        <v/>
      </c>
      <c r="D18" s="34">
        <f>'Allocation'!$B$61</f>
        <v/>
      </c>
      <c r="E18" s="36">
        <f>'Allocation'!$B$61*TotalInvested</f>
        <v/>
      </c>
      <c r="F18" s="49">
        <f>$E$18-$B$18</f>
        <v/>
      </c>
      <c r="G18" s="43">
        <f>IF(ABS('Allocation'!$B$61-'Scenario Output'!$G$19)&lt;=0.01,"Hold",IF('Allocation'!$B$61&gt;'Scenario Output'!$G$19,"Buy","Sell"))</f>
        <v/>
      </c>
      <c r="H18" s="9">
        <f>IF($G$18="Hold","US Government Bonds is already near target - no trade needed.",IF($G$18="Buy","Increase US Government Bonds because "&amp;IF('Risk &amp; Return'!$C$21&lt;=IFERROR(AVERAGE('Risk &amp; Return'!$C$17:$C$21),0),"it is a calmer asset that lowers portfolio volatility","it improves long-term return per unit of risk")&amp;".","Reduce US Government Bonds because "&amp;IF('Scenario Output'!$F$19&lt;0,"it was weak in this scenario and its weight is above target","its weight is above target and scenario-adjusted risk is high")&amp;"."))</f>
        <v/>
      </c>
    </row>
    <row r="19">
      <c r="A19" s="26" t="inlineStr">
        <is>
          <t>Total</t>
        </is>
      </c>
      <c r="B19" s="28">
        <f>SUM('Scenario Output'!$I$15:$I$19)</f>
        <v/>
      </c>
      <c r="C19" s="29">
        <f>SUM('Scenario Output'!$G$15:$G$19)</f>
        <v/>
      </c>
      <c r="D19" s="29">
        <f>SUM('Allocation'!$B$57:$B$61)</f>
        <v/>
      </c>
      <c r="E19" s="28">
        <f>SUM('Rebalancing'!$E$14:$E$18)</f>
        <v/>
      </c>
      <c r="F19" s="28">
        <f>SUM('Rebalancing'!$F$14:$F$18)</f>
        <v/>
      </c>
    </row>
    <row r="20">
      <c r="A20" s="3" t="inlineStr">
        <is>
          <t>The Buy/Sell column should sum to about 0 (a rebalance moves money between assets, it does not add or remove cash).</t>
        </is>
      </c>
    </row>
  </sheetData>
  <mergeCells count="13">
    <mergeCell ref="A9:H9"/>
    <mergeCell ref="A3:H3"/>
    <mergeCell ref="A7:H7"/>
    <mergeCell ref="A20:H20"/>
    <mergeCell ref="A2:H2"/>
    <mergeCell ref="H17"/>
    <mergeCell ref="A10:H10"/>
    <mergeCell ref="H15"/>
    <mergeCell ref="H16"/>
    <mergeCell ref="A1:H1"/>
    <mergeCell ref="A8:H8"/>
    <mergeCell ref="H18"/>
    <mergeCell ref="H14"/>
  </mergeCells>
  <conditionalFormatting sqref="G14:G18">
    <cfRule type="expression" priority="1" dxfId="0" stopIfTrue="1">
      <formula>OR(ISNUMBER(SEARCH("Buy",G14)),ISNUMBER(SEARCH("Increase",G14)),ISNUMBER(SEARCH("Good",G14)),ISNUMBER(SEARCH("OK",G14)),ISNUMBER(SEARCH("Balanced",G14)),ISNUMBER(SEARCH("Within",G14)))</formula>
    </cfRule>
    <cfRule type="expression" priority="2" dxfId="1" stopIfTrue="1">
      <formula>OR(ISNUMBER(SEARCH("Hold",G14)),ISNUMBER(SEARCH("Review",G14)),ISNUMBER(SEARCH("Watch",G14)),ISNUMBER(SEARCH("Near",G14)))</formula>
    </cfRule>
    <cfRule type="expression" priority="3" dxfId="2" stopIfTrue="1">
      <formula>OR(ISNUMBER(SEARCH("Sell",G14)),ISNUMBER(SEARCH("Reduce",G14)),ISNUMBER(SEARCH("Breach",G14)),ISNUMBER(SEARCH("Outside",G14)),ISNUMBER(SEARCH("High risk",G14)))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2324F"/>
    <outlinePr summaryBelow="1" summaryRight="1"/>
    <pageSetUpPr fitToPage="1"/>
  </sheetPr>
  <dimension ref="A1:L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DASHBOARD</t>
        </is>
      </c>
    </row>
    <row r="2">
      <c r="A2" s="2" t="inlineStr">
        <is>
          <t>Scenario impact, allocation and risk/return at a glance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26" customHeight="1">
      <c r="A8" s="12" t="inlineStr">
        <is>
          <t>WHAT THIS SHEET SHOWS:  your current vs recommended allocation, how each asset performed in the scenario, how much each contributed to the portfolio return, and where each portfolio sits on the risk/return map.</t>
        </is>
      </c>
    </row>
    <row r="9" ht="26" customHeight="1">
      <c r="A9" s="12" t="inlineStr">
        <is>
          <t>It is a summary -- all the detail (and every formula) lives on the Scenario Output, Risk &amp; Return and Allocation sheets. Charts update automatically when you change the inputs.</t>
        </is>
      </c>
    </row>
    <row r="12" ht="18" customHeight="1">
      <c r="A12" s="5" t="inlineStr">
        <is>
          <t>Scenario summary</t>
        </is>
      </c>
    </row>
    <row r="13">
      <c r="A13" s="6" t="inlineStr">
        <is>
          <t>Scenario</t>
        </is>
      </c>
      <c r="C13" s="9">
        <f>'Scenario Inputs'!$C$16</f>
        <v/>
      </c>
      <c r="G13" s="6" t="inlineStr">
        <is>
          <t>Portfolio scenario return</t>
        </is>
      </c>
      <c r="I13" s="37">
        <f>'Scenario Output'!$H$20</f>
        <v/>
      </c>
      <c r="J13" s="38" t="n"/>
    </row>
    <row r="14">
      <c r="A14" s="20" t="inlineStr">
        <is>
          <t>Period</t>
        </is>
      </c>
      <c r="C14" s="9">
        <f>'Scenario Inputs'!$C$17&amp;"  to  "&amp;'Scenario Inputs'!$C$18</f>
        <v/>
      </c>
      <c r="G14" s="6" t="inlineStr">
        <is>
          <t>What happened</t>
        </is>
      </c>
      <c r="I14" s="9">
        <f>"In the "&amp;'Scenario Inputs'!$C$16&amp;" scenario, the portfolio returned "&amp;TEXT('Scenario Output'!$H$20,"0.0%")&amp;".  "&amp;INDEX(E17:E21,MATCH(MAX(G17:G21),G17:G21,0))&amp;" helped most; "&amp;INDEX(E17:E21,MATCH(MIN(G17:G21),G17:G21,0))&amp;" detracted most."</f>
        <v/>
      </c>
    </row>
    <row r="16">
      <c r="A16" s="18" t="inlineStr">
        <is>
          <t>Asset</t>
        </is>
      </c>
      <c r="B16" s="19" t="inlineStr">
        <is>
          <t>Current</t>
        </is>
      </c>
      <c r="C16" s="19" t="inlineStr">
        <is>
          <t>Recommended</t>
        </is>
      </c>
      <c r="E16" s="18" t="inlineStr">
        <is>
          <t>Asset</t>
        </is>
      </c>
      <c r="F16" s="19" t="inlineStr">
        <is>
          <t>Scenario return</t>
        </is>
      </c>
      <c r="G16" s="19" t="inlineStr">
        <is>
          <t>Contribution</t>
        </is>
      </c>
      <c r="I16" s="18" t="inlineStr">
        <is>
          <t>Point</t>
        </is>
      </c>
      <c r="J16" s="19" t="inlineStr">
        <is>
          <t>Risk</t>
        </is>
      </c>
      <c r="K16" s="19" t="inlineStr">
        <is>
          <t>Return</t>
        </is>
      </c>
    </row>
    <row r="17">
      <c r="A17" s="20" t="inlineStr">
        <is>
          <t>SMI</t>
        </is>
      </c>
      <c r="B17" s="30">
        <f>'Allocation'!$B$33</f>
        <v/>
      </c>
      <c r="C17" s="30">
        <f>'Allocation'!$B$57</f>
        <v/>
      </c>
      <c r="E17" s="20" t="inlineStr">
        <is>
          <t>SMI</t>
        </is>
      </c>
      <c r="F17" s="30">
        <f>'Scenario Output'!$F$15</f>
        <v/>
      </c>
      <c r="G17" s="30">
        <f>'Scenario Output'!$H$15</f>
        <v/>
      </c>
      <c r="I17" s="20" t="inlineStr">
        <is>
          <t>Current</t>
        </is>
      </c>
      <c r="J17" s="30">
        <f>'Allocation'!$N$43</f>
        <v/>
      </c>
      <c r="K17" s="30">
        <f>'Allocation'!$G$43</f>
        <v/>
      </c>
    </row>
    <row r="18">
      <c r="A18" s="20" t="inlineStr">
        <is>
          <t>S&amp;P 500</t>
        </is>
      </c>
      <c r="B18" s="30">
        <f>'Allocation'!$B$34</f>
        <v/>
      </c>
      <c r="C18" s="30">
        <f>'Allocation'!$B$58</f>
        <v/>
      </c>
      <c r="E18" s="20" t="inlineStr">
        <is>
          <t>S&amp;P 500</t>
        </is>
      </c>
      <c r="F18" s="30">
        <f>'Scenario Output'!$F$16</f>
        <v/>
      </c>
      <c r="G18" s="30">
        <f>'Scenario Output'!$H$16</f>
        <v/>
      </c>
      <c r="I18" s="20" t="inlineStr">
        <is>
          <t>Equal-weight</t>
        </is>
      </c>
      <c r="J18" s="30">
        <f>'Allocation'!$N$44</f>
        <v/>
      </c>
      <c r="K18" s="30">
        <f>'Allocation'!$G$44</f>
        <v/>
      </c>
    </row>
    <row r="19">
      <c r="A19" s="20" t="inlineStr">
        <is>
          <t>SXI RE</t>
        </is>
      </c>
      <c r="B19" s="30">
        <f>'Allocation'!$B$35</f>
        <v/>
      </c>
      <c r="C19" s="30">
        <f>'Allocation'!$B$59</f>
        <v/>
      </c>
      <c r="E19" s="20" t="inlineStr">
        <is>
          <t>SXI RE</t>
        </is>
      </c>
      <c r="F19" s="30">
        <f>'Scenario Output'!$F$17</f>
        <v/>
      </c>
      <c r="G19" s="30">
        <f>'Scenario Output'!$H$17</f>
        <v/>
      </c>
      <c r="I19" s="20" t="inlineStr">
        <is>
          <t>Custom target</t>
        </is>
      </c>
      <c r="J19" s="30">
        <f>'Allocation'!$N$45</f>
        <v/>
      </c>
      <c r="K19" s="30">
        <f>'Allocation'!$G$45</f>
        <v/>
      </c>
    </row>
    <row r="20">
      <c r="A20" s="20" t="inlineStr">
        <is>
          <t>Gold</t>
        </is>
      </c>
      <c r="B20" s="30">
        <f>'Allocation'!$B$36</f>
        <v/>
      </c>
      <c r="C20" s="30">
        <f>'Allocation'!$B$60</f>
        <v/>
      </c>
      <c r="E20" s="20" t="inlineStr">
        <is>
          <t>Gold</t>
        </is>
      </c>
      <c r="F20" s="30">
        <f>'Scenario Output'!$F$18</f>
        <v/>
      </c>
      <c r="G20" s="30">
        <f>'Scenario Output'!$H$18</f>
        <v/>
      </c>
      <c r="I20" s="20" t="inlineStr">
        <is>
          <t>Max-Sharpe*</t>
        </is>
      </c>
      <c r="J20" s="30">
        <f>'Allocation'!$N$46</f>
        <v/>
      </c>
      <c r="K20" s="30">
        <f>'Allocation'!$G$46</f>
        <v/>
      </c>
    </row>
    <row r="21">
      <c r="A21" s="20" t="inlineStr">
        <is>
          <t>US Bonds</t>
        </is>
      </c>
      <c r="B21" s="30">
        <f>'Allocation'!$B$37</f>
        <v/>
      </c>
      <c r="C21" s="30">
        <f>'Allocation'!$B$61</f>
        <v/>
      </c>
      <c r="E21" s="20" t="inlineStr">
        <is>
          <t>US Bonds</t>
        </is>
      </c>
      <c r="F21" s="30">
        <f>'Scenario Output'!$F$19</f>
        <v/>
      </c>
      <c r="G21" s="30">
        <f>'Scenario Output'!$H$19</f>
        <v/>
      </c>
      <c r="I21" s="20" t="inlineStr">
        <is>
          <t>Min-volatility*</t>
        </is>
      </c>
      <c r="J21" s="30">
        <f>'Allocation'!$N$47</f>
        <v/>
      </c>
      <c r="K21" s="30">
        <f>'Allocation'!$G$47</f>
        <v/>
      </c>
    </row>
    <row r="22">
      <c r="I22" s="20" t="inlineStr">
        <is>
          <t>Scenario-stressed</t>
        </is>
      </c>
      <c r="J22" s="30">
        <f>'Allocation'!$N$48</f>
        <v/>
      </c>
      <c r="K22" s="30">
        <f>'Allocation'!$G$48</f>
        <v/>
      </c>
    </row>
    <row r="23">
      <c r="I23" s="44" t="inlineStr">
        <is>
          <t>SMI</t>
        </is>
      </c>
      <c r="J23" s="30">
        <f>'Risk &amp; Return'!$C$17</f>
        <v/>
      </c>
      <c r="K23" s="30">
        <f>'Risk &amp; Return'!$B$17</f>
        <v/>
      </c>
    </row>
    <row r="24">
      <c r="I24" s="44" t="inlineStr">
        <is>
          <t>S&amp;P 500</t>
        </is>
      </c>
      <c r="J24" s="30">
        <f>'Risk &amp; Return'!$C$18</f>
        <v/>
      </c>
      <c r="K24" s="30">
        <f>'Risk &amp; Return'!$B$18</f>
        <v/>
      </c>
    </row>
    <row r="25">
      <c r="I25" s="44" t="inlineStr">
        <is>
          <t>SXI RE</t>
        </is>
      </c>
      <c r="J25" s="30">
        <f>'Risk &amp; Return'!$C$19</f>
        <v/>
      </c>
      <c r="K25" s="30">
        <f>'Risk &amp; Return'!$B$19</f>
        <v/>
      </c>
    </row>
    <row r="26">
      <c r="I26" s="44" t="inlineStr">
        <is>
          <t>Gold</t>
        </is>
      </c>
      <c r="J26" s="30">
        <f>'Risk &amp; Return'!$C$20</f>
        <v/>
      </c>
      <c r="K26" s="30">
        <f>'Risk &amp; Return'!$B$20</f>
        <v/>
      </c>
    </row>
    <row r="27">
      <c r="I27" s="44" t="inlineStr">
        <is>
          <t>US Bonds</t>
        </is>
      </c>
      <c r="J27" s="30">
        <f>'Risk &amp; Return'!$C$21</f>
        <v/>
      </c>
      <c r="K27" s="30">
        <f>'Risk &amp; Return'!$B$21</f>
        <v/>
      </c>
    </row>
  </sheetData>
  <mergeCells count="11">
    <mergeCell ref="C13:F13"/>
    <mergeCell ref="A2:L2"/>
    <mergeCell ref="I14:L14"/>
    <mergeCell ref="A7:L7"/>
    <mergeCell ref="C14:F14"/>
    <mergeCell ref="A1:L1"/>
    <mergeCell ref="A8:L8"/>
    <mergeCell ref="A9:L9"/>
    <mergeCell ref="I13:J13"/>
    <mergeCell ref="A3:L3"/>
    <mergeCell ref="A12:L12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  <drawing xmlns:r="http://schemas.openxmlformats.org/officeDocument/2006/relationships" r:id="rId9"/>
</worksheet>
</file>

<file path=xl/worksheets/sheet8.xml><?xml version="1.0" encoding="utf-8"?>
<worksheet xmlns="http://schemas.openxmlformats.org/spreadsheetml/2006/main">
  <sheetPr>
    <tabColor rgb="006B7886"/>
    <outlinePr summaryBelow="1" summaryRight="1"/>
    <pageSetUpPr fitToPage="1"/>
  </sheetPr>
  <dimension ref="A1:J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FORMULA GUIDE</t>
        </is>
      </c>
    </row>
    <row r="2">
      <c r="A2" s="2" t="inlineStr">
        <is>
          <t>Every calculation, in plain language</t>
        </is>
      </c>
    </row>
    <row r="3">
      <c r="A3" s="3" t="inlineStr">
        <is>
          <t>Portfolio Allocation Optimizer  -  v1.0</t>
        </is>
      </c>
    </row>
    <row r="5">
      <c r="A5" s="4" t="inlineStr">
        <is>
          <t>Overview</t>
        </is>
      </c>
      <c r="B5" s="4" t="inlineStr">
        <is>
          <t>Scenario Inputs</t>
        </is>
      </c>
      <c r="C5" s="4" t="inlineStr">
        <is>
          <t>Scenario Output</t>
        </is>
      </c>
      <c r="D5" s="4" t="inlineStr">
        <is>
          <t>Risk &amp; Return</t>
        </is>
      </c>
      <c r="E5" s="4" t="inlineStr">
        <is>
          <t>Allocation</t>
        </is>
      </c>
      <c r="F5" s="4" t="inlineStr">
        <is>
          <t>Rebalancing</t>
        </is>
      </c>
      <c r="G5" s="4" t="inlineStr">
        <is>
          <t>Dashboard</t>
        </is>
      </c>
      <c r="H5" s="4" t="inlineStr">
        <is>
          <t>Formula Guide</t>
        </is>
      </c>
    </row>
    <row r="7" ht="16" customHeight="1">
      <c r="A7" s="11" t="inlineStr">
        <is>
          <t>How to read this sheet</t>
        </is>
      </c>
    </row>
    <row r="8" ht="14" customHeight="1">
      <c r="A8" s="12" t="inlineStr">
        <is>
          <t>This sheet explains every formula the workbook uses. Read it once and you can audit any number in the tool.</t>
        </is>
      </c>
    </row>
    <row r="11">
      <c r="A11" s="18" t="inlineStr">
        <is>
          <t>Concept</t>
        </is>
      </c>
      <c r="C11" s="18" t="inlineStr">
        <is>
          <t>Formula</t>
        </is>
      </c>
      <c r="F11" s="18" t="inlineStr">
        <is>
          <t>What it means</t>
        </is>
      </c>
    </row>
    <row r="12" ht="28" customHeight="1">
      <c r="A12" s="6" t="inlineStr">
        <is>
          <t>Asset return (local)</t>
        </is>
      </c>
      <c r="C12" s="9" t="inlineStr">
        <is>
          <t>End price / Start price - 1</t>
        </is>
      </c>
      <c r="F12" s="7" t="inlineStr">
        <is>
          <t>The price move in the asset's own currency over the scenario. Example: 110/100 - 1 = +10%.</t>
        </is>
      </c>
    </row>
    <row r="13" ht="40" customHeight="1">
      <c r="A13" s="6" t="inlineStr">
        <is>
          <t>FX return</t>
        </is>
      </c>
      <c r="C13" s="9" t="inlineStr">
        <is>
          <t>End FX rate / Start FX rate - 1</t>
        </is>
      </c>
      <c r="F13" s="7" t="inlineStr">
        <is>
          <t>The change in the value of the asset's currency against your base currency. If your base currency strengthens, foreign assets are worth less to you (a negative FX return).</t>
        </is>
      </c>
    </row>
    <row r="14" ht="28" customHeight="1">
      <c r="A14" s="6" t="inlineStr">
        <is>
          <t>Currency-adjusted return</t>
        </is>
      </c>
      <c r="C14" s="9" t="inlineStr">
        <is>
          <t>(1 + Asset return) x (1 + FX return) - 1</t>
        </is>
      </c>
      <c r="F14" s="7" t="inlineStr">
        <is>
          <t>What you actually earned in your own currency: the price move and the currency move combined. Example: (1+10%) x (1+2%) - 1 = +12.2%.</t>
        </is>
      </c>
    </row>
    <row r="15" ht="28" customHeight="1">
      <c r="A15" s="6" t="inlineStr">
        <is>
          <t>Weight</t>
        </is>
      </c>
      <c r="C15" s="9" t="inlineStr">
        <is>
          <t>Asset value / Total portfolio value</t>
        </is>
      </c>
      <c r="F15" s="7" t="inlineStr">
        <is>
          <t>Each asset's share of the portfolio. All weights add up to 100%.</t>
        </is>
      </c>
    </row>
    <row r="16" ht="28" customHeight="1">
      <c r="A16" s="6" t="inlineStr">
        <is>
          <t>Contribution to return</t>
        </is>
      </c>
      <c r="C16" s="9" t="inlineStr">
        <is>
          <t>Weight x Currency-adjusted return</t>
        </is>
      </c>
      <c r="F16" s="7" t="inlineStr">
        <is>
          <t>How much an asset added to the total return. A 20% weight earning +12% contributes +2.4%.</t>
        </is>
      </c>
    </row>
    <row r="17" ht="28" customHeight="1">
      <c r="A17" s="6" t="inlineStr">
        <is>
          <t>Portfolio return</t>
        </is>
      </c>
      <c r="C17" s="9" t="inlineStr">
        <is>
          <t>Sum of all contributions</t>
        </is>
      </c>
      <c r="F17" s="7" t="inlineStr">
        <is>
          <t>Add up every asset's contribution to get the whole portfolio's return for the scenario.</t>
        </is>
      </c>
    </row>
    <row r="18" ht="40" customHeight="1">
      <c r="A18" s="6" t="inlineStr">
        <is>
          <t>Bond return</t>
        </is>
      </c>
      <c r="C18" s="9" t="inlineStr">
        <is>
          <t>(End price - Start price + Coupon earned) / Start price</t>
        </is>
      </c>
      <c r="F18" s="7" t="inlineStr">
        <is>
          <t>Bonds earn a coupon as well as moving in price. Coupon earned = Face x Coupon rate x (Days held / 365). Adding the coupon to the price change gives the bond's total return.</t>
        </is>
      </c>
    </row>
    <row r="19" ht="28" customHeight="1">
      <c r="A19" s="6" t="inlineStr">
        <is>
          <t>Expected return (long-term)</t>
        </is>
      </c>
      <c r="C19" s="9" t="inlineStr">
        <is>
          <t>Your annual view per asset (an input)</t>
        </is>
      </c>
      <c r="F19" s="7" t="inlineStr">
        <is>
          <t>The long-run return you expect from each asset, separate from the one-off scenario. Used for the recommendation.</t>
        </is>
      </c>
    </row>
    <row r="20" ht="28" customHeight="1">
      <c r="A20" s="6" t="inlineStr">
        <is>
          <t>Volatility (risk)</t>
        </is>
      </c>
      <c r="C20" s="9" t="inlineStr">
        <is>
          <t>How much an asset's return bounces around (an input, annual)</t>
        </is>
      </c>
      <c r="F20" s="7" t="inlineStr">
        <is>
          <t>A higher number means a bumpier ride. It is the standard measure of risk.</t>
        </is>
      </c>
    </row>
    <row r="21" ht="40" customHeight="1">
      <c r="A21" s="6" t="inlineStr">
        <is>
          <t>Correlation</t>
        </is>
      </c>
      <c r="C21" s="9" t="inlineStr">
        <is>
          <t>How two assets move together (-1 to +1)</t>
        </is>
      </c>
      <c r="F21" s="7" t="inlineStr">
        <is>
          <t>+1 = always move together, 0 = unrelated, -1 = move opposite. Mixing low-correlation assets lowers portfolio risk -- that is diversification.</t>
        </is>
      </c>
    </row>
    <row r="22" ht="40" customHeight="1">
      <c r="A22" s="6" t="inlineStr">
        <is>
          <t>Portfolio volatility</t>
        </is>
      </c>
      <c r="C22" s="9" t="inlineStr">
        <is>
          <t>Built from the weights and the covariance table</t>
        </is>
      </c>
      <c r="F22" s="7" t="inlineStr">
        <is>
          <t>Covariance = Vol(i) x Vol(j) x Correlation(i,j). The portfolio's risk adds up every pair's combined risk, and falls when assets do not move together. Shown on the Allocation sheet for each allocation.</t>
        </is>
      </c>
    </row>
    <row r="23" ht="28" customHeight="1">
      <c r="A23" s="6" t="inlineStr">
        <is>
          <t>Sharpe ratio</t>
        </is>
      </c>
      <c r="C23" s="9" t="inlineStr">
        <is>
          <t>(Expected return - Risk-free rate) / Volatility</t>
        </is>
      </c>
      <c r="F23" s="7" t="inlineStr">
        <is>
          <t>Return earned per unit of risk. Higher is better. It lets you compare portfolios fairly when one has more risk than another.</t>
        </is>
      </c>
    </row>
    <row r="24" ht="28" customHeight="1">
      <c r="A24" s="6" t="inlineStr">
        <is>
          <t>Max-Sharpe weight (simplified)</t>
        </is>
      </c>
      <c r="C24" s="9" t="inlineStr">
        <is>
          <t>score / sum of scores,  where score = max(0, Expected - Risk-free) / Volatility^2</t>
        </is>
      </c>
      <c r="F24" s="7" t="inlineStr">
        <is>
          <t>Gives more weight to assets with the best return per unit of risk. A simple, transparent rule -- not a Solver optimisation.</t>
        </is>
      </c>
    </row>
    <row r="25" ht="28" customHeight="1">
      <c r="A25" s="6" t="inlineStr">
        <is>
          <t>Min-volatility weight (simplified)</t>
        </is>
      </c>
      <c r="C25" s="9" t="inlineStr">
        <is>
          <t>(1 / Volatility^2) / sum of (1 / Volatility^2)</t>
        </is>
      </c>
      <c r="F25" s="7" t="inlineStr">
        <is>
          <t>Gives more weight to the calmer assets, to reduce overall risk.</t>
        </is>
      </c>
    </row>
    <row r="26" ht="40" customHeight="1">
      <c r="A26" s="6" t="inlineStr">
        <is>
          <t>Scenario-stressed weight</t>
        </is>
      </c>
      <c r="C26" s="9" t="inlineStr">
        <is>
          <t>Max-Sharpe base x (1 + capped tilt), then clamp to your min/max and re-normalise</t>
        </is>
      </c>
      <c r="F26" s="7" t="inlineStr">
        <is>
          <t>Starts from the long-term Max-Sharpe mix and leans modestly toward assets that did well in the scenario. The tilt is capped so it never chases short-term moves, and your min/max limits are always respected.</t>
        </is>
      </c>
    </row>
    <row r="27" ht="40" customHeight="1">
      <c r="A27" s="6" t="inlineStr">
        <is>
          <t>Risk/return map (efficient frontier idea)</t>
        </is>
      </c>
      <c r="C27" s="9" t="inlineStr">
        <is>
          <t>Plot each portfolio as (volatility, expected return)</t>
        </is>
      </c>
      <c r="F27" s="7" t="inlineStr">
        <is>
          <t>The map shows the trade-off: for a given level of risk you want the highest return. Portfolios toward the top-left (more return, less risk) are more efficient.</t>
        </is>
      </c>
    </row>
    <row r="28" ht="40" customHeight="1">
      <c r="A28" s="6" t="inlineStr">
        <is>
          <t>Rebalancing trade</t>
        </is>
      </c>
      <c r="C28" s="9" t="inlineStr">
        <is>
          <t>Target value - Current value;  Target value = Recommended weight x Total invested</t>
        </is>
      </c>
      <c r="F28" s="7" t="inlineStr">
        <is>
          <t>The amount to buy (positive) or sell (negative) to reach the recommended allocation. Small gaps are left as Hold so you do not trade on noise.</t>
        </is>
      </c>
    </row>
  </sheetData>
  <mergeCells count="59">
    <mergeCell ref="C16:E16"/>
    <mergeCell ref="A24:B24"/>
    <mergeCell ref="A8:J8"/>
    <mergeCell ref="F11:J11"/>
    <mergeCell ref="A15:B15"/>
    <mergeCell ref="A11:B11"/>
    <mergeCell ref="F16:J16"/>
    <mergeCell ref="C22:E22"/>
    <mergeCell ref="F19:J19"/>
    <mergeCell ref="F25:J25"/>
    <mergeCell ref="C21:E21"/>
    <mergeCell ref="C12:E12"/>
    <mergeCell ref="C11:E11"/>
    <mergeCell ref="F15:J15"/>
    <mergeCell ref="A16:B16"/>
    <mergeCell ref="F21:J21"/>
    <mergeCell ref="F12:J12"/>
    <mergeCell ref="F24:J24"/>
    <mergeCell ref="A25:B25"/>
    <mergeCell ref="F20:J20"/>
    <mergeCell ref="C23:E23"/>
    <mergeCell ref="C27:E27"/>
    <mergeCell ref="C17:E17"/>
    <mergeCell ref="F18:J18"/>
    <mergeCell ref="A18:B18"/>
    <mergeCell ref="A27:B27"/>
    <mergeCell ref="F26:J26"/>
    <mergeCell ref="A12:B12"/>
    <mergeCell ref="F17:J17"/>
    <mergeCell ref="A1:J1"/>
    <mergeCell ref="A21:B21"/>
    <mergeCell ref="A26:B26"/>
    <mergeCell ref="C28:E28"/>
    <mergeCell ref="C13:E13"/>
    <mergeCell ref="C19:E19"/>
    <mergeCell ref="F23:J23"/>
    <mergeCell ref="C18:E18"/>
    <mergeCell ref="F28:J28"/>
    <mergeCell ref="A7:J7"/>
    <mergeCell ref="A14:B14"/>
    <mergeCell ref="A17:B17"/>
    <mergeCell ref="F22:J22"/>
    <mergeCell ref="A23:B23"/>
    <mergeCell ref="F13:J13"/>
    <mergeCell ref="C15:E15"/>
    <mergeCell ref="A22:B22"/>
    <mergeCell ref="F27:J27"/>
    <mergeCell ref="C24:E24"/>
    <mergeCell ref="A20:B20"/>
    <mergeCell ref="C14:E14"/>
    <mergeCell ref="A19:B19"/>
    <mergeCell ref="A3:J3"/>
    <mergeCell ref="A28:B28"/>
    <mergeCell ref="A13:B13"/>
    <mergeCell ref="C26:E26"/>
    <mergeCell ref="A2:J2"/>
    <mergeCell ref="F14:J14"/>
    <mergeCell ref="C20:E20"/>
    <mergeCell ref="C25:E25"/>
  </mergeCells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C5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</hyperlinks>
  <pageMargins left="0.75" right="0.75" top="1" bottom="1" header="0.5" footer="0.5"/>
  <pageSetup orientation="landscape" fitToHeight="0" fitToWidth="1"/>
  <headerFooter>
    <oddHeader/>
    <oddFooter>&amp;R&amp;A  -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Portfolio Allocation Optimizer v1.0</dc:creator>
  <dc:title>Portfolio Allocation Optimizer</dc:title>
  <dcterms:created xsi:type="dcterms:W3CDTF">2026-06-24T13:17:25Z</dcterms:created>
  <dcterms:modified xsi:type="dcterms:W3CDTF">2026-06-24T13:17:25Z</dcterms:modified>
</cp:coreProperties>
</file>
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me" sheetId="1" state="visible" r:id="rId1"/>
    <sheet name="Dashboard" sheetId="2" state="visible" r:id="rId2"/>
    <sheet name="Inputs" sheetId="3" state="visible" r:id="rId3"/>
    <sheet name="Common Size" sheetId="4" state="visible" r:id="rId4"/>
    <sheet name="Profitability" sheetId="5" state="visible" r:id="rId5"/>
    <sheet name="Liquidity" sheetId="6" state="visible" r:id="rId6"/>
    <sheet name="Solvency" sheetId="7" state="visible" r:id="rId7"/>
    <sheet name="Efficiency" sheetId="8" state="visible" r:id="rId8"/>
    <sheet name="Growth" sheetId="9" state="visible" r:id="rId9"/>
    <sheet name="Valuation" sheetId="10" state="visible" r:id="rId10"/>
    <sheet name="Capital Allocation" sheetId="11" state="visible" r:id="rId11"/>
    <sheet name="Quality" sheetId="12" state="visible" r:id="rId12"/>
    <sheet name="Benchmarking" sheetId="13" state="visible" r:id="rId13"/>
    <sheet name="Guide" sheetId="14" state="visible" r:id="rId14"/>
    <sheet name="Quality 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 mmm yyyy"/>
    <numFmt numFmtId="165" formatCode="#,##0;(#,##0)"/>
    <numFmt numFmtId="166" formatCode="#,##0.00;(#,##0.00)"/>
    <numFmt numFmtId="167" formatCode="0.0%;(0.0%)"/>
    <numFmt numFmtId="168" formatCode="0.00&quot;x&quot;"/>
    <numFmt numFmtId="169" formatCode="0.0&quot; days&quot;"/>
    <numFmt numFmtId="170" formatCode="0.00%;(0.00%)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color rgb="001A2632"/>
      <sz val="10"/>
    </font>
    <font>
      <name val="Calibri"/>
      <color rgb="007F6000"/>
      <sz val="10"/>
    </font>
    <font>
      <name val="Calibri"/>
      <b val="1"/>
      <color rgb="00FFFFFF"/>
      <sz val="10"/>
    </font>
    <font>
      <name val="Calibri"/>
      <b val="1"/>
      <color rgb="001A2632"/>
      <sz val="10"/>
    </font>
    <font>
      <name val="Calibri"/>
      <color rgb="006A7886"/>
      <sz val="8.5"/>
    </font>
    <font>
      <name val="Calibri"/>
      <b val="1"/>
      <color rgb="00234D20"/>
      <sz val="10"/>
    </font>
    <font>
      <name val="Calibri"/>
      <b val="1"/>
      <color rgb="009C1A1A"/>
      <sz val="10"/>
    </font>
    <font>
      <name val="Calibri"/>
      <b val="1"/>
      <color rgb="00FFFFFF"/>
      <sz val="9"/>
    </font>
    <font>
      <name val="Calibri"/>
      <b val="1"/>
      <i val="1"/>
      <color rgb="00CFE0EF"/>
      <sz val="9"/>
    </font>
    <font>
      <name val="Calibri"/>
      <i val="1"/>
      <color rgb="006A7886"/>
      <sz val="9"/>
    </font>
    <font>
      <name val="Calibri"/>
      <b val="1"/>
      <color rgb="001E7B34"/>
      <sz val="9"/>
    </font>
    <font>
      <name val="Calibri"/>
      <b val="1"/>
      <color rgb="008A6100"/>
      <sz val="9"/>
    </font>
    <font>
      <name val="Calibri"/>
      <b val="1"/>
      <color rgb="009C1A1A"/>
      <sz val="9"/>
    </font>
    <font>
      <name val="Calibri"/>
      <b val="1"/>
      <color rgb="000F2942"/>
      <sz val="20"/>
    </font>
  </fonts>
  <fills count="13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B3A5B"/>
        <bgColor rgb="001B3A5B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2E5A88"/>
        <bgColor rgb="002E5A88"/>
      </patternFill>
    </fill>
    <fill>
      <patternFill patternType="solid">
        <fgColor rgb="00E2EFDA"/>
        <bgColor rgb="00E2EFDA"/>
      </patternFill>
    </fill>
    <fill>
      <patternFill patternType="solid">
        <fgColor rgb="00F8D2D2"/>
        <bgColor rgb="00F8D2D2"/>
      </patternFill>
    </fill>
    <fill>
      <patternFill patternType="solid">
        <fgColor rgb="00ECEFF2"/>
        <bgColor rgb="00ECEFF2"/>
      </patternFill>
    </fill>
    <fill>
      <patternFill patternType="solid">
        <fgColor rgb="00F5F8FB"/>
        <bgColor rgb="00F5F8FB"/>
      </patternFill>
    </fill>
    <fill>
      <patternFill patternType="solid">
        <fgColor rgb="00D4EDDA"/>
        <bgColor rgb="00D4EDDA"/>
      </patternFill>
    </fill>
    <fill>
      <patternFill patternType="solid">
        <fgColor rgb="00FFF1C2"/>
        <bgColor rgb="00FFF1C2"/>
      </patternFill>
    </fill>
  </fills>
  <borders count="8">
    <border>
      <left/>
      <right/>
      <top/>
      <bottom/>
      <diagonal/>
    </border>
    <border/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left/>
      <right/>
      <top style="thin">
        <color rgb="00D5DEE8"/>
      </top>
      <bottom/>
      <diagonal/>
    </border>
    <border>
      <left/>
      <right style="thin">
        <color rgb="00D5DEE8"/>
      </right>
      <top style="thin">
        <color rgb="00D5DEE8"/>
      </top>
      <bottom/>
      <diagonal/>
    </border>
    <border>
      <left/>
      <right/>
      <top style="thin">
        <color rgb="00D5DEE8"/>
      </top>
      <bottom style="thin">
        <color rgb="00D5DEE8"/>
      </bottom>
      <diagonal/>
    </border>
    <border>
      <left/>
      <right style="thin">
        <color rgb="00D5DEE8"/>
      </right>
      <top style="thin">
        <color rgb="00D5DEE8"/>
      </top>
      <bottom style="thin">
        <color rgb="00D5DEE8"/>
      </bottom>
      <diagonal/>
    </border>
    <border>
      <left style="medium">
        <color rgb="00AEBECD"/>
      </left>
      <right style="medium">
        <color rgb="00AEBECD"/>
      </right>
      <top style="medium">
        <color rgb="00AEBECD"/>
      </top>
      <bottom style="medium">
        <color rgb="00AEBEC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9" fontId="5" fillId="4" borderId="2" applyAlignment="1" applyProtection="1" pivotButton="0" quotePrefix="0" xfId="0">
      <alignment horizontal="left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4" fontId="4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4" borderId="2" applyAlignment="1" applyProtection="1" pivotButton="0" quotePrefix="0" xfId="0">
      <alignment horizontal="left" vertical="center"/>
      <protection locked="0" hidden="0"/>
    </xf>
    <xf numFmtId="0" fontId="8" fillId="0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3" fontId="9" fillId="7" borderId="2" applyAlignment="1" pivotButton="0" quotePrefix="0" xfId="0">
      <alignment horizontal="right" vertical="center"/>
    </xf>
    <xf numFmtId="167" fontId="9" fillId="7" borderId="2" applyAlignment="1" pivotButton="0" quotePrefix="0" xfId="0">
      <alignment horizontal="right" vertical="center"/>
    </xf>
    <xf numFmtId="168" fontId="9" fillId="7" borderId="2" applyAlignment="1" pivotButton="0" quotePrefix="0" xfId="0">
      <alignment horizontal="right" vertical="center"/>
    </xf>
    <xf numFmtId="165" fontId="17" fillId="10" borderId="7" applyAlignment="1" pivotButton="0" quotePrefix="0" xfId="0">
      <alignment horizontal="center" vertical="center"/>
    </xf>
    <xf numFmtId="167" fontId="17" fillId="10" borderId="7" applyAlignment="1" pivotButton="0" quotePrefix="0" xfId="0">
      <alignment horizontal="center" vertical="center"/>
    </xf>
    <xf numFmtId="2" fontId="17" fillId="10" borderId="7" applyAlignment="1" pivotButton="0" quotePrefix="0" xfId="0">
      <alignment horizontal="center" vertical="center"/>
    </xf>
    <xf numFmtId="3" fontId="17" fillId="10" borderId="7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right" vertical="center"/>
    </xf>
    <xf numFmtId="165" fontId="5" fillId="4" borderId="2" applyAlignment="1" applyProtection="1" pivotButton="0" quotePrefix="0" xfId="0">
      <alignment horizontal="right" vertical="center"/>
      <protection locked="0" hidden="0"/>
    </xf>
    <xf numFmtId="165" fontId="4" fillId="5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166" fontId="5" fillId="4" borderId="2" applyAlignment="1" applyProtection="1" pivotButton="0" quotePrefix="0" xfId="0">
      <alignment horizontal="right" vertical="center"/>
      <protection locked="0" hidden="0"/>
    </xf>
    <xf numFmtId="3" fontId="5" fillId="4" borderId="2" applyAlignment="1" applyProtection="1" pivotButton="0" quotePrefix="0" xfId="0">
      <alignment horizontal="right" vertical="center"/>
      <protection locked="0" hidden="0"/>
    </xf>
    <xf numFmtId="166" fontId="4" fillId="5" borderId="2" applyAlignment="1" pivotButton="0" quotePrefix="0" xfId="0">
      <alignment horizontal="right" vertical="center"/>
    </xf>
    <xf numFmtId="167" fontId="5" fillId="4" borderId="2" applyAlignment="1" applyProtection="1" pivotButton="0" quotePrefix="0" xfId="0">
      <alignment horizontal="right" vertical="center"/>
      <protection locked="0" hidden="0"/>
    </xf>
    <xf numFmtId="2" fontId="5" fillId="4" borderId="2" applyAlignment="1" applyProtection="1" pivotButton="0" quotePrefix="0" xfId="0">
      <alignment horizontal="right" vertical="center"/>
      <protection locked="0" hidden="0"/>
    </xf>
    <xf numFmtId="167" fontId="4" fillId="5" borderId="2" applyAlignment="1" pivotButton="0" quotePrefix="0" xfId="0">
      <alignment horizontal="right" vertical="center"/>
    </xf>
    <xf numFmtId="169" fontId="9" fillId="7" borderId="2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2" fontId="4" fillId="5" borderId="2" applyAlignment="1" pivotButton="0" quotePrefix="0" xfId="0">
      <alignment horizontal="right" vertical="center"/>
    </xf>
    <xf numFmtId="2" fontId="9" fillId="7" borderId="2" applyAlignment="1" pivotButton="0" quotePrefix="0" xfId="0">
      <alignment horizontal="right" vertical="center"/>
    </xf>
    <xf numFmtId="168" fontId="5" fillId="4" borderId="2" applyAlignment="1" applyProtection="1" pivotButton="0" quotePrefix="0" xfId="0">
      <alignment horizontal="right" vertical="center"/>
      <protection locked="0" hidden="0"/>
    </xf>
    <xf numFmtId="168" fontId="4" fillId="5" borderId="2" applyAlignment="1" pivotButton="0" quotePrefix="0" xfId="0">
      <alignment horizontal="right" vertical="center"/>
    </xf>
    <xf numFmtId="0" fontId="14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170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Calibri"/>
        <b val="1"/>
        <color rgb="001E7B34"/>
        <sz val="10"/>
      </font>
      <fill>
        <patternFill patternType="solid">
          <fgColor rgb="00D4EDDA"/>
          <bgColor rgb="00D4EDDA"/>
        </patternFill>
      </fill>
    </dxf>
    <dxf>
      <font>
        <name val="Calibri"/>
        <b val="1"/>
        <color rgb="008A61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9C1A1A"/>
        <sz val="10"/>
      </font>
      <fill>
        <patternFill patternType="solid">
          <fgColor rgb="00F8D2D2"/>
          <bgColor rgb="00F8D2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Margin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'Profitability'!A10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'Profitability'!$B$10:$P$10</f>
            </numRef>
          </val>
          <smooth val="0"/>
        </ser>
        <ser>
          <idx val="1"/>
          <order val="1"/>
          <tx>
            <strRef>
              <f>'Profitability'!A11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'Profitability'!$B$11:$P$11</f>
            </numRef>
          </val>
          <smooth val="0"/>
        </ser>
        <ser>
          <idx val="2"/>
          <order val="2"/>
          <tx>
            <strRef>
              <f>'Profitability'!A12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'Profitability'!$B$12:$P$12</f>
            </numRef>
          </val>
          <smooth val="0"/>
        </ser>
        <ser>
          <idx val="3"/>
          <order val="3"/>
          <tx>
            <strRef>
              <f>'Profitability'!A13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'Profitability'!$B$13:$P$13</f>
            </numRef>
          </val>
          <smooth val="0"/>
        </ser>
        <ser>
          <idx val="4"/>
          <order val="4"/>
          <tx>
            <strRef>
              <f>'Profitability'!A14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'Profitability'!$B$14:$P$14</f>
            </numRef>
          </val>
          <smooth val="0"/>
        </ser>
        <ser>
          <idx val="5"/>
          <order val="5"/>
          <tx>
            <strRef>
              <f>'Profitability'!A15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'Profitability'!$B$15:$P$15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Returns on capital</a:t>
            </a:r>
          </a:p>
        </rich>
      </tx>
    </title>
    <plotArea>
      <lineChart>
        <grouping val="standard"/>
        <ser>
          <idx val="0"/>
          <order val="0"/>
          <tx>
            <strRef>
              <f>'Profitability'!A18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'Profitability'!$B$18:$P$18</f>
            </numRef>
          </val>
          <smooth val="0"/>
        </ser>
        <ser>
          <idx val="1"/>
          <order val="1"/>
          <tx>
            <strRef>
              <f>'Profitability'!A19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'Profitability'!$B$19:$P$19</f>
            </numRef>
          </val>
          <smooth val="0"/>
        </ser>
        <ser>
          <idx val="2"/>
          <order val="2"/>
          <tx>
            <strRef>
              <f>'Profitability'!A20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'Profitability'!$B$8:$P$8</f>
            </numRef>
          </cat>
          <val>
            <numRef>
              <f>'Profitability'!$B$20:$P$20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Liquidity ratios</a:t>
            </a:r>
          </a:p>
        </rich>
      </tx>
    </title>
    <plotArea>
      <lineChart>
        <grouping val="standard"/>
        <ser>
          <idx val="0"/>
          <order val="0"/>
          <tx>
            <strRef>
              <f>'Liquidity'!A10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'Liquidity'!$B$8:$P$8</f>
            </numRef>
          </cat>
          <val>
            <numRef>
              <f>'Liquidity'!$B$10:$P$10</f>
            </numRef>
          </val>
          <smooth val="0"/>
        </ser>
        <ser>
          <idx val="1"/>
          <order val="1"/>
          <tx>
            <strRef>
              <f>'Liquidity'!A11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'Liquidity'!$B$8:$P$8</f>
            </numRef>
          </cat>
          <val>
            <numRef>
              <f>'Liquidity'!$B$11:$P$11</f>
            </numRef>
          </val>
          <smooth val="0"/>
        </ser>
        <ser>
          <idx val="2"/>
          <order val="2"/>
          <tx>
            <strRef>
              <f>'Liquidity'!A12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'Liquidity'!$B$8:$P$8</f>
            </numRef>
          </cat>
          <val>
            <numRef>
              <f>'Liquidity'!$B$12:$P$12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Leverage trend (D/E)</a:t>
            </a:r>
          </a:p>
        </rich>
      </tx>
    </title>
    <plotArea>
      <lineChart>
        <grouping val="standard"/>
        <ser>
          <idx val="0"/>
          <order val="0"/>
          <tx>
            <strRef>
              <f>'Solvency'!A10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'Solvency'!$B$8:$P$8</f>
            </numRef>
          </cat>
          <val>
            <numRef>
              <f>'Solvency'!$B$10:$P$10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Interest coverage</a:t>
            </a:r>
          </a:p>
        </rich>
      </tx>
    </title>
    <plotArea>
      <lineChart>
        <grouping val="standard"/>
        <ser>
          <idx val="0"/>
          <order val="0"/>
          <tx>
            <strRef>
              <f>'Solvency'!A21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'Solvency'!$B$8:$P$8</f>
            </numRef>
          </cat>
          <val>
            <numRef>
              <f>'Solvency'!$B$21:$P$21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Turnover ratios</a:t>
            </a:r>
          </a:p>
        </rich>
      </tx>
    </title>
    <plotArea>
      <lineChart>
        <grouping val="standard"/>
        <ser>
          <idx val="0"/>
          <order val="0"/>
          <tx>
            <strRef>
              <f>'Efficiency'!A10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'Efficiency'!$B$8:$P$8</f>
            </numRef>
          </cat>
          <val>
            <numRef>
              <f>'Efficiency'!$B$10:$P$10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 conversion cycle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'Efficiency'!A21</f>
            </strRef>
          </tx>
          <spPr>
            <a:ln>
              <a:prstDash val="solid"/>
            </a:ln>
          </spPr>
          <cat>
            <numRef>
              <f>'Efficiency'!$B$8:$P$8</f>
            </numRef>
          </cat>
          <val>
            <numRef>
              <f>'Efficiency'!$B$21:$P$21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&amp; earnings growth</a:t>
            </a:r>
          </a:p>
        </rich>
      </tx>
    </title>
    <plotArea>
      <lineChart>
        <grouping val="standard"/>
        <ser>
          <idx val="0"/>
          <order val="0"/>
          <tx>
            <strRef>
              <f>'Growth'!A10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'Growth'!$B$10:$P$10</f>
            </numRef>
          </val>
          <smooth val="0"/>
        </ser>
        <ser>
          <idx val="1"/>
          <order val="1"/>
          <tx>
            <strRef>
              <f>'Growth'!A11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'Growth'!$B$11:$P$11</f>
            </numRef>
          </val>
          <smooth val="0"/>
        </ser>
        <ser>
          <idx val="2"/>
          <order val="2"/>
          <tx>
            <strRef>
              <f>'Growth'!A12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'Growth'!$B$12:$P$12</f>
            </numRef>
          </val>
          <smooth val="0"/>
        </ser>
        <ser>
          <idx val="3"/>
          <order val="3"/>
          <tx>
            <strRef>
              <f>'Growth'!A13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'Growth'!$B$13:$P$13</f>
            </numRef>
          </val>
          <smooth val="0"/>
        </ser>
        <ser>
          <idx val="4"/>
          <order val="4"/>
          <tx>
            <strRef>
              <f>'Growth'!A14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'Growth'!$B$14:$P$14</f>
            </numRef>
          </val>
          <smooth val="0"/>
        </ser>
        <ser>
          <idx val="5"/>
          <order val="5"/>
          <tx>
            <strRef>
              <f>'Growth'!A15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'Growth'!$B$15:$P$15</f>
            </numRef>
          </val>
          <smooth val="0"/>
        </ser>
        <ser>
          <idx val="6"/>
          <order val="6"/>
          <tx>
            <strRef>
              <f>'Growth'!A16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'Growth'!$B$8:$P$8</f>
            </numRef>
          </cat>
          <val>
            <numRef>
              <f>'Growth'!$B$16:$P$16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P/E and EV/EBITDA</a:t>
            </a:r>
          </a:p>
        </rich>
      </tx>
    </title>
    <plotArea>
      <lineChart>
        <grouping val="standard"/>
        <ser>
          <idx val="0"/>
          <order val="0"/>
          <tx>
            <strRef>
              <f>'Valuation'!A16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'Valuation'!$B$8:$P$8</f>
            </numRef>
          </cat>
          <val>
            <numRef>
              <f>'Valuation'!$B$16:$P$16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 / EBITDA</a:t>
            </a:r>
          </a:p>
        </rich>
      </tx>
    </title>
    <plotArea>
      <lineChart>
        <grouping val="standard"/>
        <ser>
          <idx val="0"/>
          <order val="0"/>
          <tx>
            <strRef>
              <f>'Valuation'!A23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'Valuation'!$B$8:$P$8</f>
            </numRef>
          </cat>
          <val>
            <numRef>
              <f>'Valuation'!$B$23:$P$23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Dividend payout ratio</a:t>
            </a:r>
          </a:p>
        </rich>
      </tx>
    </title>
    <plotArea>
      <lineChart>
        <grouping val="standard"/>
        <ser>
          <idx val="0"/>
          <order val="0"/>
          <tx>
            <strRef>
              <f>'Capital Allocation'!A10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'Capital Allocation'!$B$8:$P$8</f>
            </numRef>
          </cat>
          <val>
            <numRef>
              <f>'Capital Allocation'!$B$10:$P$10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Altman Z &amp; Piotroski F</a:t>
            </a:r>
          </a:p>
        </rich>
      </tx>
    </title>
    <plotArea>
      <lineChart>
        <grouping val="standard"/>
        <ser>
          <idx val="0"/>
          <order val="0"/>
          <tx>
            <strRef>
              <f>'Quality'!A15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'Quality'!$B$8:$P$8</f>
            </numRef>
          </cat>
          <val>
            <numRef>
              <f>'Quality'!$B$15:$P$15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ROIC vs WACC spread</a:t>
            </a:r>
          </a:p>
        </rich>
      </tx>
    </title>
    <plotArea>
      <lineChart>
        <grouping val="standard"/>
        <ser>
          <idx val="0"/>
          <order val="0"/>
          <tx>
            <strRef>
              <f>'Quality'!A50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'Quality'!$B$8:$P$8</f>
            </numRef>
          </cat>
          <val>
            <numRef>
              <f>'Quality'!$B$50:$P$50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Company vs peer median</a:t>
            </a:r>
          </a:p>
        </rich>
      </tx>
    </title>
    <plotArea>
      <radarChart>
        <radarStyle val="filled"/>
        <ser>
          <idx val="0"/>
          <order val="0"/>
          <tx>
            <strRef>
              <f>'Benchmarking'!A22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'Benchmarking'!$B$21:$G$21</f>
            </numRef>
          </cat>
          <val>
            <numRef>
              <f>'Benchmarking'!$B$22:$G$22</f>
            </numRef>
          </val>
        </ser>
        <ser>
          <idx val="1"/>
          <order val="1"/>
          <tx>
            <strRef>
              <f>'Benchmarking'!A23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'Benchmarking'!$B$21:$G$21</f>
            </numRef>
          </cat>
          <val>
            <numRef>
              <f>'Benchmarking'!$B$23:$G$23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ROIC vs peers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'Benchmarking'!A13</f>
            </strRef>
          </tx>
          <spPr>
            <a:ln>
              <a:prstDash val="solid"/>
            </a:ln>
          </spPr>
          <cat>
            <numRef>
              <f>'Benchmarking'!$B$8:$G$8</f>
            </numRef>
          </cat>
          <val>
            <numRef>
              <f>'Benchmarking'!$B$13:$G$13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17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20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20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15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22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20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14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49</row>
      <rowOff>0</rowOff>
    </from>
    <ext cx="79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24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1.xm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2.xml" Id="rId15" /></Relationships>
</file>

<file path=xl/worksheets/_rels/sheet7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3.xm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4.xm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5.xm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6.xml" Id="rId15" /></Relationships>
</file>

<file path=xl/worksheets/_rels/sheet1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7.xml" Id="rId15" /></Relationships>
</file>

<file path=xl/worksheets/_rels/sheet12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8.xml" Id="rId15" /></Relationships>
</file>

<file path=xl/worksheets/_rels/sheet13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Relationship Type="http://schemas.openxmlformats.org/officeDocument/2006/relationships/drawing" Target="/xl/drawings/drawing9.xml" Id="rId15" /></Relationships>
</file>

<file path=xl/worksheets/_rels/sheet14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_rels/sheet15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nputs'!A1" TargetMode="External" Id="rId2" /><Relationship Type="http://schemas.openxmlformats.org/officeDocument/2006/relationships/hyperlink" Target="#'Common Size'!A1" TargetMode="External" Id="rId3" /><Relationship Type="http://schemas.openxmlformats.org/officeDocument/2006/relationships/hyperlink" Target="#'Profitability'!A1" TargetMode="External" Id="rId4" /><Relationship Type="http://schemas.openxmlformats.org/officeDocument/2006/relationships/hyperlink" Target="#'Liquidity'!A1" TargetMode="External" Id="rId5" /><Relationship Type="http://schemas.openxmlformats.org/officeDocument/2006/relationships/hyperlink" Target="#'Solvency'!A1" TargetMode="External" Id="rId6" /><Relationship Type="http://schemas.openxmlformats.org/officeDocument/2006/relationships/hyperlink" Target="#'Efficiency'!A1" TargetMode="External" Id="rId7" /><Relationship Type="http://schemas.openxmlformats.org/officeDocument/2006/relationships/hyperlink" Target="#'Growth'!A1" TargetMode="External" Id="rId8" /><Relationship Type="http://schemas.openxmlformats.org/officeDocument/2006/relationships/hyperlink" Target="#'Valuation'!A1" TargetMode="External" Id="rId9" /><Relationship Type="http://schemas.openxmlformats.org/officeDocument/2006/relationships/hyperlink" Target="#'Capital Allocation'!A1" TargetMode="External" Id="rId10" /><Relationship Type="http://schemas.openxmlformats.org/officeDocument/2006/relationships/hyperlink" Target="#'Quality'!A1" TargetMode="External" Id="rId11" /><Relationship Type="http://schemas.openxmlformats.org/officeDocument/2006/relationships/hyperlink" Target="#'Benchmarking'!A1" TargetMode="External" Id="rId12" /><Relationship Type="http://schemas.openxmlformats.org/officeDocument/2006/relationships/hyperlink" Target="#'Guide'!A1" TargetMode="External" Id="rId13" /><Relationship Type="http://schemas.openxmlformats.org/officeDocument/2006/relationships/hyperlink" Target="#'Quality Control'!A1" TargetMode="External" Id="rId14" /></Relationships>
</file>

<file path=xl/worksheets/sheet1.xml><?xml version="1.0" encoding="utf-8"?>
<worksheet xmlns="http://schemas.openxmlformats.org/spreadsheetml/2006/main">
  <sheetPr>
    <tabColor rgb="000F2942"/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Institutional Financial Ratio Analysis</t>
        </is>
      </c>
    </row>
    <row r="2" ht="18" customHeight="1">
      <c r="A2" s="2" t="inlineStr">
        <is>
          <t>A fully formula-driven, auditable ratio-analysis platform ·  v1.0</t>
        </is>
      </c>
    </row>
    <row r="4" ht="20" customHeight="1">
      <c r="A4" s="3" t="inlineStr">
        <is>
          <t>Company Profile</t>
        </is>
      </c>
    </row>
    <row r="5">
      <c r="A5" s="4" t="inlineStr">
        <is>
          <t>Company name</t>
        </is>
      </c>
      <c r="B5" s="5" t="inlineStr">
        <is>
          <t>&lt;Company name&gt;</t>
        </is>
      </c>
      <c r="C5" s="6" t="n"/>
      <c r="D5" s="7" t="n"/>
    </row>
    <row r="6">
      <c r="A6" s="4" t="inlineStr">
        <is>
          <t>Ticker</t>
        </is>
      </c>
      <c r="B6" s="5" t="inlineStr">
        <is>
          <t>&lt;TICKER&gt;</t>
        </is>
      </c>
      <c r="C6" s="6" t="n"/>
      <c r="D6" s="7" t="n"/>
    </row>
    <row r="7">
      <c r="A7" s="4" t="inlineStr">
        <is>
          <t>Industry</t>
        </is>
      </c>
      <c r="B7" s="5" t="inlineStr">
        <is>
          <t>&lt;Industry&gt;</t>
        </is>
      </c>
      <c r="C7" s="6" t="n"/>
      <c r="D7" s="7" t="n"/>
    </row>
    <row r="8">
      <c r="A8" s="4" t="inlineStr">
        <is>
          <t>Reporting currency</t>
        </is>
      </c>
      <c r="B8" s="5" t="inlineStr">
        <is>
          <t>USD</t>
        </is>
      </c>
      <c r="C8" s="6" t="n"/>
      <c r="D8" s="7" t="n"/>
    </row>
    <row r="9">
      <c r="A9" s="4" t="inlineStr">
        <is>
          <t>Units</t>
        </is>
      </c>
      <c r="B9" s="5" t="inlineStr">
        <is>
          <t>millions</t>
        </is>
      </c>
      <c r="C9" s="6" t="n"/>
      <c r="D9" s="7" t="n"/>
    </row>
    <row r="10">
      <c r="A10" s="4" t="inlineStr">
        <is>
          <t>Fiscal year end</t>
        </is>
      </c>
      <c r="B10" s="5" t="inlineStr">
        <is>
          <t>31 December</t>
        </is>
      </c>
      <c r="C10" s="6" t="n"/>
      <c r="D10" s="7" t="n"/>
    </row>
    <row r="11">
      <c r="A11" s="4" t="inlineStr">
        <is>
          <t>Analysis date</t>
        </is>
      </c>
      <c r="B11" s="8">
        <f>TODAY()</f>
        <v/>
      </c>
      <c r="C11" s="9" t="n"/>
      <c r="D11" s="10" t="n"/>
    </row>
    <row r="13" ht="20" customHeight="1">
      <c r="A13" s="3" t="inlineStr">
        <is>
          <t>Navigation</t>
        </is>
      </c>
    </row>
    <row r="14">
      <c r="A14" s="11" t="inlineStr">
        <is>
          <t>Dashboard</t>
        </is>
      </c>
      <c r="B14" s="11" t="inlineStr">
        <is>
          <t>Inputs</t>
        </is>
      </c>
      <c r="C14" s="11" t="inlineStr">
        <is>
          <t>Common Size</t>
        </is>
      </c>
      <c r="D14" s="11" t="inlineStr">
        <is>
          <t>Profitability</t>
        </is>
      </c>
      <c r="E14" s="11" t="inlineStr">
        <is>
          <t>Liquidity</t>
        </is>
      </c>
      <c r="F14" s="11" t="inlineStr">
        <is>
          <t>Solvency</t>
        </is>
      </c>
      <c r="G14" s="11" t="inlineStr">
        <is>
          <t>Efficiency</t>
        </is>
      </c>
      <c r="H14" s="11" t="inlineStr">
        <is>
          <t>Growth</t>
        </is>
      </c>
    </row>
    <row r="15">
      <c r="A15" s="11" t="inlineStr">
        <is>
          <t>Valuation</t>
        </is>
      </c>
      <c r="B15" s="11" t="inlineStr">
        <is>
          <t>Capital Allocation</t>
        </is>
      </c>
      <c r="C15" s="11" t="inlineStr">
        <is>
          <t>Quality</t>
        </is>
      </c>
      <c r="D15" s="11" t="inlineStr">
        <is>
          <t>Benchmarking</t>
        </is>
      </c>
      <c r="E15" s="11" t="inlineStr">
        <is>
          <t>Guide</t>
        </is>
      </c>
      <c r="F15" s="11" t="inlineStr">
        <is>
          <t>Quality Control</t>
        </is>
      </c>
    </row>
    <row r="17">
      <c r="A17" s="12" t="inlineStr">
        <is>
          <t>LEGEND</t>
        </is>
      </c>
    </row>
    <row r="18">
      <c r="A18" s="13" t="inlineStr">
        <is>
          <t>  </t>
        </is>
      </c>
      <c r="B18" s="14" t="inlineStr">
        <is>
          <t>Input — editable (yellow)</t>
        </is>
      </c>
    </row>
    <row r="19">
      <c r="A19" s="15" t="inlineStr">
        <is>
          <t>  </t>
        </is>
      </c>
      <c r="B19" s="14" t="inlineStr">
        <is>
          <t>Formula / helper — protected (blue)</t>
        </is>
      </c>
    </row>
    <row r="20">
      <c r="A20" s="16" t="inlineStr">
        <is>
          <t>  </t>
        </is>
      </c>
      <c r="B20" s="14" t="inlineStr">
        <is>
          <t>Output — read-only result (green)</t>
        </is>
      </c>
    </row>
    <row r="21">
      <c r="A21" s="17" t="inlineStr">
        <is>
          <t>  </t>
        </is>
      </c>
      <c r="B21" s="14" t="inlineStr">
        <is>
          <t>Error / flag (red)</t>
        </is>
      </c>
    </row>
    <row r="22">
      <c r="A22" s="18" t="inlineStr">
        <is>
          <t>Strong</t>
        </is>
      </c>
      <c r="B22" s="18" t="inlineStr">
        <is>
          <t>Moderate</t>
        </is>
      </c>
      <c r="C22" s="18" t="inlineStr">
        <is>
          <t>Weak</t>
        </is>
      </c>
      <c r="D22" s="14" t="inlineStr">
        <is>
          <t>← traffic-light classification</t>
        </is>
      </c>
    </row>
    <row r="24" ht="20" customHeight="1">
      <c r="A24" s="3" t="inlineStr">
        <is>
          <t>About This Workbook</t>
        </is>
      </c>
    </row>
    <row r="25" ht="26" customHeight="1">
      <c r="A25" s="14" t="inlineStr">
        <is>
          <t>•  15 sheets covering every major ratio family plus quality scores, peer benchmarking, an interpretation guide and automated quality-control checks.</t>
        </is>
      </c>
    </row>
    <row r="26" ht="26" customHeight="1">
      <c r="A26" s="14" t="inlineStr">
        <is>
          <t>•  Every output is a live formula that traces back to the Inputs sheet — no hardcoded results. Yellow cells are the only ones you edit.</t>
        </is>
      </c>
    </row>
    <row r="27" ht="26" customHeight="1">
      <c r="A27" s="14" t="inlineStr">
        <is>
          <t>•  Calculations are deliberately broken into helper rows and short formulas so each ratio is understandable without opening Excel's formula auditor.</t>
        </is>
      </c>
    </row>
    <row r="28" ht="26" customHeight="1">
      <c r="A28" s="14" t="inlineStr">
        <is>
          <t>•  Classifications, trend arrows and commentary update automatically as you change the inputs.</t>
        </is>
      </c>
    </row>
  </sheetData>
  <mergeCells count="21">
    <mergeCell ref="B11:D11"/>
    <mergeCell ref="A25:I25"/>
    <mergeCell ref="B8:D8"/>
    <mergeCell ref="A27:I27"/>
    <mergeCell ref="B20:E20"/>
    <mergeCell ref="A26:I26"/>
    <mergeCell ref="B10:D10"/>
    <mergeCell ref="A2:I2"/>
    <mergeCell ref="B9:D9"/>
    <mergeCell ref="A4:I4"/>
    <mergeCell ref="B6:D6"/>
    <mergeCell ref="D22:G22"/>
    <mergeCell ref="B18:E18"/>
    <mergeCell ref="B5:D5"/>
    <mergeCell ref="A28:I28"/>
    <mergeCell ref="A13:I13"/>
    <mergeCell ref="B21:E21"/>
    <mergeCell ref="B7:D7"/>
    <mergeCell ref="A24:I24"/>
    <mergeCell ref="A1:I1"/>
    <mergeCell ref="B19:E19"/>
  </mergeCells>
  <conditionalFormatting sqref="A22:C22">
    <cfRule type="expression" priority="1" dxfId="0" stopIfTrue="1">
      <formula>OR(ISNUMBER(SEARCH("Strong",A22)),ISNUMBER(SEARCH("Improving",A22)),ISNUMBER(SEARCH("Low Risk",A22)),ISNUMBER(SEARCH("Excellent",A22)),ISNUMBER(SEARCH("Healthy",A22)),ISNUMBER(SEARCH("Safe",A22)),ISNUMBER(SEARCH("Undervalued",A22)),ISNUMBER(SEARCH("Value-creating",A22)),ISNUMBER(SEARCH("Expanding",A22)),ISNUMBER(SEARCH("Accelerating",A22)),ISNUMBER(SEARCH("High",A22)),ISNUMBER(SEARCH("Best-in-Class",A22)),ISNUMBER(SEARCH("Above",A22)),ISNUMBER(SEARCH("Robust",A22)),ISNUMBER(SEARCH("PASS",A22)),ISNUMBER(SEARCH("OK",A22)),ISNUMBER(SEARCH("Conservative",A22)),ISNUMBER(SEARCH("Reducing",A22)),ISNUMBER(SEARCH("Accretive",A22)),ISNUMBER(SEARCH("Cheap",A22)),ISNUMBER(SEARCH("Rising",A22)),ISNUMBER(SEARCH("Disciplined",A22)))</formula>
    </cfRule>
    <cfRule type="expression" priority="2" dxfId="1" stopIfTrue="1">
      <formula>OR(ISNUMBER(SEARCH("Moderate",A22)),ISNUMBER(SEARCH("Stable",A22)),ISNUMBER(SEARCH("Average",A22)),ISNUMBER(SEARCH("Adequate",A22)),ISNUMBER(SEARCH("Watch",A22)),ISNUMBER(SEARCH("Grey",A22)),ISNUMBER(SEARCH("Fair",A22)),ISNUMBER(SEARCH("Neutral",A22)),ISNUMBER(SEARCH("In-line",A22)),ISNUMBER(SEARCH("Flat",A22)),ISNUMBER(SEARCH("REVIEW",A22)),ISNUMBER(SEARCH("Caution",A22)),ISNUMBER(SEARCH("Decelerating",A22)))</formula>
    </cfRule>
    <cfRule type="expression" priority="3" dxfId="2" stopIfTrue="1">
      <formula>OR(ISNUMBER(SEARCH("Weak",A22)),ISNUMBER(SEARCH("Deteriorating",A22)),ISNUMBER(SEARCH("High Risk",A22)),ISNUMBER(SEARCH("Poor",A22)),ISNUMBER(SEARCH("Distress",A22)),ISNUMBER(SEARCH("Overvalued",A22)),ISNUMBER(SEARCH("Value-destroying",A22)),ISNUMBER(SEARCH("Compressing",A22)),ISNUMBER(SEARCH("Low",A22)),ISNUMBER(SEARCH("Worst",A22)),ISNUMBER(SEARCH("Below",A22)),ISNUMBER(SEARCH("FAIL",A22)),ISNUMBER(SEARCH("Elevated",A22)),ISNUMBER(SEARCH("Stretched",A22)),ISNUMBER(SEARCH("Manipulation",A22)),ISNUMBER(SEARCH("Negative",A22)),ISNUMBER(SEARCH("Diluting",A22)),ISNUMBER(SEARCH("Dilutive",A22)),ISNUMBER(SEARCH("Expensive",A22)),ISNUMBER(SEARCH("Falling",A22)))</formula>
    </cfRule>
  </conditionalFormatting>
  <hyperlinks>
    <hyperlink xmlns:r="http://schemas.openxmlformats.org/officeDocument/2006/relationships" ref="A14" r:id="rId1"/>
    <hyperlink xmlns:r="http://schemas.openxmlformats.org/officeDocument/2006/relationships" ref="B14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E14" r:id="rId5"/>
    <hyperlink xmlns:r="http://schemas.openxmlformats.org/officeDocument/2006/relationships" ref="F14" r:id="rId6"/>
    <hyperlink xmlns:r="http://schemas.openxmlformats.org/officeDocument/2006/relationships" ref="G14" r:id="rId7"/>
    <hyperlink xmlns:r="http://schemas.openxmlformats.org/officeDocument/2006/relationships" ref="H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7B34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1" t="inlineStr">
        <is>
          <t>EXECUTIVE DASHBOARD</t>
        </is>
      </c>
    </row>
    <row r="2">
      <c r="A2" s="2" t="inlineStr">
        <is>
          <t>&lt;Company name&gt; — quality scorecard &amp; key signals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 ht="20" customHeight="1">
      <c r="A7" s="3" t="inlineStr">
        <is>
          <t>Quality Scorecard  (0–100, higher = better)</t>
        </is>
      </c>
      <c r="F7" s="3" t="inlineStr">
        <is>
          <t>Key-Metric Trends</t>
        </is>
      </c>
    </row>
    <row r="8">
      <c r="A8" s="20" t="inlineStr">
        <is>
          <t>Category</t>
        </is>
      </c>
      <c r="B8" s="21" t="inlineStr">
        <is>
          <t>Score</t>
        </is>
      </c>
      <c r="C8" s="20" t="inlineStr">
        <is>
          <t>Assessment</t>
        </is>
      </c>
      <c r="F8" s="20" t="inlineStr">
        <is>
          <t>Metric</t>
        </is>
      </c>
      <c r="G8" s="21" t="inlineStr">
        <is>
          <t>Latest</t>
        </is>
      </c>
      <c r="H8" s="20" t="inlineStr">
        <is>
          <t>Trend</t>
        </is>
      </c>
      <c r="I8" s="20" t="inlineStr">
        <is>
          <t>Read</t>
        </is>
      </c>
    </row>
    <row r="9">
      <c r="A9" s="4" t="inlineStr">
        <is>
          <t>Profitability</t>
        </is>
      </c>
      <c r="B9" s="22">
        <f>IFERROR(ROUND(AVERAGE(MIN('Profitability'!$K$14/0.2,1),MIN('Profitability'!$K$18/0.15,1),MIN('Profitability'!$K$20/0.12,1),MIN('Profitability'!$K$12/0.18,1))*100,0),"")</f>
        <v/>
      </c>
      <c r="C9" s="18">
        <f>IF(ISNUMBER($B$9),CHOOSE(1+($B$9&gt;=40)+($B$9&gt;=70),"Weak","Moderate","Strong"),"")</f>
        <v/>
      </c>
      <c r="D9" s="9" t="n"/>
      <c r="E9" s="10" t="n"/>
      <c r="F9" s="4" t="inlineStr">
        <is>
          <t>ROE</t>
        </is>
      </c>
      <c r="G9" s="23">
        <f>'Profitability'!$K$18</f>
        <v/>
      </c>
      <c r="H9" s="18">
        <f>IF(AND(ISNUMBER('Profitability'!$K$18),ISNUMBER('Profitability'!$J$18)),CHOOSE(2+('Profitability'!$K$18&gt;'Profitability'!$J$18)-('Profitability'!$K$18&lt;'Profitability'!$J$18),"▼","►","▲"),"")</f>
        <v/>
      </c>
      <c r="I9" s="18">
        <f>'Profitability'!$R$18</f>
        <v/>
      </c>
    </row>
    <row r="10">
      <c r="A10" s="4" t="inlineStr">
        <is>
          <t>Liquidity</t>
        </is>
      </c>
      <c r="B10" s="22">
        <f>IFERROR(ROUND(AVERAGE(MIN('Liquidity'!$K$10/2,1),MIN('Liquidity'!$K$12/0.5,1),MIN('Liquidity'!$K$19/1,1))*100,0),"")</f>
        <v/>
      </c>
      <c r="C10" s="18">
        <f>IF(ISNUMBER($B$10),CHOOSE(1+($B$10&gt;=40)+($B$10&gt;=70),"Weak","Moderate","Strong"),"")</f>
        <v/>
      </c>
      <c r="D10" s="9" t="n"/>
      <c r="E10" s="10" t="n"/>
      <c r="F10" s="4" t="inlineStr">
        <is>
          <t>Operating margin</t>
        </is>
      </c>
      <c r="G10" s="23">
        <f>'Profitability'!$K$12</f>
        <v/>
      </c>
      <c r="H10" s="18">
        <f>IF(AND(ISNUMBER('Profitability'!$K$12),ISNUMBER('Profitability'!$J$12)),CHOOSE(2+('Profitability'!$K$12&gt;'Profitability'!$J$12)-('Profitability'!$K$12&lt;'Profitability'!$J$12),"▼","►","▲"),"")</f>
        <v/>
      </c>
      <c r="I10" s="18">
        <f>'Profitability'!$R$12</f>
        <v/>
      </c>
    </row>
    <row r="11">
      <c r="A11" s="4" t="inlineStr">
        <is>
          <t>Solvency</t>
        </is>
      </c>
      <c r="B11" s="22">
        <f>IFERROR(ROUND(AVERAGE(MIN('Solvency'!$K$21/6,1),MIN('Solvency'!$K$14,1),MIN(MAX(0,1-'Solvency'!$K$18/4),1))*100,0),"")</f>
        <v/>
      </c>
      <c r="C11" s="18">
        <f>IF(ISNUMBER($B$11),CHOOSE(1+($B$11&gt;=40)+($B$11&gt;=70),"Weak","Moderate","Strong"),"")</f>
        <v/>
      </c>
      <c r="D11" s="9" t="n"/>
      <c r="E11" s="10" t="n"/>
      <c r="F11" s="4" t="inlineStr">
        <is>
          <t>Revenue growth</t>
        </is>
      </c>
      <c r="G11" s="23">
        <f>'Growth'!$K$10</f>
        <v/>
      </c>
      <c r="H11" s="18">
        <f>IF(AND(ISNUMBER('Growth'!$K$10),ISNUMBER('Growth'!$J$10)),CHOOSE(2+('Growth'!$K$10&gt;'Growth'!$J$10)-('Growth'!$K$10&lt;'Growth'!$J$10),"▼","►","▲"),"")</f>
        <v/>
      </c>
      <c r="I11" s="18">
        <f>'Growth'!$R$10</f>
        <v/>
      </c>
    </row>
    <row r="12">
      <c r="A12" s="4" t="inlineStr">
        <is>
          <t>Efficiency</t>
        </is>
      </c>
      <c r="B12" s="22">
        <f>IFERROR(ROUND(AVERAGE(MIN('Efficiency'!$K$10/1,1),MIN('Efficiency'!$K$12/8,1),MIN('Efficiency'!$K$13/10,1))*100,0),"")</f>
        <v/>
      </c>
      <c r="C12" s="18">
        <f>IF(ISNUMBER($B$12),CHOOSE(1+($B$12&gt;=40)+($B$12&gt;=70),"Weak","Moderate","Strong"),"")</f>
        <v/>
      </c>
      <c r="D12" s="9" t="n"/>
      <c r="E12" s="10" t="n"/>
      <c r="F12" s="4" t="inlineStr">
        <is>
          <t>Net debt / EBITDA</t>
        </is>
      </c>
      <c r="G12" s="24">
        <f>'Solvency'!$K$18</f>
        <v/>
      </c>
      <c r="H12" s="18">
        <f>IF(AND(ISNUMBER('Solvency'!$K$18),ISNUMBER('Solvency'!$J$18)),CHOOSE(2+('Solvency'!$K$18&gt;'Solvency'!$J$18)-('Solvency'!$K$18&lt;'Solvency'!$J$18),"▼","►","▲"),"")</f>
        <v/>
      </c>
      <c r="I12" s="18">
        <f>'Solvency'!$R$18</f>
        <v/>
      </c>
    </row>
    <row r="13">
      <c r="A13" s="4" t="inlineStr">
        <is>
          <t>Growth</t>
        </is>
      </c>
      <c r="B13" s="22">
        <f>IFERROR(ROUND(AVERAGE(MIN('Growth'!$C$20/0.1,1),MIN('Growth'!$C$23/0.1,1))*100,0),"")</f>
        <v/>
      </c>
      <c r="C13" s="18">
        <f>IF(ISNUMBER($B$13),CHOOSE(1+($B$13&gt;=40)+($B$13&gt;=70),"Weak","Moderate","Strong"),"")</f>
        <v/>
      </c>
      <c r="D13" s="9" t="n"/>
      <c r="E13" s="10" t="n"/>
      <c r="F13" s="4" t="inlineStr">
        <is>
          <t>FCF margin</t>
        </is>
      </c>
      <c r="G13" s="23">
        <f>'Profitability'!$K$15</f>
        <v/>
      </c>
      <c r="H13" s="18">
        <f>IF(AND(ISNUMBER('Profitability'!$K$15),ISNUMBER('Profitability'!$J$15)),CHOOSE(2+('Profitability'!$K$15&gt;'Profitability'!$J$15)-('Profitability'!$K$15&lt;'Profitability'!$J$15),"▼","►","▲"),"")</f>
        <v/>
      </c>
      <c r="I13" s="18">
        <f>'Profitability'!$R$15</f>
        <v/>
      </c>
    </row>
    <row r="14">
      <c r="A14" s="4" t="inlineStr">
        <is>
          <t>Valuation (cheapness)</t>
        </is>
      </c>
      <c r="B14" s="22">
        <f>IFERROR(ROUND(AVERAGE(MIN('Valuation'!$K$31/0.06,1),MIN('Valuation'!$K$19/0.05,1))*100,0),"")</f>
        <v/>
      </c>
      <c r="C14" s="18">
        <f>IF(ISNUMBER($B$14),CHOOSE(1+($B$14&gt;=40)+($B$14&gt;=70),"Weak","Moderate","Strong"),"")</f>
        <v/>
      </c>
      <c r="D14" s="9" t="n"/>
      <c r="E14" s="10" t="n"/>
      <c r="F14" s="4" t="inlineStr">
        <is>
          <t>ROIC</t>
        </is>
      </c>
      <c r="G14" s="23">
        <f>'Profitability'!$K$20</f>
        <v/>
      </c>
      <c r="H14" s="18">
        <f>IF(AND(ISNUMBER('Profitability'!$K$20),ISNUMBER('Profitability'!$J$20)),CHOOSE(2+('Profitability'!$K$20&gt;'Profitability'!$J$20)-('Profitability'!$K$20&lt;'Profitability'!$J$20),"▼","►","▲"),"")</f>
        <v/>
      </c>
      <c r="I14" s="18">
        <f>'Profitability'!$R$20</f>
        <v/>
      </c>
    </row>
    <row r="15">
      <c r="A15" s="12" t="inlineStr">
        <is>
          <t>OVERALL QUALITY SCORE</t>
        </is>
      </c>
      <c r="B15" s="22">
        <f>IFERROR(ROUND(AVERAGE(B9:B14),0),"")</f>
        <v/>
      </c>
      <c r="C15" s="18">
        <f>IF(ISNUMBER($B$15),CHOOSE(1+($B$15&gt;=40)+($B$15&gt;=70),"Weak","Moderate","Strong"),"")</f>
        <v/>
      </c>
      <c r="D15" s="9" t="n"/>
      <c r="E15" s="10" t="n"/>
    </row>
    <row r="16" ht="20" customHeight="1">
      <c r="A16" s="3" t="inlineStr">
        <is>
          <t>Headline Metrics (latest year)</t>
        </is>
      </c>
    </row>
    <row r="17">
      <c r="A17" s="20" t="inlineStr">
        <is>
          <t>Revenue</t>
        </is>
      </c>
      <c r="B17" s="20" t="inlineStr">
        <is>
          <t>Net income</t>
        </is>
      </c>
      <c r="C17" s="20" t="inlineStr">
        <is>
          <t>FCF</t>
        </is>
      </c>
      <c r="D17" s="20" t="inlineStr">
        <is>
          <t>ROIC − WACC</t>
        </is>
      </c>
      <c r="E17" s="20" t="inlineStr">
        <is>
          <t>Altman Z</t>
        </is>
      </c>
      <c r="F17" s="20" t="inlineStr">
        <is>
          <t>Piotroski F</t>
        </is>
      </c>
    </row>
    <row r="18" ht="28" customHeight="1">
      <c r="A18" s="25">
        <f>'Inputs'!$K$10</f>
        <v/>
      </c>
      <c r="B18" s="25">
        <f>'Inputs'!$K$21</f>
        <v/>
      </c>
      <c r="C18" s="25">
        <f>'Inputs'!$K$48</f>
        <v/>
      </c>
      <c r="D18" s="26">
        <f>IFERROR('Profitability'!$K$20-'Inputs'!$B$82,"")</f>
        <v/>
      </c>
      <c r="E18" s="27">
        <f>'Quality'!$K$15</f>
        <v/>
      </c>
      <c r="F18" s="28">
        <f>'Quality'!$K$33</f>
        <v/>
      </c>
    </row>
    <row r="20" ht="20" customHeight="1">
      <c r="A20" s="3" t="inlineStr">
        <is>
          <t>Automated Observations</t>
        </is>
      </c>
    </row>
    <row r="21" ht="18" customHeight="1">
      <c r="A21" s="29">
        <f>IFERROR("» Profitability: ROE "&amp;TEXT('Profitability'!$K$18,"0.0%")&amp;" ("&amp;'Profitability'!$R$18&amp;"), ROIC "&amp;TEXT('Profitability'!$K$20,"0.0%")&amp;" vs WACC "&amp;TEXT('Inputs'!$B$82,"0.0%")&amp;".","(insufficient data — populate inputs)")</f>
        <v/>
      </c>
    </row>
    <row r="22" ht="18" customHeight="1">
      <c r="A22" s="29">
        <f>IFERROR("» Margins: operating margin "&amp;TEXT('Profitability'!$K$12,"0.0%")&amp;" — "&amp;'Profitability'!$R$12&amp;" versus history.","(insufficient data — populate inputs)")</f>
        <v/>
      </c>
    </row>
    <row r="23" ht="18" customHeight="1">
      <c r="A23" s="29">
        <f>IFERROR("» Leverage: net debt / EBITDA "&amp;TEXT('Solvency'!$K$18,"0.0")&amp;"x — "&amp;'Solvency'!$R$18&amp;" risk.","(insufficient data — populate inputs)")</f>
        <v/>
      </c>
    </row>
    <row r="24" ht="18" customHeight="1">
      <c r="A24" s="29">
        <f>IFERROR("» Cash: FCF margin "&amp;TEXT('Profitability'!$K$15,"0.0%")&amp;" ("&amp;'Profitability'!$R$15&amp;"); FCF "&amp;TEXT('Inputs'!$K$48,"#,##0")&amp;".","(insufficient data — populate inputs)")</f>
        <v/>
      </c>
    </row>
    <row r="25" ht="18" customHeight="1">
      <c r="A25" s="29">
        <f>IFERROR("» Quality: Altman Z "&amp;TEXT('Quality'!$K$15,"0.0")&amp;" ("&amp;'Quality'!$R$15&amp;"), Piotroski "&amp;TEXT('Quality'!$K$33,"0")&amp;"/9, Beneish "&amp;'Quality'!$R$44&amp;".","(insufficient data — populate inputs)")</f>
        <v/>
      </c>
    </row>
    <row r="26" ht="18" customHeight="1">
      <c r="A26" s="29">
        <f>IFERROR("» Data health: "&amp;'Quality Control'!$B$8&amp;".","(insufficient data — populate inputs)")</f>
        <v/>
      </c>
    </row>
  </sheetData>
  <mergeCells count="27">
    <mergeCell ref="A25:I25"/>
    <mergeCell ref="A17"/>
    <mergeCell ref="C17"/>
    <mergeCell ref="C9:E9"/>
    <mergeCell ref="A3:I3"/>
    <mergeCell ref="C12:E12"/>
    <mergeCell ref="A26:I26"/>
    <mergeCell ref="A21:I21"/>
    <mergeCell ref="C11:E11"/>
    <mergeCell ref="A2:I2"/>
    <mergeCell ref="A7:E7"/>
    <mergeCell ref="C8:E8"/>
    <mergeCell ref="A23:I23"/>
    <mergeCell ref="A22:I22"/>
    <mergeCell ref="A20:I20"/>
    <mergeCell ref="C13:E13"/>
    <mergeCell ref="E17"/>
    <mergeCell ref="F7:I7"/>
    <mergeCell ref="C15:E15"/>
    <mergeCell ref="A24:I24"/>
    <mergeCell ref="C14:E14"/>
    <mergeCell ref="B17"/>
    <mergeCell ref="D17"/>
    <mergeCell ref="F17"/>
    <mergeCell ref="A1:I1"/>
    <mergeCell ref="A16:I16"/>
    <mergeCell ref="C10:E10"/>
  </mergeCells>
  <conditionalFormatting sqref="B9:B15">
    <cfRule type="dataBar" priority="1">
      <dataBar>
        <cfvo type="min"/>
        <cfvo type="max"/>
        <color rgb="002E5A88"/>
      </dataBar>
    </cfRule>
  </conditionalFormatting>
  <conditionalFormatting sqref="C9:C15">
    <cfRule type="expression" priority="2" dxfId="0" stopIfTrue="1">
      <formula>OR(ISNUMBER(SEARCH("Strong",C9)),ISNUMBER(SEARCH("Improving",C9)),ISNUMBER(SEARCH("Low Risk",C9)),ISNUMBER(SEARCH("Excellent",C9)),ISNUMBER(SEARCH("Healthy",C9)),ISNUMBER(SEARCH("Safe",C9)),ISNUMBER(SEARCH("Undervalued",C9)),ISNUMBER(SEARCH("Value-creating",C9)),ISNUMBER(SEARCH("Expanding",C9)),ISNUMBER(SEARCH("Accelerating",C9)),ISNUMBER(SEARCH("High",C9)),ISNUMBER(SEARCH("Best-in-Class",C9)),ISNUMBER(SEARCH("Above",C9)),ISNUMBER(SEARCH("Robust",C9)),ISNUMBER(SEARCH("PASS",C9)),ISNUMBER(SEARCH("OK",C9)),ISNUMBER(SEARCH("Conservative",C9)),ISNUMBER(SEARCH("Reducing",C9)),ISNUMBER(SEARCH("Accretive",C9)),ISNUMBER(SEARCH("Cheap",C9)),ISNUMBER(SEARCH("Rising",C9)),ISNUMBER(SEARCH("Disciplined",C9)))</formula>
    </cfRule>
    <cfRule type="expression" priority="3" dxfId="1" stopIfTrue="1">
      <formula>OR(ISNUMBER(SEARCH("Moderate",C9)),ISNUMBER(SEARCH("Stable",C9)),ISNUMBER(SEARCH("Average",C9)),ISNUMBER(SEARCH("Adequate",C9)),ISNUMBER(SEARCH("Watch",C9)),ISNUMBER(SEARCH("Grey",C9)),ISNUMBER(SEARCH("Fair",C9)),ISNUMBER(SEARCH("Neutral",C9)),ISNUMBER(SEARCH("In-line",C9)),ISNUMBER(SEARCH("Flat",C9)),ISNUMBER(SEARCH("REVIEW",C9)),ISNUMBER(SEARCH("Caution",C9)),ISNUMBER(SEARCH("Decelerating",C9)))</formula>
    </cfRule>
    <cfRule type="expression" priority="4" dxfId="2" stopIfTrue="1">
      <formula>OR(ISNUMBER(SEARCH("Weak",C9)),ISNUMBER(SEARCH("Deteriorating",C9)),ISNUMBER(SEARCH("High Risk",C9)),ISNUMBER(SEARCH("Poor",C9)),ISNUMBER(SEARCH("Distress",C9)),ISNUMBER(SEARCH("Overvalued",C9)),ISNUMBER(SEARCH("Value-destroying",C9)),ISNUMBER(SEARCH("Compressing",C9)),ISNUMBER(SEARCH("Low",C9)),ISNUMBER(SEARCH("Worst",C9)),ISNUMBER(SEARCH("Below",C9)),ISNUMBER(SEARCH("FAIL",C9)),ISNUMBER(SEARCH("Elevated",C9)),ISNUMBER(SEARCH("Stretched",C9)),ISNUMBER(SEARCH("Manipulation",C9)),ISNUMBER(SEARCH("Negative",C9)),ISNUMBER(SEARCH("Diluting",C9)),ISNUMBER(SEARCH("Dilutive",C9)),ISNUMBER(SEARCH("Expensive",C9)),ISNUMBER(SEARCH("Falling",C9)))</formula>
    </cfRule>
  </conditionalFormatting>
  <conditionalFormatting sqref="I9:I14">
    <cfRule type="expression" priority="5" dxfId="0" stopIfTrue="1">
      <formula>OR(ISNUMBER(SEARCH("Strong",I9)),ISNUMBER(SEARCH("Improving",I9)),ISNUMBER(SEARCH("Low Risk",I9)),ISNUMBER(SEARCH("Excellent",I9)),ISNUMBER(SEARCH("Healthy",I9)),ISNUMBER(SEARCH("Safe",I9)),ISNUMBER(SEARCH("Undervalued",I9)),ISNUMBER(SEARCH("Value-creating",I9)),ISNUMBER(SEARCH("Expanding",I9)),ISNUMBER(SEARCH("Accelerating",I9)),ISNUMBER(SEARCH("High",I9)),ISNUMBER(SEARCH("Best-in-Class",I9)),ISNUMBER(SEARCH("Above",I9)),ISNUMBER(SEARCH("Robust",I9)),ISNUMBER(SEARCH("PASS",I9)),ISNUMBER(SEARCH("OK",I9)),ISNUMBER(SEARCH("Conservative",I9)),ISNUMBER(SEARCH("Reducing",I9)),ISNUMBER(SEARCH("Accretive",I9)),ISNUMBER(SEARCH("Cheap",I9)),ISNUMBER(SEARCH("Rising",I9)),ISNUMBER(SEARCH("Disciplined",I9)))</formula>
    </cfRule>
    <cfRule type="expression" priority="6" dxfId="1" stopIfTrue="1">
      <formula>OR(ISNUMBER(SEARCH("Moderate",I9)),ISNUMBER(SEARCH("Stable",I9)),ISNUMBER(SEARCH("Average",I9)),ISNUMBER(SEARCH("Adequate",I9)),ISNUMBER(SEARCH("Watch",I9)),ISNUMBER(SEARCH("Grey",I9)),ISNUMBER(SEARCH("Fair",I9)),ISNUMBER(SEARCH("Neutral",I9)),ISNUMBER(SEARCH("In-line",I9)),ISNUMBER(SEARCH("Flat",I9)),ISNUMBER(SEARCH("REVIEW",I9)),ISNUMBER(SEARCH("Caution",I9)),ISNUMBER(SEARCH("Decelerating",I9)))</formula>
    </cfRule>
    <cfRule type="expression" priority="7" dxfId="2" stopIfTrue="1">
      <formula>OR(ISNUMBER(SEARCH("Weak",I9)),ISNUMBER(SEARCH("Deteriorating",I9)),ISNUMBER(SEARCH("High Risk",I9)),ISNUMBER(SEARCH("Poor",I9)),ISNUMBER(SEARCH("Distress",I9)),ISNUMBER(SEARCH("Overvalued",I9)),ISNUMBER(SEARCH("Value-destroying",I9)),ISNUMBER(SEARCH("Compressing",I9)),ISNUMBER(SEARCH("Low",I9)),ISNUMBER(SEARCH("Worst",I9)),ISNUMBER(SEARCH("Below",I9)),ISNUMBER(SEARCH("FAIL",I9)),ISNUMBER(SEARCH("Elevated",I9)),ISNUMBER(SEARCH("Stretched",I9)),ISNUMBER(SEARCH("Manipulation",I9)),ISNUMBER(SEARCH("Negative",I9)),ISNUMBER(SEARCH("Diluting",I9)),ISNUMBER(SEARCH("Dilutive",I9)),ISNUMBER(SEARCH("Expensive",I9)),ISNUMBER(SEARCH("Falling",I9)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P82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0" customHeight="1">
      <c r="A1" s="1" t="inlineStr">
        <is>
          <t>RAW FINANCIAL INPUTS</t>
        </is>
      </c>
    </row>
    <row r="2">
      <c r="A2" s="2" t="inlineStr">
        <is>
          <t>10 historical + 5 forecast years — the single data-entry layer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Metric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</row>
    <row r="9" ht="20" customHeight="1">
      <c r="A9" s="3" t="inlineStr">
        <is>
          <t>Income Statement</t>
        </is>
      </c>
    </row>
    <row r="10">
      <c r="A10" s="12" t="inlineStr">
        <is>
          <t>Revenue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>
      <c r="A11" s="4" t="inlineStr">
        <is>
          <t>Cost of goods sold</t>
        </is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>
      <c r="A12" s="4" t="inlineStr">
        <is>
          <t>Gross profit</t>
        </is>
      </c>
      <c r="B12" s="32">
        <f>'Inputs'!$B$10-'Inputs'!$B$11</f>
        <v/>
      </c>
      <c r="C12" s="32">
        <f>'Inputs'!$C$10-'Inputs'!$C$11</f>
        <v/>
      </c>
      <c r="D12" s="32">
        <f>'Inputs'!$D$10-'Inputs'!$D$11</f>
        <v/>
      </c>
      <c r="E12" s="32">
        <f>'Inputs'!$E$10-'Inputs'!$E$11</f>
        <v/>
      </c>
      <c r="F12" s="32">
        <f>'Inputs'!$F$10-'Inputs'!$F$11</f>
        <v/>
      </c>
      <c r="G12" s="32">
        <f>'Inputs'!$G$10-'Inputs'!$G$11</f>
        <v/>
      </c>
      <c r="H12" s="32">
        <f>'Inputs'!$H$10-'Inputs'!$H$11</f>
        <v/>
      </c>
      <c r="I12" s="32">
        <f>'Inputs'!$I$10-'Inputs'!$I$11</f>
        <v/>
      </c>
      <c r="J12" s="32">
        <f>'Inputs'!$J$10-'Inputs'!$J$11</f>
        <v/>
      </c>
      <c r="K12" s="32">
        <f>'Inputs'!$K$10-'Inputs'!$K$11</f>
        <v/>
      </c>
      <c r="L12" s="32">
        <f>'Inputs'!$L$10-'Inputs'!$L$11</f>
        <v/>
      </c>
      <c r="M12" s="32">
        <f>'Inputs'!$M$10-'Inputs'!$M$11</f>
        <v/>
      </c>
      <c r="N12" s="32">
        <f>'Inputs'!$N$10-'Inputs'!$N$11</f>
        <v/>
      </c>
      <c r="O12" s="32">
        <f>'Inputs'!$O$10-'Inputs'!$O$11</f>
        <v/>
      </c>
      <c r="P12" s="32">
        <f>'Inputs'!$P$10-'Inputs'!$P$11</f>
        <v/>
      </c>
    </row>
    <row r="13">
      <c r="A13" s="4" t="inlineStr">
        <is>
          <t>Operating expenses (ex-D&amp;A)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>
      <c r="A14" s="12" t="inlineStr">
        <is>
          <t>EBITDA</t>
        </is>
      </c>
      <c r="B14" s="33">
        <f>'Inputs'!$B$12-'Inputs'!$B$13</f>
        <v/>
      </c>
      <c r="C14" s="33">
        <f>'Inputs'!$C$12-'Inputs'!$C$13</f>
        <v/>
      </c>
      <c r="D14" s="33">
        <f>'Inputs'!$D$12-'Inputs'!$D$13</f>
        <v/>
      </c>
      <c r="E14" s="33">
        <f>'Inputs'!$E$12-'Inputs'!$E$13</f>
        <v/>
      </c>
      <c r="F14" s="33">
        <f>'Inputs'!$F$12-'Inputs'!$F$13</f>
        <v/>
      </c>
      <c r="G14" s="33">
        <f>'Inputs'!$G$12-'Inputs'!$G$13</f>
        <v/>
      </c>
      <c r="H14" s="33">
        <f>'Inputs'!$H$12-'Inputs'!$H$13</f>
        <v/>
      </c>
      <c r="I14" s="33">
        <f>'Inputs'!$I$12-'Inputs'!$I$13</f>
        <v/>
      </c>
      <c r="J14" s="33">
        <f>'Inputs'!$J$12-'Inputs'!$J$13</f>
        <v/>
      </c>
      <c r="K14" s="33">
        <f>'Inputs'!$K$12-'Inputs'!$K$13</f>
        <v/>
      </c>
      <c r="L14" s="33">
        <f>'Inputs'!$L$12-'Inputs'!$L$13</f>
        <v/>
      </c>
      <c r="M14" s="33">
        <f>'Inputs'!$M$12-'Inputs'!$M$13</f>
        <v/>
      </c>
      <c r="N14" s="33">
        <f>'Inputs'!$N$12-'Inputs'!$N$13</f>
        <v/>
      </c>
      <c r="O14" s="33">
        <f>'Inputs'!$O$12-'Inputs'!$O$13</f>
        <v/>
      </c>
      <c r="P14" s="33">
        <f>'Inputs'!$P$12-'Inputs'!$P$13</f>
        <v/>
      </c>
    </row>
    <row r="15">
      <c r="A15" s="4" t="inlineStr">
        <is>
          <t>Depreciation &amp; amortisation</t>
        </is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>
      <c r="A16" s="12" t="inlineStr">
        <is>
          <t>EBIT (operating income)</t>
        </is>
      </c>
      <c r="B16" s="33">
        <f>'Inputs'!$B$14-'Inputs'!$B$15</f>
        <v/>
      </c>
      <c r="C16" s="33">
        <f>'Inputs'!$C$14-'Inputs'!$C$15</f>
        <v/>
      </c>
      <c r="D16" s="33">
        <f>'Inputs'!$D$14-'Inputs'!$D$15</f>
        <v/>
      </c>
      <c r="E16" s="33">
        <f>'Inputs'!$E$14-'Inputs'!$E$15</f>
        <v/>
      </c>
      <c r="F16" s="33">
        <f>'Inputs'!$F$14-'Inputs'!$F$15</f>
        <v/>
      </c>
      <c r="G16" s="33">
        <f>'Inputs'!$G$14-'Inputs'!$G$15</f>
        <v/>
      </c>
      <c r="H16" s="33">
        <f>'Inputs'!$H$14-'Inputs'!$H$15</f>
        <v/>
      </c>
      <c r="I16" s="33">
        <f>'Inputs'!$I$14-'Inputs'!$I$15</f>
        <v/>
      </c>
      <c r="J16" s="33">
        <f>'Inputs'!$J$14-'Inputs'!$J$15</f>
        <v/>
      </c>
      <c r="K16" s="33">
        <f>'Inputs'!$K$14-'Inputs'!$K$15</f>
        <v/>
      </c>
      <c r="L16" s="33">
        <f>'Inputs'!$L$14-'Inputs'!$L$15</f>
        <v/>
      </c>
      <c r="M16" s="33">
        <f>'Inputs'!$M$14-'Inputs'!$M$15</f>
        <v/>
      </c>
      <c r="N16" s="33">
        <f>'Inputs'!$N$14-'Inputs'!$N$15</f>
        <v/>
      </c>
      <c r="O16" s="33">
        <f>'Inputs'!$O$14-'Inputs'!$O$15</f>
        <v/>
      </c>
      <c r="P16" s="33">
        <f>'Inputs'!$P$14-'Inputs'!$P$15</f>
        <v/>
      </c>
    </row>
    <row r="17">
      <c r="A17" s="4" t="inlineStr">
        <is>
          <t>Interest expense</t>
        </is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</row>
    <row r="18">
      <c r="A18" s="4" t="inlineStr">
        <is>
          <t>Other income / (expense)</t>
        </is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</row>
    <row r="19">
      <c r="A19" s="4" t="inlineStr">
        <is>
          <t>Pre-tax income</t>
        </is>
      </c>
      <c r="B19" s="32">
        <f>'Inputs'!$B$16-'Inputs'!$B$17+'Inputs'!$B$18</f>
        <v/>
      </c>
      <c r="C19" s="32">
        <f>'Inputs'!$C$16-'Inputs'!$C$17+'Inputs'!$C$18</f>
        <v/>
      </c>
      <c r="D19" s="32">
        <f>'Inputs'!$D$16-'Inputs'!$D$17+'Inputs'!$D$18</f>
        <v/>
      </c>
      <c r="E19" s="32">
        <f>'Inputs'!$E$16-'Inputs'!$E$17+'Inputs'!$E$18</f>
        <v/>
      </c>
      <c r="F19" s="32">
        <f>'Inputs'!$F$16-'Inputs'!$F$17+'Inputs'!$F$18</f>
        <v/>
      </c>
      <c r="G19" s="32">
        <f>'Inputs'!$G$16-'Inputs'!$G$17+'Inputs'!$G$18</f>
        <v/>
      </c>
      <c r="H19" s="32">
        <f>'Inputs'!$H$16-'Inputs'!$H$17+'Inputs'!$H$18</f>
        <v/>
      </c>
      <c r="I19" s="32">
        <f>'Inputs'!$I$16-'Inputs'!$I$17+'Inputs'!$I$18</f>
        <v/>
      </c>
      <c r="J19" s="32">
        <f>'Inputs'!$J$16-'Inputs'!$J$17+'Inputs'!$J$18</f>
        <v/>
      </c>
      <c r="K19" s="32">
        <f>'Inputs'!$K$16-'Inputs'!$K$17+'Inputs'!$K$18</f>
        <v/>
      </c>
      <c r="L19" s="32">
        <f>'Inputs'!$L$16-'Inputs'!$L$17+'Inputs'!$L$18</f>
        <v/>
      </c>
      <c r="M19" s="32">
        <f>'Inputs'!$M$16-'Inputs'!$M$17+'Inputs'!$M$18</f>
        <v/>
      </c>
      <c r="N19" s="32">
        <f>'Inputs'!$N$16-'Inputs'!$N$17+'Inputs'!$N$18</f>
        <v/>
      </c>
      <c r="O19" s="32">
        <f>'Inputs'!$O$16-'Inputs'!$O$17+'Inputs'!$O$18</f>
        <v/>
      </c>
      <c r="P19" s="32">
        <f>'Inputs'!$P$16-'Inputs'!$P$17+'Inputs'!$P$18</f>
        <v/>
      </c>
    </row>
    <row r="20">
      <c r="A20" s="4" t="inlineStr">
        <is>
          <t>Income tax expense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</row>
    <row r="21">
      <c r="A21" s="12" t="inlineStr">
        <is>
          <t>Net income</t>
        </is>
      </c>
      <c r="B21" s="33">
        <f>'Inputs'!$B$19-'Inputs'!$B$20</f>
        <v/>
      </c>
      <c r="C21" s="33">
        <f>'Inputs'!$C$19-'Inputs'!$C$20</f>
        <v/>
      </c>
      <c r="D21" s="33">
        <f>'Inputs'!$D$19-'Inputs'!$D$20</f>
        <v/>
      </c>
      <c r="E21" s="33">
        <f>'Inputs'!$E$19-'Inputs'!$E$20</f>
        <v/>
      </c>
      <c r="F21" s="33">
        <f>'Inputs'!$F$19-'Inputs'!$F$20</f>
        <v/>
      </c>
      <c r="G21" s="33">
        <f>'Inputs'!$G$19-'Inputs'!$G$20</f>
        <v/>
      </c>
      <c r="H21" s="33">
        <f>'Inputs'!$H$19-'Inputs'!$H$20</f>
        <v/>
      </c>
      <c r="I21" s="33">
        <f>'Inputs'!$I$19-'Inputs'!$I$20</f>
        <v/>
      </c>
      <c r="J21" s="33">
        <f>'Inputs'!$J$19-'Inputs'!$J$20</f>
        <v/>
      </c>
      <c r="K21" s="33">
        <f>'Inputs'!$K$19-'Inputs'!$K$20</f>
        <v/>
      </c>
      <c r="L21" s="33">
        <f>'Inputs'!$L$19-'Inputs'!$L$20</f>
        <v/>
      </c>
      <c r="M21" s="33">
        <f>'Inputs'!$M$19-'Inputs'!$M$20</f>
        <v/>
      </c>
      <c r="N21" s="33">
        <f>'Inputs'!$N$19-'Inputs'!$N$20</f>
        <v/>
      </c>
      <c r="O21" s="33">
        <f>'Inputs'!$O$19-'Inputs'!$O$20</f>
        <v/>
      </c>
      <c r="P21" s="33">
        <f>'Inputs'!$P$19-'Inputs'!$P$20</f>
        <v/>
      </c>
    </row>
    <row r="22" ht="20" customHeight="1">
      <c r="A22" s="3" t="inlineStr">
        <is>
          <t>Balance Sheet — Assets</t>
        </is>
      </c>
    </row>
    <row r="23">
      <c r="A23" s="4" t="inlineStr">
        <is>
          <t>Cash &amp; equivalents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4" t="inlineStr">
        <is>
          <t>Accounts receivable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4" t="inlineStr">
        <is>
          <t>Inventory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4" t="inlineStr">
        <is>
          <t>Other current assets</t>
        </is>
      </c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12" t="inlineStr">
        <is>
          <t>Total current assets</t>
        </is>
      </c>
      <c r="B27" s="33">
        <f>SUM('Inputs'!$B$23,'Inputs'!$B$24,'Inputs'!$B$25,'Inputs'!$B$26)</f>
        <v/>
      </c>
      <c r="C27" s="33">
        <f>SUM('Inputs'!$C$23,'Inputs'!$C$24,'Inputs'!$C$25,'Inputs'!$C$26)</f>
        <v/>
      </c>
      <c r="D27" s="33">
        <f>SUM('Inputs'!$D$23,'Inputs'!$D$24,'Inputs'!$D$25,'Inputs'!$D$26)</f>
        <v/>
      </c>
      <c r="E27" s="33">
        <f>SUM('Inputs'!$E$23,'Inputs'!$E$24,'Inputs'!$E$25,'Inputs'!$E$26)</f>
        <v/>
      </c>
      <c r="F27" s="33">
        <f>SUM('Inputs'!$F$23,'Inputs'!$F$24,'Inputs'!$F$25,'Inputs'!$F$26)</f>
        <v/>
      </c>
      <c r="G27" s="33">
        <f>SUM('Inputs'!$G$23,'Inputs'!$G$24,'Inputs'!$G$25,'Inputs'!$G$26)</f>
        <v/>
      </c>
      <c r="H27" s="33">
        <f>SUM('Inputs'!$H$23,'Inputs'!$H$24,'Inputs'!$H$25,'Inputs'!$H$26)</f>
        <v/>
      </c>
      <c r="I27" s="33">
        <f>SUM('Inputs'!$I$23,'Inputs'!$I$24,'Inputs'!$I$25,'Inputs'!$I$26)</f>
        <v/>
      </c>
      <c r="J27" s="33">
        <f>SUM('Inputs'!$J$23,'Inputs'!$J$24,'Inputs'!$J$25,'Inputs'!$J$26)</f>
        <v/>
      </c>
      <c r="K27" s="33">
        <f>SUM('Inputs'!$K$23,'Inputs'!$K$24,'Inputs'!$K$25,'Inputs'!$K$26)</f>
        <v/>
      </c>
      <c r="L27" s="33">
        <f>SUM('Inputs'!$L$23,'Inputs'!$L$24,'Inputs'!$L$25,'Inputs'!$L$26)</f>
        <v/>
      </c>
      <c r="M27" s="33">
        <f>SUM('Inputs'!$M$23,'Inputs'!$M$24,'Inputs'!$M$25,'Inputs'!$M$26)</f>
        <v/>
      </c>
      <c r="N27" s="33">
        <f>SUM('Inputs'!$N$23,'Inputs'!$N$24,'Inputs'!$N$25,'Inputs'!$N$26)</f>
        <v/>
      </c>
      <c r="O27" s="33">
        <f>SUM('Inputs'!$O$23,'Inputs'!$O$24,'Inputs'!$O$25,'Inputs'!$O$26)</f>
        <v/>
      </c>
      <c r="P27" s="33">
        <f>SUM('Inputs'!$P$23,'Inputs'!$P$24,'Inputs'!$P$25,'Inputs'!$P$26)</f>
        <v/>
      </c>
    </row>
    <row r="28">
      <c r="A28" s="4" t="inlineStr">
        <is>
          <t>Property, plant &amp; equipment (net)</t>
        </is>
      </c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</row>
    <row r="29">
      <c r="A29" s="4" t="inlineStr">
        <is>
          <t>Goodwill &amp; intangibles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s="4" t="inlineStr">
        <is>
          <t>Other non-current assets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s="12" t="inlineStr">
        <is>
          <t>Total non-current assets</t>
        </is>
      </c>
      <c r="B31" s="33">
        <f>SUM('Inputs'!$B$28,'Inputs'!$B$29,'Inputs'!$B$30)</f>
        <v/>
      </c>
      <c r="C31" s="33">
        <f>SUM('Inputs'!$C$28,'Inputs'!$C$29,'Inputs'!$C$30)</f>
        <v/>
      </c>
      <c r="D31" s="33">
        <f>SUM('Inputs'!$D$28,'Inputs'!$D$29,'Inputs'!$D$30)</f>
        <v/>
      </c>
      <c r="E31" s="33">
        <f>SUM('Inputs'!$E$28,'Inputs'!$E$29,'Inputs'!$E$30)</f>
        <v/>
      </c>
      <c r="F31" s="33">
        <f>SUM('Inputs'!$F$28,'Inputs'!$F$29,'Inputs'!$F$30)</f>
        <v/>
      </c>
      <c r="G31" s="33">
        <f>SUM('Inputs'!$G$28,'Inputs'!$G$29,'Inputs'!$G$30)</f>
        <v/>
      </c>
      <c r="H31" s="33">
        <f>SUM('Inputs'!$H$28,'Inputs'!$H$29,'Inputs'!$H$30)</f>
        <v/>
      </c>
      <c r="I31" s="33">
        <f>SUM('Inputs'!$I$28,'Inputs'!$I$29,'Inputs'!$I$30)</f>
        <v/>
      </c>
      <c r="J31" s="33">
        <f>SUM('Inputs'!$J$28,'Inputs'!$J$29,'Inputs'!$J$30)</f>
        <v/>
      </c>
      <c r="K31" s="33">
        <f>SUM('Inputs'!$K$28,'Inputs'!$K$29,'Inputs'!$K$30)</f>
        <v/>
      </c>
      <c r="L31" s="33">
        <f>SUM('Inputs'!$L$28,'Inputs'!$L$29,'Inputs'!$L$30)</f>
        <v/>
      </c>
      <c r="M31" s="33">
        <f>SUM('Inputs'!$M$28,'Inputs'!$M$29,'Inputs'!$M$30)</f>
        <v/>
      </c>
      <c r="N31" s="33">
        <f>SUM('Inputs'!$N$28,'Inputs'!$N$29,'Inputs'!$N$30)</f>
        <v/>
      </c>
      <c r="O31" s="33">
        <f>SUM('Inputs'!$O$28,'Inputs'!$O$29,'Inputs'!$O$30)</f>
        <v/>
      </c>
      <c r="P31" s="33">
        <f>SUM('Inputs'!$P$28,'Inputs'!$P$29,'Inputs'!$P$30)</f>
        <v/>
      </c>
    </row>
    <row r="32">
      <c r="A32" s="12" t="inlineStr">
        <is>
          <t>TOTAL ASSETS</t>
        </is>
      </c>
      <c r="B32" s="33">
        <f>'Inputs'!$B$27+'Inputs'!$B$31</f>
        <v/>
      </c>
      <c r="C32" s="33">
        <f>'Inputs'!$C$27+'Inputs'!$C$31</f>
        <v/>
      </c>
      <c r="D32" s="33">
        <f>'Inputs'!$D$27+'Inputs'!$D$31</f>
        <v/>
      </c>
      <c r="E32" s="33">
        <f>'Inputs'!$E$27+'Inputs'!$E$31</f>
        <v/>
      </c>
      <c r="F32" s="33">
        <f>'Inputs'!$F$27+'Inputs'!$F$31</f>
        <v/>
      </c>
      <c r="G32" s="33">
        <f>'Inputs'!$G$27+'Inputs'!$G$31</f>
        <v/>
      </c>
      <c r="H32" s="33">
        <f>'Inputs'!$H$27+'Inputs'!$H$31</f>
        <v/>
      </c>
      <c r="I32" s="33">
        <f>'Inputs'!$I$27+'Inputs'!$I$31</f>
        <v/>
      </c>
      <c r="J32" s="33">
        <f>'Inputs'!$J$27+'Inputs'!$J$31</f>
        <v/>
      </c>
      <c r="K32" s="33">
        <f>'Inputs'!$K$27+'Inputs'!$K$31</f>
        <v/>
      </c>
      <c r="L32" s="33">
        <f>'Inputs'!$L$27+'Inputs'!$L$31</f>
        <v/>
      </c>
      <c r="M32" s="33">
        <f>'Inputs'!$M$27+'Inputs'!$M$31</f>
        <v/>
      </c>
      <c r="N32" s="33">
        <f>'Inputs'!$N$27+'Inputs'!$N$31</f>
        <v/>
      </c>
      <c r="O32" s="33">
        <f>'Inputs'!$O$27+'Inputs'!$O$31</f>
        <v/>
      </c>
      <c r="P32" s="33">
        <f>'Inputs'!$P$27+'Inputs'!$P$31</f>
        <v/>
      </c>
    </row>
    <row r="33" ht="20" customHeight="1">
      <c r="A33" s="3" t="inlineStr">
        <is>
          <t>Balance Sheet — Liabilities &amp; Equity</t>
        </is>
      </c>
    </row>
    <row r="34">
      <c r="A34" s="4" t="inlineStr">
        <is>
          <t>Accounts payable</t>
        </is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s="4" t="inlineStr">
        <is>
          <t>Short-term debt</t>
        </is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>
      <c r="A36" s="4" t="inlineStr">
        <is>
          <t>Other current liabilities</t>
        </is>
      </c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>
      <c r="A37" s="12" t="inlineStr">
        <is>
          <t>Total current liabilities</t>
        </is>
      </c>
      <c r="B37" s="33">
        <f>SUM('Inputs'!$B$34,'Inputs'!$B$35,'Inputs'!$B$36)</f>
        <v/>
      </c>
      <c r="C37" s="33">
        <f>SUM('Inputs'!$C$34,'Inputs'!$C$35,'Inputs'!$C$36)</f>
        <v/>
      </c>
      <c r="D37" s="33">
        <f>SUM('Inputs'!$D$34,'Inputs'!$D$35,'Inputs'!$D$36)</f>
        <v/>
      </c>
      <c r="E37" s="33">
        <f>SUM('Inputs'!$E$34,'Inputs'!$E$35,'Inputs'!$E$36)</f>
        <v/>
      </c>
      <c r="F37" s="33">
        <f>SUM('Inputs'!$F$34,'Inputs'!$F$35,'Inputs'!$F$36)</f>
        <v/>
      </c>
      <c r="G37" s="33">
        <f>SUM('Inputs'!$G$34,'Inputs'!$G$35,'Inputs'!$G$36)</f>
        <v/>
      </c>
      <c r="H37" s="33">
        <f>SUM('Inputs'!$H$34,'Inputs'!$H$35,'Inputs'!$H$36)</f>
        <v/>
      </c>
      <c r="I37" s="33">
        <f>SUM('Inputs'!$I$34,'Inputs'!$I$35,'Inputs'!$I$36)</f>
        <v/>
      </c>
      <c r="J37" s="33">
        <f>SUM('Inputs'!$J$34,'Inputs'!$J$35,'Inputs'!$J$36)</f>
        <v/>
      </c>
      <c r="K37" s="33">
        <f>SUM('Inputs'!$K$34,'Inputs'!$K$35,'Inputs'!$K$36)</f>
        <v/>
      </c>
      <c r="L37" s="33">
        <f>SUM('Inputs'!$L$34,'Inputs'!$L$35,'Inputs'!$L$36)</f>
        <v/>
      </c>
      <c r="M37" s="33">
        <f>SUM('Inputs'!$M$34,'Inputs'!$M$35,'Inputs'!$M$36)</f>
        <v/>
      </c>
      <c r="N37" s="33">
        <f>SUM('Inputs'!$N$34,'Inputs'!$N$35,'Inputs'!$N$36)</f>
        <v/>
      </c>
      <c r="O37" s="33">
        <f>SUM('Inputs'!$O$34,'Inputs'!$O$35,'Inputs'!$O$36)</f>
        <v/>
      </c>
      <c r="P37" s="33">
        <f>SUM('Inputs'!$P$34,'Inputs'!$P$35,'Inputs'!$P$36)</f>
        <v/>
      </c>
    </row>
    <row r="38">
      <c r="A38" s="4" t="inlineStr">
        <is>
          <t>Long-term debt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</row>
    <row r="39">
      <c r="A39" s="4" t="inlineStr">
        <is>
          <t>Other non-current liabilities</t>
        </is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</row>
    <row r="40">
      <c r="A40" s="12" t="inlineStr">
        <is>
          <t>Total non-current liabilities</t>
        </is>
      </c>
      <c r="B40" s="33">
        <f>'Inputs'!$B$38+'Inputs'!$B$39</f>
        <v/>
      </c>
      <c r="C40" s="33">
        <f>'Inputs'!$C$38+'Inputs'!$C$39</f>
        <v/>
      </c>
      <c r="D40" s="33">
        <f>'Inputs'!$D$38+'Inputs'!$D$39</f>
        <v/>
      </c>
      <c r="E40" s="33">
        <f>'Inputs'!$E$38+'Inputs'!$E$39</f>
        <v/>
      </c>
      <c r="F40" s="33">
        <f>'Inputs'!$F$38+'Inputs'!$F$39</f>
        <v/>
      </c>
      <c r="G40" s="33">
        <f>'Inputs'!$G$38+'Inputs'!$G$39</f>
        <v/>
      </c>
      <c r="H40" s="33">
        <f>'Inputs'!$H$38+'Inputs'!$H$39</f>
        <v/>
      </c>
      <c r="I40" s="33">
        <f>'Inputs'!$I$38+'Inputs'!$I$39</f>
        <v/>
      </c>
      <c r="J40" s="33">
        <f>'Inputs'!$J$38+'Inputs'!$J$39</f>
        <v/>
      </c>
      <c r="K40" s="33">
        <f>'Inputs'!$K$38+'Inputs'!$K$39</f>
        <v/>
      </c>
      <c r="L40" s="33">
        <f>'Inputs'!$L$38+'Inputs'!$L$39</f>
        <v/>
      </c>
      <c r="M40" s="33">
        <f>'Inputs'!$M$38+'Inputs'!$M$39</f>
        <v/>
      </c>
      <c r="N40" s="33">
        <f>'Inputs'!$N$38+'Inputs'!$N$39</f>
        <v/>
      </c>
      <c r="O40" s="33">
        <f>'Inputs'!$O$38+'Inputs'!$O$39</f>
        <v/>
      </c>
      <c r="P40" s="33">
        <f>'Inputs'!$P$38+'Inputs'!$P$39</f>
        <v/>
      </c>
    </row>
    <row r="41">
      <c r="A41" s="12" t="inlineStr">
        <is>
          <t>TOTAL LIABILITIES</t>
        </is>
      </c>
      <c r="B41" s="33">
        <f>'Inputs'!$B$37+'Inputs'!$B$40</f>
        <v/>
      </c>
      <c r="C41" s="33">
        <f>'Inputs'!$C$37+'Inputs'!$C$40</f>
        <v/>
      </c>
      <c r="D41" s="33">
        <f>'Inputs'!$D$37+'Inputs'!$D$40</f>
        <v/>
      </c>
      <c r="E41" s="33">
        <f>'Inputs'!$E$37+'Inputs'!$E$40</f>
        <v/>
      </c>
      <c r="F41" s="33">
        <f>'Inputs'!$F$37+'Inputs'!$F$40</f>
        <v/>
      </c>
      <c r="G41" s="33">
        <f>'Inputs'!$G$37+'Inputs'!$G$40</f>
        <v/>
      </c>
      <c r="H41" s="33">
        <f>'Inputs'!$H$37+'Inputs'!$H$40</f>
        <v/>
      </c>
      <c r="I41" s="33">
        <f>'Inputs'!$I$37+'Inputs'!$I$40</f>
        <v/>
      </c>
      <c r="J41" s="33">
        <f>'Inputs'!$J$37+'Inputs'!$J$40</f>
        <v/>
      </c>
      <c r="K41" s="33">
        <f>'Inputs'!$K$37+'Inputs'!$K$40</f>
        <v/>
      </c>
      <c r="L41" s="33">
        <f>'Inputs'!$L$37+'Inputs'!$L$40</f>
        <v/>
      </c>
      <c r="M41" s="33">
        <f>'Inputs'!$M$37+'Inputs'!$M$40</f>
        <v/>
      </c>
      <c r="N41" s="33">
        <f>'Inputs'!$N$37+'Inputs'!$N$40</f>
        <v/>
      </c>
      <c r="O41" s="33">
        <f>'Inputs'!$O$37+'Inputs'!$O$40</f>
        <v/>
      </c>
      <c r="P41" s="33">
        <f>'Inputs'!$P$37+'Inputs'!$P$40</f>
        <v/>
      </c>
    </row>
    <row r="42">
      <c r="A42" s="12" t="inlineStr">
        <is>
          <t>Shareholders' equity</t>
        </is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</row>
    <row r="43">
      <c r="A43" s="4" t="inlineStr">
        <is>
          <t xml:space="preserve">  of which: retained earnings</t>
        </is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</row>
    <row r="44">
      <c r="A44" s="12" t="inlineStr">
        <is>
          <t>TOTAL LIABILITIES &amp; EQUITY</t>
        </is>
      </c>
      <c r="B44" s="33">
        <f>'Inputs'!$B$41+'Inputs'!$B$42</f>
        <v/>
      </c>
      <c r="C44" s="33">
        <f>'Inputs'!$C$41+'Inputs'!$C$42</f>
        <v/>
      </c>
      <c r="D44" s="33">
        <f>'Inputs'!$D$41+'Inputs'!$D$42</f>
        <v/>
      </c>
      <c r="E44" s="33">
        <f>'Inputs'!$E$41+'Inputs'!$E$42</f>
        <v/>
      </c>
      <c r="F44" s="33">
        <f>'Inputs'!$F$41+'Inputs'!$F$42</f>
        <v/>
      </c>
      <c r="G44" s="33">
        <f>'Inputs'!$G$41+'Inputs'!$G$42</f>
        <v/>
      </c>
      <c r="H44" s="33">
        <f>'Inputs'!$H$41+'Inputs'!$H$42</f>
        <v/>
      </c>
      <c r="I44" s="33">
        <f>'Inputs'!$I$41+'Inputs'!$I$42</f>
        <v/>
      </c>
      <c r="J44" s="33">
        <f>'Inputs'!$J$41+'Inputs'!$J$42</f>
        <v/>
      </c>
      <c r="K44" s="33">
        <f>'Inputs'!$K$41+'Inputs'!$K$42</f>
        <v/>
      </c>
      <c r="L44" s="33">
        <f>'Inputs'!$L$41+'Inputs'!$L$42</f>
        <v/>
      </c>
      <c r="M44" s="33">
        <f>'Inputs'!$M$41+'Inputs'!$M$42</f>
        <v/>
      </c>
      <c r="N44" s="33">
        <f>'Inputs'!$N$41+'Inputs'!$N$42</f>
        <v/>
      </c>
      <c r="O44" s="33">
        <f>'Inputs'!$O$41+'Inputs'!$O$42</f>
        <v/>
      </c>
      <c r="P44" s="33">
        <f>'Inputs'!$P$41+'Inputs'!$P$42</f>
        <v/>
      </c>
    </row>
    <row r="45" ht="20" customHeight="1">
      <c r="A45" s="3" t="inlineStr">
        <is>
          <t>Cash Flow Statement</t>
        </is>
      </c>
    </row>
    <row r="46">
      <c r="A46" s="12" t="inlineStr">
        <is>
          <t>Operating cash flow</t>
        </is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</row>
    <row r="47">
      <c r="A47" s="4" t="inlineStr">
        <is>
          <t>Capital expenditure</t>
        </is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</row>
    <row r="48">
      <c r="A48" s="12" t="inlineStr">
        <is>
          <t>Free cash flow</t>
        </is>
      </c>
      <c r="B48" s="33">
        <f>'Inputs'!$B$46-'Inputs'!$B$47</f>
        <v/>
      </c>
      <c r="C48" s="33">
        <f>'Inputs'!$C$46-'Inputs'!$C$47</f>
        <v/>
      </c>
      <c r="D48" s="33">
        <f>'Inputs'!$D$46-'Inputs'!$D$47</f>
        <v/>
      </c>
      <c r="E48" s="33">
        <f>'Inputs'!$E$46-'Inputs'!$E$47</f>
        <v/>
      </c>
      <c r="F48" s="33">
        <f>'Inputs'!$F$46-'Inputs'!$F$47</f>
        <v/>
      </c>
      <c r="G48" s="33">
        <f>'Inputs'!$G$46-'Inputs'!$G$47</f>
        <v/>
      </c>
      <c r="H48" s="33">
        <f>'Inputs'!$H$46-'Inputs'!$H$47</f>
        <v/>
      </c>
      <c r="I48" s="33">
        <f>'Inputs'!$I$46-'Inputs'!$I$47</f>
        <v/>
      </c>
      <c r="J48" s="33">
        <f>'Inputs'!$J$46-'Inputs'!$J$47</f>
        <v/>
      </c>
      <c r="K48" s="33">
        <f>'Inputs'!$K$46-'Inputs'!$K$47</f>
        <v/>
      </c>
      <c r="L48" s="33">
        <f>'Inputs'!$L$46-'Inputs'!$L$47</f>
        <v/>
      </c>
      <c r="M48" s="33">
        <f>'Inputs'!$M$46-'Inputs'!$M$47</f>
        <v/>
      </c>
      <c r="N48" s="33">
        <f>'Inputs'!$N$46-'Inputs'!$N$47</f>
        <v/>
      </c>
      <c r="O48" s="33">
        <f>'Inputs'!$O$46-'Inputs'!$O$47</f>
        <v/>
      </c>
      <c r="P48" s="33">
        <f>'Inputs'!$P$46-'Inputs'!$P$47</f>
        <v/>
      </c>
    </row>
    <row r="49">
      <c r="A49" s="4" t="inlineStr">
        <is>
          <t>Dividends paid</t>
        </is>
      </c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</row>
    <row r="50">
      <c r="A50" s="4" t="inlineStr">
        <is>
          <t>Share buybacks (net)</t>
        </is>
      </c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</row>
    <row r="51" ht="20" customHeight="1">
      <c r="A51" s="3" t="inlineStr">
        <is>
          <t>Market Data &amp; Per-Share</t>
        </is>
      </c>
    </row>
    <row r="52">
      <c r="A52" s="4" t="inlineStr">
        <is>
          <t>Share price (period close)</t>
        </is>
      </c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</row>
    <row r="53">
      <c r="A53" s="4" t="inlineStr">
        <is>
          <t>Shares outstanding (m)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</row>
    <row r="54">
      <c r="A54" s="12" t="inlineStr">
        <is>
          <t>Market capitalisation</t>
        </is>
      </c>
      <c r="B54" s="33">
        <f>'Inputs'!$B$52*'Inputs'!$B$53</f>
        <v/>
      </c>
      <c r="C54" s="33">
        <f>'Inputs'!$C$52*'Inputs'!$C$53</f>
        <v/>
      </c>
      <c r="D54" s="33">
        <f>'Inputs'!$D$52*'Inputs'!$D$53</f>
        <v/>
      </c>
      <c r="E54" s="33">
        <f>'Inputs'!$E$52*'Inputs'!$E$53</f>
        <v/>
      </c>
      <c r="F54" s="33">
        <f>'Inputs'!$F$52*'Inputs'!$F$53</f>
        <v/>
      </c>
      <c r="G54" s="33">
        <f>'Inputs'!$G$52*'Inputs'!$G$53</f>
        <v/>
      </c>
      <c r="H54" s="33">
        <f>'Inputs'!$H$52*'Inputs'!$H$53</f>
        <v/>
      </c>
      <c r="I54" s="33">
        <f>'Inputs'!$I$52*'Inputs'!$I$53</f>
        <v/>
      </c>
      <c r="J54" s="33">
        <f>'Inputs'!$J$52*'Inputs'!$J$53</f>
        <v/>
      </c>
      <c r="K54" s="33">
        <f>'Inputs'!$K$52*'Inputs'!$K$53</f>
        <v/>
      </c>
      <c r="L54" s="33">
        <f>'Inputs'!$L$52*'Inputs'!$L$53</f>
        <v/>
      </c>
      <c r="M54" s="33">
        <f>'Inputs'!$M$52*'Inputs'!$M$53</f>
        <v/>
      </c>
      <c r="N54" s="33">
        <f>'Inputs'!$N$52*'Inputs'!$N$53</f>
        <v/>
      </c>
      <c r="O54" s="33">
        <f>'Inputs'!$O$52*'Inputs'!$O$53</f>
        <v/>
      </c>
      <c r="P54" s="33">
        <f>'Inputs'!$P$52*'Inputs'!$P$53</f>
        <v/>
      </c>
    </row>
    <row r="55">
      <c r="A55" s="4" t="inlineStr">
        <is>
          <t>Earnings per share (EPS)</t>
        </is>
      </c>
      <c r="B55" s="36">
        <f>IFERROR('Inputs'!$B$21/'Inputs'!$B$53,"")</f>
        <v/>
      </c>
      <c r="C55" s="36">
        <f>IFERROR('Inputs'!$C$21/'Inputs'!$C$53,"")</f>
        <v/>
      </c>
      <c r="D55" s="36">
        <f>IFERROR('Inputs'!$D$21/'Inputs'!$D$53,"")</f>
        <v/>
      </c>
      <c r="E55" s="36">
        <f>IFERROR('Inputs'!$E$21/'Inputs'!$E$53,"")</f>
        <v/>
      </c>
      <c r="F55" s="36">
        <f>IFERROR('Inputs'!$F$21/'Inputs'!$F$53,"")</f>
        <v/>
      </c>
      <c r="G55" s="36">
        <f>IFERROR('Inputs'!$G$21/'Inputs'!$G$53,"")</f>
        <v/>
      </c>
      <c r="H55" s="36">
        <f>IFERROR('Inputs'!$H$21/'Inputs'!$H$53,"")</f>
        <v/>
      </c>
      <c r="I55" s="36">
        <f>IFERROR('Inputs'!$I$21/'Inputs'!$I$53,"")</f>
        <v/>
      </c>
      <c r="J55" s="36">
        <f>IFERROR('Inputs'!$J$21/'Inputs'!$J$53,"")</f>
        <v/>
      </c>
      <c r="K55" s="36">
        <f>IFERROR('Inputs'!$K$21/'Inputs'!$K$53,"")</f>
        <v/>
      </c>
      <c r="L55" s="36">
        <f>IFERROR('Inputs'!$L$21/'Inputs'!$L$53,"")</f>
        <v/>
      </c>
      <c r="M55" s="36">
        <f>IFERROR('Inputs'!$M$21/'Inputs'!$M$53,"")</f>
        <v/>
      </c>
      <c r="N55" s="36">
        <f>IFERROR('Inputs'!$N$21/'Inputs'!$N$53,"")</f>
        <v/>
      </c>
      <c r="O55" s="36">
        <f>IFERROR('Inputs'!$O$21/'Inputs'!$O$53,"")</f>
        <v/>
      </c>
      <c r="P55" s="36">
        <f>IFERROR('Inputs'!$P$21/'Inputs'!$P$53,"")</f>
        <v/>
      </c>
    </row>
    <row r="56">
      <c r="A56" s="4" t="inlineStr">
        <is>
          <t>Dividend per share (DPS)</t>
        </is>
      </c>
      <c r="B56" s="36">
        <f>IFERROR('Inputs'!$B$49/'Inputs'!$B$53,"")</f>
        <v/>
      </c>
      <c r="C56" s="36">
        <f>IFERROR('Inputs'!$C$49/'Inputs'!$C$53,"")</f>
        <v/>
      </c>
      <c r="D56" s="36">
        <f>IFERROR('Inputs'!$D$49/'Inputs'!$D$53,"")</f>
        <v/>
      </c>
      <c r="E56" s="36">
        <f>IFERROR('Inputs'!$E$49/'Inputs'!$E$53,"")</f>
        <v/>
      </c>
      <c r="F56" s="36">
        <f>IFERROR('Inputs'!$F$49/'Inputs'!$F$53,"")</f>
        <v/>
      </c>
      <c r="G56" s="36">
        <f>IFERROR('Inputs'!$G$49/'Inputs'!$G$53,"")</f>
        <v/>
      </c>
      <c r="H56" s="36">
        <f>IFERROR('Inputs'!$H$49/'Inputs'!$H$53,"")</f>
        <v/>
      </c>
      <c r="I56" s="36">
        <f>IFERROR('Inputs'!$I$49/'Inputs'!$I$53,"")</f>
        <v/>
      </c>
      <c r="J56" s="36">
        <f>IFERROR('Inputs'!$J$49/'Inputs'!$J$53,"")</f>
        <v/>
      </c>
      <c r="K56" s="36">
        <f>IFERROR('Inputs'!$K$49/'Inputs'!$K$53,"")</f>
        <v/>
      </c>
      <c r="L56" s="36">
        <f>IFERROR('Inputs'!$L$49/'Inputs'!$L$53,"")</f>
        <v/>
      </c>
      <c r="M56" s="36">
        <f>IFERROR('Inputs'!$M$49/'Inputs'!$M$53,"")</f>
        <v/>
      </c>
      <c r="N56" s="36">
        <f>IFERROR('Inputs'!$N$49/'Inputs'!$N$53,"")</f>
        <v/>
      </c>
      <c r="O56" s="36">
        <f>IFERROR('Inputs'!$O$49/'Inputs'!$O$53,"")</f>
        <v/>
      </c>
      <c r="P56" s="36">
        <f>IFERROR('Inputs'!$P$49/'Inputs'!$P$53,"")</f>
        <v/>
      </c>
    </row>
    <row r="57" ht="20" customHeight="1">
      <c r="A57" s="3" t="inlineStr">
        <is>
          <t>Cost of Capital (for ROIC vs WACC)</t>
        </is>
      </c>
    </row>
    <row r="58">
      <c r="A58" s="4" t="inlineStr">
        <is>
          <t>Risk-free rate</t>
        </is>
      </c>
      <c r="B58" s="37" t="n"/>
      <c r="C58" s="14" t="inlineStr">
        <is>
          <t>← input</t>
        </is>
      </c>
    </row>
    <row r="59">
      <c r="A59" s="4" t="inlineStr">
        <is>
          <t>Equity risk premium</t>
        </is>
      </c>
      <c r="B59" s="37" t="n"/>
      <c r="C59" s="14" t="inlineStr">
        <is>
          <t>← input</t>
        </is>
      </c>
    </row>
    <row r="60">
      <c r="A60" s="4" t="inlineStr">
        <is>
          <t>Beta</t>
        </is>
      </c>
      <c r="B60" s="38" t="n"/>
      <c r="C60" s="14" t="inlineStr">
        <is>
          <t>← input</t>
        </is>
      </c>
    </row>
    <row r="61">
      <c r="A61" s="4" t="inlineStr">
        <is>
          <t>Pre-tax cost of debt</t>
        </is>
      </c>
      <c r="B61" s="37" t="n"/>
      <c r="C61" s="14" t="inlineStr">
        <is>
          <t>← input</t>
        </is>
      </c>
    </row>
    <row r="62">
      <c r="A62" s="4" t="inlineStr">
        <is>
          <t>Tax rate</t>
        </is>
      </c>
      <c r="B62" s="37" t="n"/>
      <c r="C62" s="14" t="inlineStr">
        <is>
          <t>← input</t>
        </is>
      </c>
    </row>
    <row r="63">
      <c r="A63" s="4" t="inlineStr">
        <is>
          <t>Cost of equity  Ke = Rf + β×ERP</t>
        </is>
      </c>
      <c r="B63" s="39">
        <f>'Inputs'!$B$58+'Inputs'!$B$60*'Inputs'!$B$59</f>
        <v/>
      </c>
    </row>
    <row r="64">
      <c r="A64" s="4" t="inlineStr">
        <is>
          <t>After-tax cost of debt</t>
        </is>
      </c>
      <c r="B64" s="39">
        <f>'Inputs'!$B$61*(1-'Inputs'!$B$62)</f>
        <v/>
      </c>
    </row>
    <row r="65" ht="20" customHeight="1">
      <c r="A65" s="3" t="inlineStr">
        <is>
          <t>Helper Calculations  (intermediate steps reused across the workbook)</t>
        </is>
      </c>
    </row>
    <row r="66">
      <c r="A66" s="4" t="inlineStr">
        <is>
          <t>Total debt = ST + LT debt</t>
        </is>
      </c>
      <c r="B66" s="32">
        <f>'Inputs'!$B$35+'Inputs'!$B$38</f>
        <v/>
      </c>
      <c r="C66" s="32">
        <f>'Inputs'!$C$35+'Inputs'!$C$38</f>
        <v/>
      </c>
      <c r="D66" s="32">
        <f>'Inputs'!$D$35+'Inputs'!$D$38</f>
        <v/>
      </c>
      <c r="E66" s="32">
        <f>'Inputs'!$E$35+'Inputs'!$E$38</f>
        <v/>
      </c>
      <c r="F66" s="32">
        <f>'Inputs'!$F$35+'Inputs'!$F$38</f>
        <v/>
      </c>
      <c r="G66" s="32">
        <f>'Inputs'!$G$35+'Inputs'!$G$38</f>
        <v/>
      </c>
      <c r="H66" s="32">
        <f>'Inputs'!$H$35+'Inputs'!$H$38</f>
        <v/>
      </c>
      <c r="I66" s="32">
        <f>'Inputs'!$I$35+'Inputs'!$I$38</f>
        <v/>
      </c>
      <c r="J66" s="32">
        <f>'Inputs'!$J$35+'Inputs'!$J$38</f>
        <v/>
      </c>
      <c r="K66" s="32">
        <f>'Inputs'!$K$35+'Inputs'!$K$38</f>
        <v/>
      </c>
      <c r="L66" s="32">
        <f>'Inputs'!$L$35+'Inputs'!$L$38</f>
        <v/>
      </c>
      <c r="M66" s="32">
        <f>'Inputs'!$M$35+'Inputs'!$M$38</f>
        <v/>
      </c>
      <c r="N66" s="32">
        <f>'Inputs'!$N$35+'Inputs'!$N$38</f>
        <v/>
      </c>
      <c r="O66" s="32">
        <f>'Inputs'!$O$35+'Inputs'!$O$38</f>
        <v/>
      </c>
      <c r="P66" s="32">
        <f>'Inputs'!$P$35+'Inputs'!$P$38</f>
        <v/>
      </c>
    </row>
    <row r="67">
      <c r="A67" s="4" t="inlineStr">
        <is>
          <t>Net debt = total debt − cash</t>
        </is>
      </c>
      <c r="B67" s="32">
        <f>'Inputs'!$B$66-'Inputs'!$B$23</f>
        <v/>
      </c>
      <c r="C67" s="32">
        <f>'Inputs'!$C$66-'Inputs'!$C$23</f>
        <v/>
      </c>
      <c r="D67" s="32">
        <f>'Inputs'!$D$66-'Inputs'!$D$23</f>
        <v/>
      </c>
      <c r="E67" s="32">
        <f>'Inputs'!$E$66-'Inputs'!$E$23</f>
        <v/>
      </c>
      <c r="F67" s="32">
        <f>'Inputs'!$F$66-'Inputs'!$F$23</f>
        <v/>
      </c>
      <c r="G67" s="32">
        <f>'Inputs'!$G$66-'Inputs'!$G$23</f>
        <v/>
      </c>
      <c r="H67" s="32">
        <f>'Inputs'!$H$66-'Inputs'!$H$23</f>
        <v/>
      </c>
      <c r="I67" s="32">
        <f>'Inputs'!$I$66-'Inputs'!$I$23</f>
        <v/>
      </c>
      <c r="J67" s="32">
        <f>'Inputs'!$J$66-'Inputs'!$J$23</f>
        <v/>
      </c>
      <c r="K67" s="32">
        <f>'Inputs'!$K$66-'Inputs'!$K$23</f>
        <v/>
      </c>
      <c r="L67" s="32">
        <f>'Inputs'!$L$66-'Inputs'!$L$23</f>
        <v/>
      </c>
      <c r="M67" s="32">
        <f>'Inputs'!$M$66-'Inputs'!$M$23</f>
        <v/>
      </c>
      <c r="N67" s="32">
        <f>'Inputs'!$N$66-'Inputs'!$N$23</f>
        <v/>
      </c>
      <c r="O67" s="32">
        <f>'Inputs'!$O$66-'Inputs'!$O$23</f>
        <v/>
      </c>
      <c r="P67" s="32">
        <f>'Inputs'!$P$66-'Inputs'!$P$23</f>
        <v/>
      </c>
    </row>
    <row r="68">
      <c r="A68" s="4" t="inlineStr">
        <is>
          <t>Working capital = CA − CL</t>
        </is>
      </c>
      <c r="B68" s="32">
        <f>'Inputs'!$B$27-'Inputs'!$B$37</f>
        <v/>
      </c>
      <c r="C68" s="32">
        <f>'Inputs'!$C$27-'Inputs'!$C$37</f>
        <v/>
      </c>
      <c r="D68" s="32">
        <f>'Inputs'!$D$27-'Inputs'!$D$37</f>
        <v/>
      </c>
      <c r="E68" s="32">
        <f>'Inputs'!$E$27-'Inputs'!$E$37</f>
        <v/>
      </c>
      <c r="F68" s="32">
        <f>'Inputs'!$F$27-'Inputs'!$F$37</f>
        <v/>
      </c>
      <c r="G68" s="32">
        <f>'Inputs'!$G$27-'Inputs'!$G$37</f>
        <v/>
      </c>
      <c r="H68" s="32">
        <f>'Inputs'!$H$27-'Inputs'!$H$37</f>
        <v/>
      </c>
      <c r="I68" s="32">
        <f>'Inputs'!$I$27-'Inputs'!$I$37</f>
        <v/>
      </c>
      <c r="J68" s="32">
        <f>'Inputs'!$J$27-'Inputs'!$J$37</f>
        <v/>
      </c>
      <c r="K68" s="32">
        <f>'Inputs'!$K$27-'Inputs'!$K$37</f>
        <v/>
      </c>
      <c r="L68" s="32">
        <f>'Inputs'!$L$27-'Inputs'!$L$37</f>
        <v/>
      </c>
      <c r="M68" s="32">
        <f>'Inputs'!$M$27-'Inputs'!$M$37</f>
        <v/>
      </c>
      <c r="N68" s="32">
        <f>'Inputs'!$N$27-'Inputs'!$N$37</f>
        <v/>
      </c>
      <c r="O68" s="32">
        <f>'Inputs'!$O$27-'Inputs'!$O$37</f>
        <v/>
      </c>
      <c r="P68" s="32">
        <f>'Inputs'!$P$27-'Inputs'!$P$37</f>
        <v/>
      </c>
    </row>
    <row r="69">
      <c r="A69" s="4" t="inlineStr">
        <is>
          <t>Capital employed = TA − CL</t>
        </is>
      </c>
      <c r="B69" s="32">
        <f>'Inputs'!$B$32-'Inputs'!$B$37</f>
        <v/>
      </c>
      <c r="C69" s="32">
        <f>'Inputs'!$C$32-'Inputs'!$C$37</f>
        <v/>
      </c>
      <c r="D69" s="32">
        <f>'Inputs'!$D$32-'Inputs'!$D$37</f>
        <v/>
      </c>
      <c r="E69" s="32">
        <f>'Inputs'!$E$32-'Inputs'!$E$37</f>
        <v/>
      </c>
      <c r="F69" s="32">
        <f>'Inputs'!$F$32-'Inputs'!$F$37</f>
        <v/>
      </c>
      <c r="G69" s="32">
        <f>'Inputs'!$G$32-'Inputs'!$G$37</f>
        <v/>
      </c>
      <c r="H69" s="32">
        <f>'Inputs'!$H$32-'Inputs'!$H$37</f>
        <v/>
      </c>
      <c r="I69" s="32">
        <f>'Inputs'!$I$32-'Inputs'!$I$37</f>
        <v/>
      </c>
      <c r="J69" s="32">
        <f>'Inputs'!$J$32-'Inputs'!$J$37</f>
        <v/>
      </c>
      <c r="K69" s="32">
        <f>'Inputs'!$K$32-'Inputs'!$K$37</f>
        <v/>
      </c>
      <c r="L69" s="32">
        <f>'Inputs'!$L$32-'Inputs'!$L$37</f>
        <v/>
      </c>
      <c r="M69" s="32">
        <f>'Inputs'!$M$32-'Inputs'!$M$37</f>
        <v/>
      </c>
      <c r="N69" s="32">
        <f>'Inputs'!$N$32-'Inputs'!$N$37</f>
        <v/>
      </c>
      <c r="O69" s="32">
        <f>'Inputs'!$O$32-'Inputs'!$O$37</f>
        <v/>
      </c>
      <c r="P69" s="32">
        <f>'Inputs'!$P$32-'Inputs'!$P$37</f>
        <v/>
      </c>
    </row>
    <row r="70">
      <c r="A70" s="4" t="inlineStr">
        <is>
          <t>Invested capital = equity + debt − cash</t>
        </is>
      </c>
      <c r="B70" s="32">
        <f>'Inputs'!$B$42+'Inputs'!$B$66-'Inputs'!$B$23</f>
        <v/>
      </c>
      <c r="C70" s="32">
        <f>'Inputs'!$C$42+'Inputs'!$C$66-'Inputs'!$C$23</f>
        <v/>
      </c>
      <c r="D70" s="32">
        <f>'Inputs'!$D$42+'Inputs'!$D$66-'Inputs'!$D$23</f>
        <v/>
      </c>
      <c r="E70" s="32">
        <f>'Inputs'!$E$42+'Inputs'!$E$66-'Inputs'!$E$23</f>
        <v/>
      </c>
      <c r="F70" s="32">
        <f>'Inputs'!$F$42+'Inputs'!$F$66-'Inputs'!$F$23</f>
        <v/>
      </c>
      <c r="G70" s="32">
        <f>'Inputs'!$G$42+'Inputs'!$G$66-'Inputs'!$G$23</f>
        <v/>
      </c>
      <c r="H70" s="32">
        <f>'Inputs'!$H$42+'Inputs'!$H$66-'Inputs'!$H$23</f>
        <v/>
      </c>
      <c r="I70" s="32">
        <f>'Inputs'!$I$42+'Inputs'!$I$66-'Inputs'!$I$23</f>
        <v/>
      </c>
      <c r="J70" s="32">
        <f>'Inputs'!$J$42+'Inputs'!$J$66-'Inputs'!$J$23</f>
        <v/>
      </c>
      <c r="K70" s="32">
        <f>'Inputs'!$K$42+'Inputs'!$K$66-'Inputs'!$K$23</f>
        <v/>
      </c>
      <c r="L70" s="32">
        <f>'Inputs'!$L$42+'Inputs'!$L$66-'Inputs'!$L$23</f>
        <v/>
      </c>
      <c r="M70" s="32">
        <f>'Inputs'!$M$42+'Inputs'!$M$66-'Inputs'!$M$23</f>
        <v/>
      </c>
      <c r="N70" s="32">
        <f>'Inputs'!$N$42+'Inputs'!$N$66-'Inputs'!$N$23</f>
        <v/>
      </c>
      <c r="O70" s="32">
        <f>'Inputs'!$O$42+'Inputs'!$O$66-'Inputs'!$O$23</f>
        <v/>
      </c>
      <c r="P70" s="32">
        <f>'Inputs'!$P$42+'Inputs'!$P$66-'Inputs'!$P$23</f>
        <v/>
      </c>
    </row>
    <row r="71">
      <c r="A71" s="4" t="inlineStr">
        <is>
          <t>NOPAT = EBIT × (1 − tax rate)</t>
        </is>
      </c>
      <c r="B71" s="32">
        <f>'Inputs'!$B$16*(1-'Inputs'!$B$62)</f>
        <v/>
      </c>
      <c r="C71" s="32">
        <f>'Inputs'!$C$16*(1-'Inputs'!$B$62)</f>
        <v/>
      </c>
      <c r="D71" s="32">
        <f>'Inputs'!$D$16*(1-'Inputs'!$B$62)</f>
        <v/>
      </c>
      <c r="E71" s="32">
        <f>'Inputs'!$E$16*(1-'Inputs'!$B$62)</f>
        <v/>
      </c>
      <c r="F71" s="32">
        <f>'Inputs'!$F$16*(1-'Inputs'!$B$62)</f>
        <v/>
      </c>
      <c r="G71" s="32">
        <f>'Inputs'!$G$16*(1-'Inputs'!$B$62)</f>
        <v/>
      </c>
      <c r="H71" s="32">
        <f>'Inputs'!$H$16*(1-'Inputs'!$B$62)</f>
        <v/>
      </c>
      <c r="I71" s="32">
        <f>'Inputs'!$I$16*(1-'Inputs'!$B$62)</f>
        <v/>
      </c>
      <c r="J71" s="32">
        <f>'Inputs'!$J$16*(1-'Inputs'!$B$62)</f>
        <v/>
      </c>
      <c r="K71" s="32">
        <f>'Inputs'!$K$16*(1-'Inputs'!$B$62)</f>
        <v/>
      </c>
      <c r="L71" s="32">
        <f>'Inputs'!$L$16*(1-'Inputs'!$B$62)</f>
        <v/>
      </c>
      <c r="M71" s="32">
        <f>'Inputs'!$M$16*(1-'Inputs'!$B$62)</f>
        <v/>
      </c>
      <c r="N71" s="32">
        <f>'Inputs'!$N$16*(1-'Inputs'!$B$62)</f>
        <v/>
      </c>
      <c r="O71" s="32">
        <f>'Inputs'!$O$16*(1-'Inputs'!$B$62)</f>
        <v/>
      </c>
      <c r="P71" s="32">
        <f>'Inputs'!$P$16*(1-'Inputs'!$B$62)</f>
        <v/>
      </c>
    </row>
    <row r="72">
      <c r="A72" s="4" t="inlineStr">
        <is>
          <t>Tangible book = equity − goodwill</t>
        </is>
      </c>
      <c r="B72" s="32">
        <f>'Inputs'!$B$42-'Inputs'!$B$29</f>
        <v/>
      </c>
      <c r="C72" s="32">
        <f>'Inputs'!$C$42-'Inputs'!$C$29</f>
        <v/>
      </c>
      <c r="D72" s="32">
        <f>'Inputs'!$D$42-'Inputs'!$D$29</f>
        <v/>
      </c>
      <c r="E72" s="32">
        <f>'Inputs'!$E$42-'Inputs'!$E$29</f>
        <v/>
      </c>
      <c r="F72" s="32">
        <f>'Inputs'!$F$42-'Inputs'!$F$29</f>
        <v/>
      </c>
      <c r="G72" s="32">
        <f>'Inputs'!$G$42-'Inputs'!$G$29</f>
        <v/>
      </c>
      <c r="H72" s="32">
        <f>'Inputs'!$H$42-'Inputs'!$H$29</f>
        <v/>
      </c>
      <c r="I72" s="32">
        <f>'Inputs'!$I$42-'Inputs'!$I$29</f>
        <v/>
      </c>
      <c r="J72" s="32">
        <f>'Inputs'!$J$42-'Inputs'!$J$29</f>
        <v/>
      </c>
      <c r="K72" s="32">
        <f>'Inputs'!$K$42-'Inputs'!$K$29</f>
        <v/>
      </c>
      <c r="L72" s="32">
        <f>'Inputs'!$L$42-'Inputs'!$L$29</f>
        <v/>
      </c>
      <c r="M72" s="32">
        <f>'Inputs'!$M$42-'Inputs'!$M$29</f>
        <v/>
      </c>
      <c r="N72" s="32">
        <f>'Inputs'!$N$42-'Inputs'!$N$29</f>
        <v/>
      </c>
      <c r="O72" s="32">
        <f>'Inputs'!$O$42-'Inputs'!$O$29</f>
        <v/>
      </c>
      <c r="P72" s="32">
        <f>'Inputs'!$P$42-'Inputs'!$P$29</f>
        <v/>
      </c>
    </row>
    <row r="73">
      <c r="A73" s="12" t="inlineStr">
        <is>
          <t>Enterprise value = mkt cap + debt − cash</t>
        </is>
      </c>
      <c r="B73" s="33">
        <f>'Inputs'!$B$54+'Inputs'!$B$66-'Inputs'!$B$23</f>
        <v/>
      </c>
      <c r="C73" s="33">
        <f>'Inputs'!$C$54+'Inputs'!$C$66-'Inputs'!$C$23</f>
        <v/>
      </c>
      <c r="D73" s="33">
        <f>'Inputs'!$D$54+'Inputs'!$D$66-'Inputs'!$D$23</f>
        <v/>
      </c>
      <c r="E73" s="33">
        <f>'Inputs'!$E$54+'Inputs'!$E$66-'Inputs'!$E$23</f>
        <v/>
      </c>
      <c r="F73" s="33">
        <f>'Inputs'!$F$54+'Inputs'!$F$66-'Inputs'!$F$23</f>
        <v/>
      </c>
      <c r="G73" s="33">
        <f>'Inputs'!$G$54+'Inputs'!$G$66-'Inputs'!$G$23</f>
        <v/>
      </c>
      <c r="H73" s="33">
        <f>'Inputs'!$H$54+'Inputs'!$H$66-'Inputs'!$H$23</f>
        <v/>
      </c>
      <c r="I73" s="33">
        <f>'Inputs'!$I$54+'Inputs'!$I$66-'Inputs'!$I$23</f>
        <v/>
      </c>
      <c r="J73" s="33">
        <f>'Inputs'!$J$54+'Inputs'!$J$66-'Inputs'!$J$23</f>
        <v/>
      </c>
      <c r="K73" s="33">
        <f>'Inputs'!$K$54+'Inputs'!$K$66-'Inputs'!$K$23</f>
        <v/>
      </c>
      <c r="L73" s="33">
        <f>'Inputs'!$L$54+'Inputs'!$L$66-'Inputs'!$L$23</f>
        <v/>
      </c>
      <c r="M73" s="33">
        <f>'Inputs'!$M$54+'Inputs'!$M$66-'Inputs'!$M$23</f>
        <v/>
      </c>
      <c r="N73" s="33">
        <f>'Inputs'!$N$54+'Inputs'!$N$66-'Inputs'!$N$23</f>
        <v/>
      </c>
      <c r="O73" s="33">
        <f>'Inputs'!$O$54+'Inputs'!$O$66-'Inputs'!$O$23</f>
        <v/>
      </c>
      <c r="P73" s="33">
        <f>'Inputs'!$P$54+'Inputs'!$P$66-'Inputs'!$P$23</f>
        <v/>
      </c>
    </row>
    <row r="74">
      <c r="A74" s="4" t="inlineStr">
        <is>
          <t>Average equity</t>
        </is>
      </c>
      <c r="B74" s="32" t="n"/>
      <c r="C74" s="32">
        <f>('Inputs'!$B$42+'Inputs'!$C$42)/2</f>
        <v/>
      </c>
      <c r="D74" s="32">
        <f>('Inputs'!$C$42+'Inputs'!$D$42)/2</f>
        <v/>
      </c>
      <c r="E74" s="32">
        <f>('Inputs'!$D$42+'Inputs'!$E$42)/2</f>
        <v/>
      </c>
      <c r="F74" s="32">
        <f>('Inputs'!$E$42+'Inputs'!$F$42)/2</f>
        <v/>
      </c>
      <c r="G74" s="32">
        <f>('Inputs'!$F$42+'Inputs'!$G$42)/2</f>
        <v/>
      </c>
      <c r="H74" s="32">
        <f>('Inputs'!$G$42+'Inputs'!$H$42)/2</f>
        <v/>
      </c>
      <c r="I74" s="32">
        <f>('Inputs'!$H$42+'Inputs'!$I$42)/2</f>
        <v/>
      </c>
      <c r="J74" s="32">
        <f>('Inputs'!$I$42+'Inputs'!$J$42)/2</f>
        <v/>
      </c>
      <c r="K74" s="32">
        <f>('Inputs'!$J$42+'Inputs'!$K$42)/2</f>
        <v/>
      </c>
      <c r="L74" s="32">
        <f>('Inputs'!$K$42+'Inputs'!$L$42)/2</f>
        <v/>
      </c>
      <c r="M74" s="32">
        <f>('Inputs'!$L$42+'Inputs'!$M$42)/2</f>
        <v/>
      </c>
      <c r="N74" s="32">
        <f>('Inputs'!$M$42+'Inputs'!$N$42)/2</f>
        <v/>
      </c>
      <c r="O74" s="32">
        <f>('Inputs'!$N$42+'Inputs'!$O$42)/2</f>
        <v/>
      </c>
      <c r="P74" s="32">
        <f>('Inputs'!$O$42+'Inputs'!$P$42)/2</f>
        <v/>
      </c>
    </row>
    <row r="75">
      <c r="A75" s="4" t="inlineStr">
        <is>
          <t>Average total assets</t>
        </is>
      </c>
      <c r="B75" s="32" t="n"/>
      <c r="C75" s="32">
        <f>('Inputs'!$B$32+'Inputs'!$C$32)/2</f>
        <v/>
      </c>
      <c r="D75" s="32">
        <f>('Inputs'!$C$32+'Inputs'!$D$32)/2</f>
        <v/>
      </c>
      <c r="E75" s="32">
        <f>('Inputs'!$D$32+'Inputs'!$E$32)/2</f>
        <v/>
      </c>
      <c r="F75" s="32">
        <f>('Inputs'!$E$32+'Inputs'!$F$32)/2</f>
        <v/>
      </c>
      <c r="G75" s="32">
        <f>('Inputs'!$F$32+'Inputs'!$G$32)/2</f>
        <v/>
      </c>
      <c r="H75" s="32">
        <f>('Inputs'!$G$32+'Inputs'!$H$32)/2</f>
        <v/>
      </c>
      <c r="I75" s="32">
        <f>('Inputs'!$H$32+'Inputs'!$I$32)/2</f>
        <v/>
      </c>
      <c r="J75" s="32">
        <f>('Inputs'!$I$32+'Inputs'!$J$32)/2</f>
        <v/>
      </c>
      <c r="K75" s="32">
        <f>('Inputs'!$J$32+'Inputs'!$K$32)/2</f>
        <v/>
      </c>
      <c r="L75" s="32">
        <f>('Inputs'!$K$32+'Inputs'!$L$32)/2</f>
        <v/>
      </c>
      <c r="M75" s="32">
        <f>('Inputs'!$L$32+'Inputs'!$M$32)/2</f>
        <v/>
      </c>
      <c r="N75" s="32">
        <f>('Inputs'!$M$32+'Inputs'!$N$32)/2</f>
        <v/>
      </c>
      <c r="O75" s="32">
        <f>('Inputs'!$N$32+'Inputs'!$O$32)/2</f>
        <v/>
      </c>
      <c r="P75" s="32">
        <f>('Inputs'!$O$32+'Inputs'!$P$32)/2</f>
        <v/>
      </c>
    </row>
    <row r="76">
      <c r="A76" s="4" t="inlineStr">
        <is>
          <t>Average receivables</t>
        </is>
      </c>
      <c r="B76" s="32" t="n"/>
      <c r="C76" s="32">
        <f>('Inputs'!$B$24+'Inputs'!$C$24)/2</f>
        <v/>
      </c>
      <c r="D76" s="32">
        <f>('Inputs'!$C$24+'Inputs'!$D$24)/2</f>
        <v/>
      </c>
      <c r="E76" s="32">
        <f>('Inputs'!$D$24+'Inputs'!$E$24)/2</f>
        <v/>
      </c>
      <c r="F76" s="32">
        <f>('Inputs'!$E$24+'Inputs'!$F$24)/2</f>
        <v/>
      </c>
      <c r="G76" s="32">
        <f>('Inputs'!$F$24+'Inputs'!$G$24)/2</f>
        <v/>
      </c>
      <c r="H76" s="32">
        <f>('Inputs'!$G$24+'Inputs'!$H$24)/2</f>
        <v/>
      </c>
      <c r="I76" s="32">
        <f>('Inputs'!$H$24+'Inputs'!$I$24)/2</f>
        <v/>
      </c>
      <c r="J76" s="32">
        <f>('Inputs'!$I$24+'Inputs'!$J$24)/2</f>
        <v/>
      </c>
      <c r="K76" s="32">
        <f>('Inputs'!$J$24+'Inputs'!$K$24)/2</f>
        <v/>
      </c>
      <c r="L76" s="32">
        <f>('Inputs'!$K$24+'Inputs'!$L$24)/2</f>
        <v/>
      </c>
      <c r="M76" s="32">
        <f>('Inputs'!$L$24+'Inputs'!$M$24)/2</f>
        <v/>
      </c>
      <c r="N76" s="32">
        <f>('Inputs'!$M$24+'Inputs'!$N$24)/2</f>
        <v/>
      </c>
      <c r="O76" s="32">
        <f>('Inputs'!$N$24+'Inputs'!$O$24)/2</f>
        <v/>
      </c>
      <c r="P76" s="32">
        <f>('Inputs'!$O$24+'Inputs'!$P$24)/2</f>
        <v/>
      </c>
    </row>
    <row r="77">
      <c r="A77" s="4" t="inlineStr">
        <is>
          <t>Average inventory</t>
        </is>
      </c>
      <c r="B77" s="32" t="n"/>
      <c r="C77" s="32">
        <f>('Inputs'!$B$25+'Inputs'!$C$25)/2</f>
        <v/>
      </c>
      <c r="D77" s="32">
        <f>('Inputs'!$C$25+'Inputs'!$D$25)/2</f>
        <v/>
      </c>
      <c r="E77" s="32">
        <f>('Inputs'!$D$25+'Inputs'!$E$25)/2</f>
        <v/>
      </c>
      <c r="F77" s="32">
        <f>('Inputs'!$E$25+'Inputs'!$F$25)/2</f>
        <v/>
      </c>
      <c r="G77" s="32">
        <f>('Inputs'!$F$25+'Inputs'!$G$25)/2</f>
        <v/>
      </c>
      <c r="H77" s="32">
        <f>('Inputs'!$G$25+'Inputs'!$H$25)/2</f>
        <v/>
      </c>
      <c r="I77" s="32">
        <f>('Inputs'!$H$25+'Inputs'!$I$25)/2</f>
        <v/>
      </c>
      <c r="J77" s="32">
        <f>('Inputs'!$I$25+'Inputs'!$J$25)/2</f>
        <v/>
      </c>
      <c r="K77" s="32">
        <f>('Inputs'!$J$25+'Inputs'!$K$25)/2</f>
        <v/>
      </c>
      <c r="L77" s="32">
        <f>('Inputs'!$K$25+'Inputs'!$L$25)/2</f>
        <v/>
      </c>
      <c r="M77" s="32">
        <f>('Inputs'!$L$25+'Inputs'!$M$25)/2</f>
        <v/>
      </c>
      <c r="N77" s="32">
        <f>('Inputs'!$M$25+'Inputs'!$N$25)/2</f>
        <v/>
      </c>
      <c r="O77" s="32">
        <f>('Inputs'!$N$25+'Inputs'!$O$25)/2</f>
        <v/>
      </c>
      <c r="P77" s="32">
        <f>('Inputs'!$O$25+'Inputs'!$P$25)/2</f>
        <v/>
      </c>
    </row>
    <row r="78">
      <c r="A78" s="4" t="inlineStr">
        <is>
          <t>Average payables</t>
        </is>
      </c>
      <c r="B78" s="32" t="n"/>
      <c r="C78" s="32">
        <f>('Inputs'!$B$34+'Inputs'!$C$34)/2</f>
        <v/>
      </c>
      <c r="D78" s="32">
        <f>('Inputs'!$C$34+'Inputs'!$D$34)/2</f>
        <v/>
      </c>
      <c r="E78" s="32">
        <f>('Inputs'!$D$34+'Inputs'!$E$34)/2</f>
        <v/>
      </c>
      <c r="F78" s="32">
        <f>('Inputs'!$E$34+'Inputs'!$F$34)/2</f>
        <v/>
      </c>
      <c r="G78" s="32">
        <f>('Inputs'!$F$34+'Inputs'!$G$34)/2</f>
        <v/>
      </c>
      <c r="H78" s="32">
        <f>('Inputs'!$G$34+'Inputs'!$H$34)/2</f>
        <v/>
      </c>
      <c r="I78" s="32">
        <f>('Inputs'!$H$34+'Inputs'!$I$34)/2</f>
        <v/>
      </c>
      <c r="J78" s="32">
        <f>('Inputs'!$I$34+'Inputs'!$J$34)/2</f>
        <v/>
      </c>
      <c r="K78" s="32">
        <f>('Inputs'!$J$34+'Inputs'!$K$34)/2</f>
        <v/>
      </c>
      <c r="L78" s="32">
        <f>('Inputs'!$K$34+'Inputs'!$L$34)/2</f>
        <v/>
      </c>
      <c r="M78" s="32">
        <f>('Inputs'!$L$34+'Inputs'!$M$34)/2</f>
        <v/>
      </c>
      <c r="N78" s="32">
        <f>('Inputs'!$M$34+'Inputs'!$N$34)/2</f>
        <v/>
      </c>
      <c r="O78" s="32">
        <f>('Inputs'!$N$34+'Inputs'!$O$34)/2</f>
        <v/>
      </c>
      <c r="P78" s="32">
        <f>('Inputs'!$O$34+'Inputs'!$P$34)/2</f>
        <v/>
      </c>
    </row>
    <row r="79">
      <c r="A79" s="4" t="inlineStr">
        <is>
          <t>Average net PP&amp;E</t>
        </is>
      </c>
      <c r="B79" s="32" t="n"/>
      <c r="C79" s="32">
        <f>('Inputs'!$B$28+'Inputs'!$C$28)/2</f>
        <v/>
      </c>
      <c r="D79" s="32">
        <f>('Inputs'!$C$28+'Inputs'!$D$28)/2</f>
        <v/>
      </c>
      <c r="E79" s="32">
        <f>('Inputs'!$D$28+'Inputs'!$E$28)/2</f>
        <v/>
      </c>
      <c r="F79" s="32">
        <f>('Inputs'!$E$28+'Inputs'!$F$28)/2</f>
        <v/>
      </c>
      <c r="G79" s="32">
        <f>('Inputs'!$F$28+'Inputs'!$G$28)/2</f>
        <v/>
      </c>
      <c r="H79" s="32">
        <f>('Inputs'!$G$28+'Inputs'!$H$28)/2</f>
        <v/>
      </c>
      <c r="I79" s="32">
        <f>('Inputs'!$H$28+'Inputs'!$I$28)/2</f>
        <v/>
      </c>
      <c r="J79" s="32">
        <f>('Inputs'!$I$28+'Inputs'!$J$28)/2</f>
        <v/>
      </c>
      <c r="K79" s="32">
        <f>('Inputs'!$J$28+'Inputs'!$K$28)/2</f>
        <v/>
      </c>
      <c r="L79" s="32">
        <f>('Inputs'!$K$28+'Inputs'!$L$28)/2</f>
        <v/>
      </c>
      <c r="M79" s="32">
        <f>('Inputs'!$L$28+'Inputs'!$M$28)/2</f>
        <v/>
      </c>
      <c r="N79" s="32">
        <f>('Inputs'!$M$28+'Inputs'!$N$28)/2</f>
        <v/>
      </c>
      <c r="O79" s="32">
        <f>('Inputs'!$N$28+'Inputs'!$O$28)/2</f>
        <v/>
      </c>
      <c r="P79" s="32">
        <f>('Inputs'!$O$28+'Inputs'!$P$28)/2</f>
        <v/>
      </c>
    </row>
    <row r="80">
      <c r="A80" s="4" t="inlineStr">
        <is>
          <t>Average invested capital</t>
        </is>
      </c>
      <c r="B80" s="32" t="n"/>
      <c r="C80" s="32">
        <f>('Inputs'!$B$70+'Inputs'!$C$70)/2</f>
        <v/>
      </c>
      <c r="D80" s="32">
        <f>('Inputs'!$C$70+'Inputs'!$D$70)/2</f>
        <v/>
      </c>
      <c r="E80" s="32">
        <f>('Inputs'!$D$70+'Inputs'!$E$70)/2</f>
        <v/>
      </c>
      <c r="F80" s="32">
        <f>('Inputs'!$E$70+'Inputs'!$F$70)/2</f>
        <v/>
      </c>
      <c r="G80" s="32">
        <f>('Inputs'!$F$70+'Inputs'!$G$70)/2</f>
        <v/>
      </c>
      <c r="H80" s="32">
        <f>('Inputs'!$G$70+'Inputs'!$H$70)/2</f>
        <v/>
      </c>
      <c r="I80" s="32">
        <f>('Inputs'!$H$70+'Inputs'!$I$70)/2</f>
        <v/>
      </c>
      <c r="J80" s="32">
        <f>('Inputs'!$I$70+'Inputs'!$J$70)/2</f>
        <v/>
      </c>
      <c r="K80" s="32">
        <f>('Inputs'!$J$70+'Inputs'!$K$70)/2</f>
        <v/>
      </c>
      <c r="L80" s="32">
        <f>('Inputs'!$K$70+'Inputs'!$L$70)/2</f>
        <v/>
      </c>
      <c r="M80" s="32">
        <f>('Inputs'!$L$70+'Inputs'!$M$70)/2</f>
        <v/>
      </c>
      <c r="N80" s="32">
        <f>('Inputs'!$M$70+'Inputs'!$N$70)/2</f>
        <v/>
      </c>
      <c r="O80" s="32">
        <f>('Inputs'!$N$70+'Inputs'!$O$70)/2</f>
        <v/>
      </c>
      <c r="P80" s="32">
        <f>('Inputs'!$O$70+'Inputs'!$P$70)/2</f>
        <v/>
      </c>
    </row>
    <row r="82">
      <c r="A82" s="12" t="inlineStr">
        <is>
          <t>WACC (latest-year market-value weights)</t>
        </is>
      </c>
      <c r="B82" s="23">
        <f>IFERROR(('Inputs'!$K$54*'Inputs'!$B$63+'Inputs'!$K$66*'Inputs'!$B$64)/('Inputs'!$K$54+'Inputs'!$K$66),'Inputs'!$B$63)</f>
        <v/>
      </c>
      <c r="C82" s="14" t="inlineStr">
        <is>
          <t>WACC = We·Ke + Wd·Kd(1−t)</t>
        </is>
      </c>
    </row>
  </sheetData>
  <mergeCells count="12">
    <mergeCell ref="A51:P51"/>
    <mergeCell ref="A33:P33"/>
    <mergeCell ref="C82:P82"/>
    <mergeCell ref="A1:P1"/>
    <mergeCell ref="A45:P45"/>
    <mergeCell ref="A9:P9"/>
    <mergeCell ref="A22:P22"/>
    <mergeCell ref="A3:P3"/>
    <mergeCell ref="A7:P7"/>
    <mergeCell ref="A65:P65"/>
    <mergeCell ref="A57:P57"/>
    <mergeCell ref="A2:P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41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COMMON SIZE &amp; TREND ANALYSIS</t>
        </is>
      </c>
    </row>
    <row r="2">
      <c r="A2" s="2" t="inlineStr">
        <is>
          <t>Income statement vs revenue, balance sheet vs assets, indexed trend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Line item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Income Statement — Common Size (% of revenue)</t>
        </is>
      </c>
    </row>
    <row r="10">
      <c r="A10" s="4" t="inlineStr">
        <is>
          <t>Revenue</t>
        </is>
      </c>
      <c r="B10" s="23">
        <f>IFERROR('Inputs'!$B$10/'Inputs'!$B$10,"")</f>
        <v/>
      </c>
      <c r="C10" s="23">
        <f>IFERROR('Inputs'!$C$10/'Inputs'!$C$10,"")</f>
        <v/>
      </c>
      <c r="D10" s="23">
        <f>IFERROR('Inputs'!$D$10/'Inputs'!$D$10,"")</f>
        <v/>
      </c>
      <c r="E10" s="23">
        <f>IFERROR('Inputs'!$E$10/'Inputs'!$E$10,"")</f>
        <v/>
      </c>
      <c r="F10" s="23">
        <f>IFERROR('Inputs'!$F$10/'Inputs'!$F$10,"")</f>
        <v/>
      </c>
      <c r="G10" s="23">
        <f>IFERROR('Inputs'!$G$10/'Inputs'!$G$10,"")</f>
        <v/>
      </c>
      <c r="H10" s="23">
        <f>IFERROR('Inputs'!$H$10/'Inputs'!$H$10,"")</f>
        <v/>
      </c>
      <c r="I10" s="23">
        <f>IFERROR('Inputs'!$I$10/'Inputs'!$I$10,"")</f>
        <v/>
      </c>
      <c r="J10" s="23">
        <f>IFERROR('Inputs'!$J$10/'Inputs'!$J$10,"")</f>
        <v/>
      </c>
      <c r="K10" s="23">
        <f>IFERROR('Inputs'!$K$10/'Inputs'!$K$10,"")</f>
        <v/>
      </c>
      <c r="L10" s="23">
        <f>IFERROR('Inputs'!$L$10/'Inputs'!$L$10,"")</f>
        <v/>
      </c>
      <c r="M10" s="23">
        <f>IFERROR('Inputs'!$M$10/'Inputs'!$M$10,"")</f>
        <v/>
      </c>
      <c r="N10" s="23">
        <f>IFERROR('Inputs'!$N$10/'Inputs'!$N$10,"")</f>
        <v/>
      </c>
      <c r="O10" s="23">
        <f>IFERROR('Inputs'!$O$10/'Inputs'!$O$10,"")</f>
        <v/>
      </c>
      <c r="P10" s="23">
        <f>IFERROR('Inputs'!$P$10/'Inputs'!$P$10,"")</f>
        <v/>
      </c>
    </row>
    <row r="11">
      <c r="A11" s="4" t="inlineStr">
        <is>
          <t>Cost of goods sold</t>
        </is>
      </c>
      <c r="B11" s="23">
        <f>IFERROR('Inputs'!$B$11/'Inputs'!$B$10,"")</f>
        <v/>
      </c>
      <c r="C11" s="23">
        <f>IFERROR('Inputs'!$C$11/'Inputs'!$C$10,"")</f>
        <v/>
      </c>
      <c r="D11" s="23">
        <f>IFERROR('Inputs'!$D$11/'Inputs'!$D$10,"")</f>
        <v/>
      </c>
      <c r="E11" s="23">
        <f>IFERROR('Inputs'!$E$11/'Inputs'!$E$10,"")</f>
        <v/>
      </c>
      <c r="F11" s="23">
        <f>IFERROR('Inputs'!$F$11/'Inputs'!$F$10,"")</f>
        <v/>
      </c>
      <c r="G11" s="23">
        <f>IFERROR('Inputs'!$G$11/'Inputs'!$G$10,"")</f>
        <v/>
      </c>
      <c r="H11" s="23">
        <f>IFERROR('Inputs'!$H$11/'Inputs'!$H$10,"")</f>
        <v/>
      </c>
      <c r="I11" s="23">
        <f>IFERROR('Inputs'!$I$11/'Inputs'!$I$10,"")</f>
        <v/>
      </c>
      <c r="J11" s="23">
        <f>IFERROR('Inputs'!$J$11/'Inputs'!$J$10,"")</f>
        <v/>
      </c>
      <c r="K11" s="23">
        <f>IFERROR('Inputs'!$K$11/'Inputs'!$K$10,"")</f>
        <v/>
      </c>
      <c r="L11" s="23">
        <f>IFERROR('Inputs'!$L$11/'Inputs'!$L$10,"")</f>
        <v/>
      </c>
      <c r="M11" s="23">
        <f>IFERROR('Inputs'!$M$11/'Inputs'!$M$10,"")</f>
        <v/>
      </c>
      <c r="N11" s="23">
        <f>IFERROR('Inputs'!$N$11/'Inputs'!$N$10,"")</f>
        <v/>
      </c>
      <c r="O11" s="23">
        <f>IFERROR('Inputs'!$O$11/'Inputs'!$O$10,"")</f>
        <v/>
      </c>
      <c r="P11" s="23">
        <f>IFERROR('Inputs'!$P$11/'Inputs'!$P$10,"")</f>
        <v/>
      </c>
    </row>
    <row r="12">
      <c r="A12" s="12" t="inlineStr">
        <is>
          <t>Gross profit</t>
        </is>
      </c>
      <c r="B12" s="23">
        <f>IFERROR('Inputs'!$B$12/'Inputs'!$B$10,"")</f>
        <v/>
      </c>
      <c r="C12" s="23">
        <f>IFERROR('Inputs'!$C$12/'Inputs'!$C$10,"")</f>
        <v/>
      </c>
      <c r="D12" s="23">
        <f>IFERROR('Inputs'!$D$12/'Inputs'!$D$10,"")</f>
        <v/>
      </c>
      <c r="E12" s="23">
        <f>IFERROR('Inputs'!$E$12/'Inputs'!$E$10,"")</f>
        <v/>
      </c>
      <c r="F12" s="23">
        <f>IFERROR('Inputs'!$F$12/'Inputs'!$F$10,"")</f>
        <v/>
      </c>
      <c r="G12" s="23">
        <f>IFERROR('Inputs'!$G$12/'Inputs'!$G$10,"")</f>
        <v/>
      </c>
      <c r="H12" s="23">
        <f>IFERROR('Inputs'!$H$12/'Inputs'!$H$10,"")</f>
        <v/>
      </c>
      <c r="I12" s="23">
        <f>IFERROR('Inputs'!$I$12/'Inputs'!$I$10,"")</f>
        <v/>
      </c>
      <c r="J12" s="23">
        <f>IFERROR('Inputs'!$J$12/'Inputs'!$J$10,"")</f>
        <v/>
      </c>
      <c r="K12" s="23">
        <f>IFERROR('Inputs'!$K$12/'Inputs'!$K$10,"")</f>
        <v/>
      </c>
      <c r="L12" s="23">
        <f>IFERROR('Inputs'!$L$12/'Inputs'!$L$10,"")</f>
        <v/>
      </c>
      <c r="M12" s="23">
        <f>IFERROR('Inputs'!$M$12/'Inputs'!$M$10,"")</f>
        <v/>
      </c>
      <c r="N12" s="23">
        <f>IFERROR('Inputs'!$N$12/'Inputs'!$N$10,"")</f>
        <v/>
      </c>
      <c r="O12" s="23">
        <f>IFERROR('Inputs'!$O$12/'Inputs'!$O$10,"")</f>
        <v/>
      </c>
      <c r="P12" s="23">
        <f>IFERROR('Inputs'!$P$12/'Inputs'!$P$10,"")</f>
        <v/>
      </c>
    </row>
    <row r="13">
      <c r="A13" s="4" t="inlineStr">
        <is>
          <t>Operating expenses</t>
        </is>
      </c>
      <c r="B13" s="23">
        <f>IFERROR('Inputs'!$B$13/'Inputs'!$B$10,"")</f>
        <v/>
      </c>
      <c r="C13" s="23">
        <f>IFERROR('Inputs'!$C$13/'Inputs'!$C$10,"")</f>
        <v/>
      </c>
      <c r="D13" s="23">
        <f>IFERROR('Inputs'!$D$13/'Inputs'!$D$10,"")</f>
        <v/>
      </c>
      <c r="E13" s="23">
        <f>IFERROR('Inputs'!$E$13/'Inputs'!$E$10,"")</f>
        <v/>
      </c>
      <c r="F13" s="23">
        <f>IFERROR('Inputs'!$F$13/'Inputs'!$F$10,"")</f>
        <v/>
      </c>
      <c r="G13" s="23">
        <f>IFERROR('Inputs'!$G$13/'Inputs'!$G$10,"")</f>
        <v/>
      </c>
      <c r="H13" s="23">
        <f>IFERROR('Inputs'!$H$13/'Inputs'!$H$10,"")</f>
        <v/>
      </c>
      <c r="I13" s="23">
        <f>IFERROR('Inputs'!$I$13/'Inputs'!$I$10,"")</f>
        <v/>
      </c>
      <c r="J13" s="23">
        <f>IFERROR('Inputs'!$J$13/'Inputs'!$J$10,"")</f>
        <v/>
      </c>
      <c r="K13" s="23">
        <f>IFERROR('Inputs'!$K$13/'Inputs'!$K$10,"")</f>
        <v/>
      </c>
      <c r="L13" s="23">
        <f>IFERROR('Inputs'!$L$13/'Inputs'!$L$10,"")</f>
        <v/>
      </c>
      <c r="M13" s="23">
        <f>IFERROR('Inputs'!$M$13/'Inputs'!$M$10,"")</f>
        <v/>
      </c>
      <c r="N13" s="23">
        <f>IFERROR('Inputs'!$N$13/'Inputs'!$N$10,"")</f>
        <v/>
      </c>
      <c r="O13" s="23">
        <f>IFERROR('Inputs'!$O$13/'Inputs'!$O$10,"")</f>
        <v/>
      </c>
      <c r="P13" s="23">
        <f>IFERROR('Inputs'!$P$13/'Inputs'!$P$10,"")</f>
        <v/>
      </c>
    </row>
    <row r="14">
      <c r="A14" s="12" t="inlineStr">
        <is>
          <t>EBITDA</t>
        </is>
      </c>
      <c r="B14" s="23">
        <f>IFERROR('Inputs'!$B$14/'Inputs'!$B$10,"")</f>
        <v/>
      </c>
      <c r="C14" s="23">
        <f>IFERROR('Inputs'!$C$14/'Inputs'!$C$10,"")</f>
        <v/>
      </c>
      <c r="D14" s="23">
        <f>IFERROR('Inputs'!$D$14/'Inputs'!$D$10,"")</f>
        <v/>
      </c>
      <c r="E14" s="23">
        <f>IFERROR('Inputs'!$E$14/'Inputs'!$E$10,"")</f>
        <v/>
      </c>
      <c r="F14" s="23">
        <f>IFERROR('Inputs'!$F$14/'Inputs'!$F$10,"")</f>
        <v/>
      </c>
      <c r="G14" s="23">
        <f>IFERROR('Inputs'!$G$14/'Inputs'!$G$10,"")</f>
        <v/>
      </c>
      <c r="H14" s="23">
        <f>IFERROR('Inputs'!$H$14/'Inputs'!$H$10,"")</f>
        <v/>
      </c>
      <c r="I14" s="23">
        <f>IFERROR('Inputs'!$I$14/'Inputs'!$I$10,"")</f>
        <v/>
      </c>
      <c r="J14" s="23">
        <f>IFERROR('Inputs'!$J$14/'Inputs'!$J$10,"")</f>
        <v/>
      </c>
      <c r="K14" s="23">
        <f>IFERROR('Inputs'!$K$14/'Inputs'!$K$10,"")</f>
        <v/>
      </c>
      <c r="L14" s="23">
        <f>IFERROR('Inputs'!$L$14/'Inputs'!$L$10,"")</f>
        <v/>
      </c>
      <c r="M14" s="23">
        <f>IFERROR('Inputs'!$M$14/'Inputs'!$M$10,"")</f>
        <v/>
      </c>
      <c r="N14" s="23">
        <f>IFERROR('Inputs'!$N$14/'Inputs'!$N$10,"")</f>
        <v/>
      </c>
      <c r="O14" s="23">
        <f>IFERROR('Inputs'!$O$14/'Inputs'!$O$10,"")</f>
        <v/>
      </c>
      <c r="P14" s="23">
        <f>IFERROR('Inputs'!$P$14/'Inputs'!$P$10,"")</f>
        <v/>
      </c>
    </row>
    <row r="15">
      <c r="A15" s="4" t="inlineStr">
        <is>
          <t>Depreciation</t>
        </is>
      </c>
      <c r="B15" s="23">
        <f>IFERROR('Inputs'!$B$15/'Inputs'!$B$10,"")</f>
        <v/>
      </c>
      <c r="C15" s="23">
        <f>IFERROR('Inputs'!$C$15/'Inputs'!$C$10,"")</f>
        <v/>
      </c>
      <c r="D15" s="23">
        <f>IFERROR('Inputs'!$D$15/'Inputs'!$D$10,"")</f>
        <v/>
      </c>
      <c r="E15" s="23">
        <f>IFERROR('Inputs'!$E$15/'Inputs'!$E$10,"")</f>
        <v/>
      </c>
      <c r="F15" s="23">
        <f>IFERROR('Inputs'!$F$15/'Inputs'!$F$10,"")</f>
        <v/>
      </c>
      <c r="G15" s="23">
        <f>IFERROR('Inputs'!$G$15/'Inputs'!$G$10,"")</f>
        <v/>
      </c>
      <c r="H15" s="23">
        <f>IFERROR('Inputs'!$H$15/'Inputs'!$H$10,"")</f>
        <v/>
      </c>
      <c r="I15" s="23">
        <f>IFERROR('Inputs'!$I$15/'Inputs'!$I$10,"")</f>
        <v/>
      </c>
      <c r="J15" s="23">
        <f>IFERROR('Inputs'!$J$15/'Inputs'!$J$10,"")</f>
        <v/>
      </c>
      <c r="K15" s="23">
        <f>IFERROR('Inputs'!$K$15/'Inputs'!$K$10,"")</f>
        <v/>
      </c>
      <c r="L15" s="23">
        <f>IFERROR('Inputs'!$L$15/'Inputs'!$L$10,"")</f>
        <v/>
      </c>
      <c r="M15" s="23">
        <f>IFERROR('Inputs'!$M$15/'Inputs'!$M$10,"")</f>
        <v/>
      </c>
      <c r="N15" s="23">
        <f>IFERROR('Inputs'!$N$15/'Inputs'!$N$10,"")</f>
        <v/>
      </c>
      <c r="O15" s="23">
        <f>IFERROR('Inputs'!$O$15/'Inputs'!$O$10,"")</f>
        <v/>
      </c>
      <c r="P15" s="23">
        <f>IFERROR('Inputs'!$P$15/'Inputs'!$P$10,"")</f>
        <v/>
      </c>
    </row>
    <row r="16">
      <c r="A16" s="12" t="inlineStr">
        <is>
          <t>EBIT</t>
        </is>
      </c>
      <c r="B16" s="23">
        <f>IFERROR('Inputs'!$B$16/'Inputs'!$B$10,"")</f>
        <v/>
      </c>
      <c r="C16" s="23">
        <f>IFERROR('Inputs'!$C$16/'Inputs'!$C$10,"")</f>
        <v/>
      </c>
      <c r="D16" s="23">
        <f>IFERROR('Inputs'!$D$16/'Inputs'!$D$10,"")</f>
        <v/>
      </c>
      <c r="E16" s="23">
        <f>IFERROR('Inputs'!$E$16/'Inputs'!$E$10,"")</f>
        <v/>
      </c>
      <c r="F16" s="23">
        <f>IFERROR('Inputs'!$F$16/'Inputs'!$F$10,"")</f>
        <v/>
      </c>
      <c r="G16" s="23">
        <f>IFERROR('Inputs'!$G$16/'Inputs'!$G$10,"")</f>
        <v/>
      </c>
      <c r="H16" s="23">
        <f>IFERROR('Inputs'!$H$16/'Inputs'!$H$10,"")</f>
        <v/>
      </c>
      <c r="I16" s="23">
        <f>IFERROR('Inputs'!$I$16/'Inputs'!$I$10,"")</f>
        <v/>
      </c>
      <c r="J16" s="23">
        <f>IFERROR('Inputs'!$J$16/'Inputs'!$J$10,"")</f>
        <v/>
      </c>
      <c r="K16" s="23">
        <f>IFERROR('Inputs'!$K$16/'Inputs'!$K$10,"")</f>
        <v/>
      </c>
      <c r="L16" s="23">
        <f>IFERROR('Inputs'!$L$16/'Inputs'!$L$10,"")</f>
        <v/>
      </c>
      <c r="M16" s="23">
        <f>IFERROR('Inputs'!$M$16/'Inputs'!$M$10,"")</f>
        <v/>
      </c>
      <c r="N16" s="23">
        <f>IFERROR('Inputs'!$N$16/'Inputs'!$N$10,"")</f>
        <v/>
      </c>
      <c r="O16" s="23">
        <f>IFERROR('Inputs'!$O$16/'Inputs'!$O$10,"")</f>
        <v/>
      </c>
      <c r="P16" s="23">
        <f>IFERROR('Inputs'!$P$16/'Inputs'!$P$10,"")</f>
        <v/>
      </c>
    </row>
    <row r="17">
      <c r="A17" s="4" t="inlineStr">
        <is>
          <t>Interest expense</t>
        </is>
      </c>
      <c r="B17" s="23">
        <f>IFERROR('Inputs'!$B$17/'Inputs'!$B$10,"")</f>
        <v/>
      </c>
      <c r="C17" s="23">
        <f>IFERROR('Inputs'!$C$17/'Inputs'!$C$10,"")</f>
        <v/>
      </c>
      <c r="D17" s="23">
        <f>IFERROR('Inputs'!$D$17/'Inputs'!$D$10,"")</f>
        <v/>
      </c>
      <c r="E17" s="23">
        <f>IFERROR('Inputs'!$E$17/'Inputs'!$E$10,"")</f>
        <v/>
      </c>
      <c r="F17" s="23">
        <f>IFERROR('Inputs'!$F$17/'Inputs'!$F$10,"")</f>
        <v/>
      </c>
      <c r="G17" s="23">
        <f>IFERROR('Inputs'!$G$17/'Inputs'!$G$10,"")</f>
        <v/>
      </c>
      <c r="H17" s="23">
        <f>IFERROR('Inputs'!$H$17/'Inputs'!$H$10,"")</f>
        <v/>
      </c>
      <c r="I17" s="23">
        <f>IFERROR('Inputs'!$I$17/'Inputs'!$I$10,"")</f>
        <v/>
      </c>
      <c r="J17" s="23">
        <f>IFERROR('Inputs'!$J$17/'Inputs'!$J$10,"")</f>
        <v/>
      </c>
      <c r="K17" s="23">
        <f>IFERROR('Inputs'!$K$17/'Inputs'!$K$10,"")</f>
        <v/>
      </c>
      <c r="L17" s="23">
        <f>IFERROR('Inputs'!$L$17/'Inputs'!$L$10,"")</f>
        <v/>
      </c>
      <c r="M17" s="23">
        <f>IFERROR('Inputs'!$M$17/'Inputs'!$M$10,"")</f>
        <v/>
      </c>
      <c r="N17" s="23">
        <f>IFERROR('Inputs'!$N$17/'Inputs'!$N$10,"")</f>
        <v/>
      </c>
      <c r="O17" s="23">
        <f>IFERROR('Inputs'!$O$17/'Inputs'!$O$10,"")</f>
        <v/>
      </c>
      <c r="P17" s="23">
        <f>IFERROR('Inputs'!$P$17/'Inputs'!$P$10,"")</f>
        <v/>
      </c>
    </row>
    <row r="18">
      <c r="A18" s="4" t="inlineStr">
        <is>
          <t>Pre-tax income</t>
        </is>
      </c>
      <c r="B18" s="23">
        <f>IFERROR('Inputs'!$B$19/'Inputs'!$B$10,"")</f>
        <v/>
      </c>
      <c r="C18" s="23">
        <f>IFERROR('Inputs'!$C$19/'Inputs'!$C$10,"")</f>
        <v/>
      </c>
      <c r="D18" s="23">
        <f>IFERROR('Inputs'!$D$19/'Inputs'!$D$10,"")</f>
        <v/>
      </c>
      <c r="E18" s="23">
        <f>IFERROR('Inputs'!$E$19/'Inputs'!$E$10,"")</f>
        <v/>
      </c>
      <c r="F18" s="23">
        <f>IFERROR('Inputs'!$F$19/'Inputs'!$F$10,"")</f>
        <v/>
      </c>
      <c r="G18" s="23">
        <f>IFERROR('Inputs'!$G$19/'Inputs'!$G$10,"")</f>
        <v/>
      </c>
      <c r="H18" s="23">
        <f>IFERROR('Inputs'!$H$19/'Inputs'!$H$10,"")</f>
        <v/>
      </c>
      <c r="I18" s="23">
        <f>IFERROR('Inputs'!$I$19/'Inputs'!$I$10,"")</f>
        <v/>
      </c>
      <c r="J18" s="23">
        <f>IFERROR('Inputs'!$J$19/'Inputs'!$J$10,"")</f>
        <v/>
      </c>
      <c r="K18" s="23">
        <f>IFERROR('Inputs'!$K$19/'Inputs'!$K$10,"")</f>
        <v/>
      </c>
      <c r="L18" s="23">
        <f>IFERROR('Inputs'!$L$19/'Inputs'!$L$10,"")</f>
        <v/>
      </c>
      <c r="M18" s="23">
        <f>IFERROR('Inputs'!$M$19/'Inputs'!$M$10,"")</f>
        <v/>
      </c>
      <c r="N18" s="23">
        <f>IFERROR('Inputs'!$N$19/'Inputs'!$N$10,"")</f>
        <v/>
      </c>
      <c r="O18" s="23">
        <f>IFERROR('Inputs'!$O$19/'Inputs'!$O$10,"")</f>
        <v/>
      </c>
      <c r="P18" s="23">
        <f>IFERROR('Inputs'!$P$19/'Inputs'!$P$10,"")</f>
        <v/>
      </c>
    </row>
    <row r="19">
      <c r="A19" s="4" t="inlineStr">
        <is>
          <t>Income tax</t>
        </is>
      </c>
      <c r="B19" s="23">
        <f>IFERROR('Inputs'!$B$20/'Inputs'!$B$10,"")</f>
        <v/>
      </c>
      <c r="C19" s="23">
        <f>IFERROR('Inputs'!$C$20/'Inputs'!$C$10,"")</f>
        <v/>
      </c>
      <c r="D19" s="23">
        <f>IFERROR('Inputs'!$D$20/'Inputs'!$D$10,"")</f>
        <v/>
      </c>
      <c r="E19" s="23">
        <f>IFERROR('Inputs'!$E$20/'Inputs'!$E$10,"")</f>
        <v/>
      </c>
      <c r="F19" s="23">
        <f>IFERROR('Inputs'!$F$20/'Inputs'!$F$10,"")</f>
        <v/>
      </c>
      <c r="G19" s="23">
        <f>IFERROR('Inputs'!$G$20/'Inputs'!$G$10,"")</f>
        <v/>
      </c>
      <c r="H19" s="23">
        <f>IFERROR('Inputs'!$H$20/'Inputs'!$H$10,"")</f>
        <v/>
      </c>
      <c r="I19" s="23">
        <f>IFERROR('Inputs'!$I$20/'Inputs'!$I$10,"")</f>
        <v/>
      </c>
      <c r="J19" s="23">
        <f>IFERROR('Inputs'!$J$20/'Inputs'!$J$10,"")</f>
        <v/>
      </c>
      <c r="K19" s="23">
        <f>IFERROR('Inputs'!$K$20/'Inputs'!$K$10,"")</f>
        <v/>
      </c>
      <c r="L19" s="23">
        <f>IFERROR('Inputs'!$L$20/'Inputs'!$L$10,"")</f>
        <v/>
      </c>
      <c r="M19" s="23">
        <f>IFERROR('Inputs'!$M$20/'Inputs'!$M$10,"")</f>
        <v/>
      </c>
      <c r="N19" s="23">
        <f>IFERROR('Inputs'!$N$20/'Inputs'!$N$10,"")</f>
        <v/>
      </c>
      <c r="O19" s="23">
        <f>IFERROR('Inputs'!$O$20/'Inputs'!$O$10,"")</f>
        <v/>
      </c>
      <c r="P19" s="23">
        <f>IFERROR('Inputs'!$P$20/'Inputs'!$P$10,"")</f>
        <v/>
      </c>
    </row>
    <row r="20">
      <c r="A20" s="12" t="inlineStr">
        <is>
          <t>Net income</t>
        </is>
      </c>
      <c r="B20" s="23">
        <f>IFERROR('Inputs'!$B$21/'Inputs'!$B$10,"")</f>
        <v/>
      </c>
      <c r="C20" s="23">
        <f>IFERROR('Inputs'!$C$21/'Inputs'!$C$10,"")</f>
        <v/>
      </c>
      <c r="D20" s="23">
        <f>IFERROR('Inputs'!$D$21/'Inputs'!$D$10,"")</f>
        <v/>
      </c>
      <c r="E20" s="23">
        <f>IFERROR('Inputs'!$E$21/'Inputs'!$E$10,"")</f>
        <v/>
      </c>
      <c r="F20" s="23">
        <f>IFERROR('Inputs'!$F$21/'Inputs'!$F$10,"")</f>
        <v/>
      </c>
      <c r="G20" s="23">
        <f>IFERROR('Inputs'!$G$21/'Inputs'!$G$10,"")</f>
        <v/>
      </c>
      <c r="H20" s="23">
        <f>IFERROR('Inputs'!$H$21/'Inputs'!$H$10,"")</f>
        <v/>
      </c>
      <c r="I20" s="23">
        <f>IFERROR('Inputs'!$I$21/'Inputs'!$I$10,"")</f>
        <v/>
      </c>
      <c r="J20" s="23">
        <f>IFERROR('Inputs'!$J$21/'Inputs'!$J$10,"")</f>
        <v/>
      </c>
      <c r="K20" s="23">
        <f>IFERROR('Inputs'!$K$21/'Inputs'!$K$10,"")</f>
        <v/>
      </c>
      <c r="L20" s="23">
        <f>IFERROR('Inputs'!$L$21/'Inputs'!$L$10,"")</f>
        <v/>
      </c>
      <c r="M20" s="23">
        <f>IFERROR('Inputs'!$M$21/'Inputs'!$M$10,"")</f>
        <v/>
      </c>
      <c r="N20" s="23">
        <f>IFERROR('Inputs'!$N$21/'Inputs'!$N$10,"")</f>
        <v/>
      </c>
      <c r="O20" s="23">
        <f>IFERROR('Inputs'!$O$21/'Inputs'!$O$10,"")</f>
        <v/>
      </c>
      <c r="P20" s="23">
        <f>IFERROR('Inputs'!$P$21/'Inputs'!$P$10,"")</f>
        <v/>
      </c>
    </row>
    <row r="22" ht="20" customHeight="1">
      <c r="A22" s="3" t="inlineStr">
        <is>
          <t>Balance Sheet — Common Size (% of total assets)</t>
        </is>
      </c>
    </row>
    <row r="23">
      <c r="A23" s="4" t="inlineStr">
        <is>
          <t>Cash &amp; equivalents</t>
        </is>
      </c>
      <c r="B23" s="23">
        <f>IFERROR('Inputs'!$B$23/'Inputs'!$B$32,"")</f>
        <v/>
      </c>
      <c r="C23" s="23">
        <f>IFERROR('Inputs'!$C$23/'Inputs'!$C$32,"")</f>
        <v/>
      </c>
      <c r="D23" s="23">
        <f>IFERROR('Inputs'!$D$23/'Inputs'!$D$32,"")</f>
        <v/>
      </c>
      <c r="E23" s="23">
        <f>IFERROR('Inputs'!$E$23/'Inputs'!$E$32,"")</f>
        <v/>
      </c>
      <c r="F23" s="23">
        <f>IFERROR('Inputs'!$F$23/'Inputs'!$F$32,"")</f>
        <v/>
      </c>
      <c r="G23" s="23">
        <f>IFERROR('Inputs'!$G$23/'Inputs'!$G$32,"")</f>
        <v/>
      </c>
      <c r="H23" s="23">
        <f>IFERROR('Inputs'!$H$23/'Inputs'!$H$32,"")</f>
        <v/>
      </c>
      <c r="I23" s="23">
        <f>IFERROR('Inputs'!$I$23/'Inputs'!$I$32,"")</f>
        <v/>
      </c>
      <c r="J23" s="23">
        <f>IFERROR('Inputs'!$J$23/'Inputs'!$J$32,"")</f>
        <v/>
      </c>
      <c r="K23" s="23">
        <f>IFERROR('Inputs'!$K$23/'Inputs'!$K$32,"")</f>
        <v/>
      </c>
      <c r="L23" s="23">
        <f>IFERROR('Inputs'!$L$23/'Inputs'!$L$32,"")</f>
        <v/>
      </c>
      <c r="M23" s="23">
        <f>IFERROR('Inputs'!$M$23/'Inputs'!$M$32,"")</f>
        <v/>
      </c>
      <c r="N23" s="23">
        <f>IFERROR('Inputs'!$N$23/'Inputs'!$N$32,"")</f>
        <v/>
      </c>
      <c r="O23" s="23">
        <f>IFERROR('Inputs'!$O$23/'Inputs'!$O$32,"")</f>
        <v/>
      </c>
      <c r="P23" s="23">
        <f>IFERROR('Inputs'!$P$23/'Inputs'!$P$32,"")</f>
        <v/>
      </c>
    </row>
    <row r="24">
      <c r="A24" s="4" t="inlineStr">
        <is>
          <t>Receivables</t>
        </is>
      </c>
      <c r="B24" s="23">
        <f>IFERROR('Inputs'!$B$24/'Inputs'!$B$32,"")</f>
        <v/>
      </c>
      <c r="C24" s="23">
        <f>IFERROR('Inputs'!$C$24/'Inputs'!$C$32,"")</f>
        <v/>
      </c>
      <c r="D24" s="23">
        <f>IFERROR('Inputs'!$D$24/'Inputs'!$D$32,"")</f>
        <v/>
      </c>
      <c r="E24" s="23">
        <f>IFERROR('Inputs'!$E$24/'Inputs'!$E$32,"")</f>
        <v/>
      </c>
      <c r="F24" s="23">
        <f>IFERROR('Inputs'!$F$24/'Inputs'!$F$32,"")</f>
        <v/>
      </c>
      <c r="G24" s="23">
        <f>IFERROR('Inputs'!$G$24/'Inputs'!$G$32,"")</f>
        <v/>
      </c>
      <c r="H24" s="23">
        <f>IFERROR('Inputs'!$H$24/'Inputs'!$H$32,"")</f>
        <v/>
      </c>
      <c r="I24" s="23">
        <f>IFERROR('Inputs'!$I$24/'Inputs'!$I$32,"")</f>
        <v/>
      </c>
      <c r="J24" s="23">
        <f>IFERROR('Inputs'!$J$24/'Inputs'!$J$32,"")</f>
        <v/>
      </c>
      <c r="K24" s="23">
        <f>IFERROR('Inputs'!$K$24/'Inputs'!$K$32,"")</f>
        <v/>
      </c>
      <c r="L24" s="23">
        <f>IFERROR('Inputs'!$L$24/'Inputs'!$L$32,"")</f>
        <v/>
      </c>
      <c r="M24" s="23">
        <f>IFERROR('Inputs'!$M$24/'Inputs'!$M$32,"")</f>
        <v/>
      </c>
      <c r="N24" s="23">
        <f>IFERROR('Inputs'!$N$24/'Inputs'!$N$32,"")</f>
        <v/>
      </c>
      <c r="O24" s="23">
        <f>IFERROR('Inputs'!$O$24/'Inputs'!$O$32,"")</f>
        <v/>
      </c>
      <c r="P24" s="23">
        <f>IFERROR('Inputs'!$P$24/'Inputs'!$P$32,"")</f>
        <v/>
      </c>
    </row>
    <row r="25">
      <c r="A25" s="4" t="inlineStr">
        <is>
          <t>Inventory</t>
        </is>
      </c>
      <c r="B25" s="23">
        <f>IFERROR('Inputs'!$B$25/'Inputs'!$B$32,"")</f>
        <v/>
      </c>
      <c r="C25" s="23">
        <f>IFERROR('Inputs'!$C$25/'Inputs'!$C$32,"")</f>
        <v/>
      </c>
      <c r="D25" s="23">
        <f>IFERROR('Inputs'!$D$25/'Inputs'!$D$32,"")</f>
        <v/>
      </c>
      <c r="E25" s="23">
        <f>IFERROR('Inputs'!$E$25/'Inputs'!$E$32,"")</f>
        <v/>
      </c>
      <c r="F25" s="23">
        <f>IFERROR('Inputs'!$F$25/'Inputs'!$F$32,"")</f>
        <v/>
      </c>
      <c r="G25" s="23">
        <f>IFERROR('Inputs'!$G$25/'Inputs'!$G$32,"")</f>
        <v/>
      </c>
      <c r="H25" s="23">
        <f>IFERROR('Inputs'!$H$25/'Inputs'!$H$32,"")</f>
        <v/>
      </c>
      <c r="I25" s="23">
        <f>IFERROR('Inputs'!$I$25/'Inputs'!$I$32,"")</f>
        <v/>
      </c>
      <c r="J25" s="23">
        <f>IFERROR('Inputs'!$J$25/'Inputs'!$J$32,"")</f>
        <v/>
      </c>
      <c r="K25" s="23">
        <f>IFERROR('Inputs'!$K$25/'Inputs'!$K$32,"")</f>
        <v/>
      </c>
      <c r="L25" s="23">
        <f>IFERROR('Inputs'!$L$25/'Inputs'!$L$32,"")</f>
        <v/>
      </c>
      <c r="M25" s="23">
        <f>IFERROR('Inputs'!$M$25/'Inputs'!$M$32,"")</f>
        <v/>
      </c>
      <c r="N25" s="23">
        <f>IFERROR('Inputs'!$N$25/'Inputs'!$N$32,"")</f>
        <v/>
      </c>
      <c r="O25" s="23">
        <f>IFERROR('Inputs'!$O$25/'Inputs'!$O$32,"")</f>
        <v/>
      </c>
      <c r="P25" s="23">
        <f>IFERROR('Inputs'!$P$25/'Inputs'!$P$32,"")</f>
        <v/>
      </c>
    </row>
    <row r="26">
      <c r="A26" s="4" t="inlineStr">
        <is>
          <t>Other current assets</t>
        </is>
      </c>
      <c r="B26" s="23">
        <f>IFERROR('Inputs'!$B$26/'Inputs'!$B$32,"")</f>
        <v/>
      </c>
      <c r="C26" s="23">
        <f>IFERROR('Inputs'!$C$26/'Inputs'!$C$32,"")</f>
        <v/>
      </c>
      <c r="D26" s="23">
        <f>IFERROR('Inputs'!$D$26/'Inputs'!$D$32,"")</f>
        <v/>
      </c>
      <c r="E26" s="23">
        <f>IFERROR('Inputs'!$E$26/'Inputs'!$E$32,"")</f>
        <v/>
      </c>
      <c r="F26" s="23">
        <f>IFERROR('Inputs'!$F$26/'Inputs'!$F$32,"")</f>
        <v/>
      </c>
      <c r="G26" s="23">
        <f>IFERROR('Inputs'!$G$26/'Inputs'!$G$32,"")</f>
        <v/>
      </c>
      <c r="H26" s="23">
        <f>IFERROR('Inputs'!$H$26/'Inputs'!$H$32,"")</f>
        <v/>
      </c>
      <c r="I26" s="23">
        <f>IFERROR('Inputs'!$I$26/'Inputs'!$I$32,"")</f>
        <v/>
      </c>
      <c r="J26" s="23">
        <f>IFERROR('Inputs'!$J$26/'Inputs'!$J$32,"")</f>
        <v/>
      </c>
      <c r="K26" s="23">
        <f>IFERROR('Inputs'!$K$26/'Inputs'!$K$32,"")</f>
        <v/>
      </c>
      <c r="L26" s="23">
        <f>IFERROR('Inputs'!$L$26/'Inputs'!$L$32,"")</f>
        <v/>
      </c>
      <c r="M26" s="23">
        <f>IFERROR('Inputs'!$M$26/'Inputs'!$M$32,"")</f>
        <v/>
      </c>
      <c r="N26" s="23">
        <f>IFERROR('Inputs'!$N$26/'Inputs'!$N$32,"")</f>
        <v/>
      </c>
      <c r="O26" s="23">
        <f>IFERROR('Inputs'!$O$26/'Inputs'!$O$32,"")</f>
        <v/>
      </c>
      <c r="P26" s="23">
        <f>IFERROR('Inputs'!$P$26/'Inputs'!$P$32,"")</f>
        <v/>
      </c>
    </row>
    <row r="27">
      <c r="A27" s="12" t="inlineStr">
        <is>
          <t>Total current assets</t>
        </is>
      </c>
      <c r="B27" s="23">
        <f>IFERROR('Inputs'!$B$27/'Inputs'!$B$32,"")</f>
        <v/>
      </c>
      <c r="C27" s="23">
        <f>IFERROR('Inputs'!$C$27/'Inputs'!$C$32,"")</f>
        <v/>
      </c>
      <c r="D27" s="23">
        <f>IFERROR('Inputs'!$D$27/'Inputs'!$D$32,"")</f>
        <v/>
      </c>
      <c r="E27" s="23">
        <f>IFERROR('Inputs'!$E$27/'Inputs'!$E$32,"")</f>
        <v/>
      </c>
      <c r="F27" s="23">
        <f>IFERROR('Inputs'!$F$27/'Inputs'!$F$32,"")</f>
        <v/>
      </c>
      <c r="G27" s="23">
        <f>IFERROR('Inputs'!$G$27/'Inputs'!$G$32,"")</f>
        <v/>
      </c>
      <c r="H27" s="23">
        <f>IFERROR('Inputs'!$H$27/'Inputs'!$H$32,"")</f>
        <v/>
      </c>
      <c r="I27" s="23">
        <f>IFERROR('Inputs'!$I$27/'Inputs'!$I$32,"")</f>
        <v/>
      </c>
      <c r="J27" s="23">
        <f>IFERROR('Inputs'!$J$27/'Inputs'!$J$32,"")</f>
        <v/>
      </c>
      <c r="K27" s="23">
        <f>IFERROR('Inputs'!$K$27/'Inputs'!$K$32,"")</f>
        <v/>
      </c>
      <c r="L27" s="23">
        <f>IFERROR('Inputs'!$L$27/'Inputs'!$L$32,"")</f>
        <v/>
      </c>
      <c r="M27" s="23">
        <f>IFERROR('Inputs'!$M$27/'Inputs'!$M$32,"")</f>
        <v/>
      </c>
      <c r="N27" s="23">
        <f>IFERROR('Inputs'!$N$27/'Inputs'!$N$32,"")</f>
        <v/>
      </c>
      <c r="O27" s="23">
        <f>IFERROR('Inputs'!$O$27/'Inputs'!$O$32,"")</f>
        <v/>
      </c>
      <c r="P27" s="23">
        <f>IFERROR('Inputs'!$P$27/'Inputs'!$P$32,"")</f>
        <v/>
      </c>
    </row>
    <row r="28">
      <c r="A28" s="4" t="inlineStr">
        <is>
          <t>PP&amp;E (net)</t>
        </is>
      </c>
      <c r="B28" s="23">
        <f>IFERROR('Inputs'!$B$28/'Inputs'!$B$32,"")</f>
        <v/>
      </c>
      <c r="C28" s="23">
        <f>IFERROR('Inputs'!$C$28/'Inputs'!$C$32,"")</f>
        <v/>
      </c>
      <c r="D28" s="23">
        <f>IFERROR('Inputs'!$D$28/'Inputs'!$D$32,"")</f>
        <v/>
      </c>
      <c r="E28" s="23">
        <f>IFERROR('Inputs'!$E$28/'Inputs'!$E$32,"")</f>
        <v/>
      </c>
      <c r="F28" s="23">
        <f>IFERROR('Inputs'!$F$28/'Inputs'!$F$32,"")</f>
        <v/>
      </c>
      <c r="G28" s="23">
        <f>IFERROR('Inputs'!$G$28/'Inputs'!$G$32,"")</f>
        <v/>
      </c>
      <c r="H28" s="23">
        <f>IFERROR('Inputs'!$H$28/'Inputs'!$H$32,"")</f>
        <v/>
      </c>
      <c r="I28" s="23">
        <f>IFERROR('Inputs'!$I$28/'Inputs'!$I$32,"")</f>
        <v/>
      </c>
      <c r="J28" s="23">
        <f>IFERROR('Inputs'!$J$28/'Inputs'!$J$32,"")</f>
        <v/>
      </c>
      <c r="K28" s="23">
        <f>IFERROR('Inputs'!$K$28/'Inputs'!$K$32,"")</f>
        <v/>
      </c>
      <c r="L28" s="23">
        <f>IFERROR('Inputs'!$L$28/'Inputs'!$L$32,"")</f>
        <v/>
      </c>
      <c r="M28" s="23">
        <f>IFERROR('Inputs'!$M$28/'Inputs'!$M$32,"")</f>
        <v/>
      </c>
      <c r="N28" s="23">
        <f>IFERROR('Inputs'!$N$28/'Inputs'!$N$32,"")</f>
        <v/>
      </c>
      <c r="O28" s="23">
        <f>IFERROR('Inputs'!$O$28/'Inputs'!$O$32,"")</f>
        <v/>
      </c>
      <c r="P28" s="23">
        <f>IFERROR('Inputs'!$P$28/'Inputs'!$P$32,"")</f>
        <v/>
      </c>
    </row>
    <row r="29">
      <c r="A29" s="4" t="inlineStr">
        <is>
          <t>Goodwill &amp; intangibles</t>
        </is>
      </c>
      <c r="B29" s="23">
        <f>IFERROR('Inputs'!$B$29/'Inputs'!$B$32,"")</f>
        <v/>
      </c>
      <c r="C29" s="23">
        <f>IFERROR('Inputs'!$C$29/'Inputs'!$C$32,"")</f>
        <v/>
      </c>
      <c r="D29" s="23">
        <f>IFERROR('Inputs'!$D$29/'Inputs'!$D$32,"")</f>
        <v/>
      </c>
      <c r="E29" s="23">
        <f>IFERROR('Inputs'!$E$29/'Inputs'!$E$32,"")</f>
        <v/>
      </c>
      <c r="F29" s="23">
        <f>IFERROR('Inputs'!$F$29/'Inputs'!$F$32,"")</f>
        <v/>
      </c>
      <c r="G29" s="23">
        <f>IFERROR('Inputs'!$G$29/'Inputs'!$G$32,"")</f>
        <v/>
      </c>
      <c r="H29" s="23">
        <f>IFERROR('Inputs'!$H$29/'Inputs'!$H$32,"")</f>
        <v/>
      </c>
      <c r="I29" s="23">
        <f>IFERROR('Inputs'!$I$29/'Inputs'!$I$32,"")</f>
        <v/>
      </c>
      <c r="J29" s="23">
        <f>IFERROR('Inputs'!$J$29/'Inputs'!$J$32,"")</f>
        <v/>
      </c>
      <c r="K29" s="23">
        <f>IFERROR('Inputs'!$K$29/'Inputs'!$K$32,"")</f>
        <v/>
      </c>
      <c r="L29" s="23">
        <f>IFERROR('Inputs'!$L$29/'Inputs'!$L$32,"")</f>
        <v/>
      </c>
      <c r="M29" s="23">
        <f>IFERROR('Inputs'!$M$29/'Inputs'!$M$32,"")</f>
        <v/>
      </c>
      <c r="N29" s="23">
        <f>IFERROR('Inputs'!$N$29/'Inputs'!$N$32,"")</f>
        <v/>
      </c>
      <c r="O29" s="23">
        <f>IFERROR('Inputs'!$O$29/'Inputs'!$O$32,"")</f>
        <v/>
      </c>
      <c r="P29" s="23">
        <f>IFERROR('Inputs'!$P$29/'Inputs'!$P$32,"")</f>
        <v/>
      </c>
    </row>
    <row r="30">
      <c r="A30" s="4" t="inlineStr">
        <is>
          <t>Other non-current assets</t>
        </is>
      </c>
      <c r="B30" s="23">
        <f>IFERROR('Inputs'!$B$30/'Inputs'!$B$32,"")</f>
        <v/>
      </c>
      <c r="C30" s="23">
        <f>IFERROR('Inputs'!$C$30/'Inputs'!$C$32,"")</f>
        <v/>
      </c>
      <c r="D30" s="23">
        <f>IFERROR('Inputs'!$D$30/'Inputs'!$D$32,"")</f>
        <v/>
      </c>
      <c r="E30" s="23">
        <f>IFERROR('Inputs'!$E$30/'Inputs'!$E$32,"")</f>
        <v/>
      </c>
      <c r="F30" s="23">
        <f>IFERROR('Inputs'!$F$30/'Inputs'!$F$32,"")</f>
        <v/>
      </c>
      <c r="G30" s="23">
        <f>IFERROR('Inputs'!$G$30/'Inputs'!$G$32,"")</f>
        <v/>
      </c>
      <c r="H30" s="23">
        <f>IFERROR('Inputs'!$H$30/'Inputs'!$H$32,"")</f>
        <v/>
      </c>
      <c r="I30" s="23">
        <f>IFERROR('Inputs'!$I$30/'Inputs'!$I$32,"")</f>
        <v/>
      </c>
      <c r="J30" s="23">
        <f>IFERROR('Inputs'!$J$30/'Inputs'!$J$32,"")</f>
        <v/>
      </c>
      <c r="K30" s="23">
        <f>IFERROR('Inputs'!$K$30/'Inputs'!$K$32,"")</f>
        <v/>
      </c>
      <c r="L30" s="23">
        <f>IFERROR('Inputs'!$L$30/'Inputs'!$L$32,"")</f>
        <v/>
      </c>
      <c r="M30" s="23">
        <f>IFERROR('Inputs'!$M$30/'Inputs'!$M$32,"")</f>
        <v/>
      </c>
      <c r="N30" s="23">
        <f>IFERROR('Inputs'!$N$30/'Inputs'!$N$32,"")</f>
        <v/>
      </c>
      <c r="O30" s="23">
        <f>IFERROR('Inputs'!$O$30/'Inputs'!$O$32,"")</f>
        <v/>
      </c>
      <c r="P30" s="23">
        <f>IFERROR('Inputs'!$P$30/'Inputs'!$P$32,"")</f>
        <v/>
      </c>
    </row>
    <row r="31">
      <c r="A31" s="4" t="inlineStr">
        <is>
          <t>Total current liabilities</t>
        </is>
      </c>
      <c r="B31" s="23">
        <f>IFERROR('Inputs'!$B$37/'Inputs'!$B$32,"")</f>
        <v/>
      </c>
      <c r="C31" s="23">
        <f>IFERROR('Inputs'!$C$37/'Inputs'!$C$32,"")</f>
        <v/>
      </c>
      <c r="D31" s="23">
        <f>IFERROR('Inputs'!$D$37/'Inputs'!$D$32,"")</f>
        <v/>
      </c>
      <c r="E31" s="23">
        <f>IFERROR('Inputs'!$E$37/'Inputs'!$E$32,"")</f>
        <v/>
      </c>
      <c r="F31" s="23">
        <f>IFERROR('Inputs'!$F$37/'Inputs'!$F$32,"")</f>
        <v/>
      </c>
      <c r="G31" s="23">
        <f>IFERROR('Inputs'!$G$37/'Inputs'!$G$32,"")</f>
        <v/>
      </c>
      <c r="H31" s="23">
        <f>IFERROR('Inputs'!$H$37/'Inputs'!$H$32,"")</f>
        <v/>
      </c>
      <c r="I31" s="23">
        <f>IFERROR('Inputs'!$I$37/'Inputs'!$I$32,"")</f>
        <v/>
      </c>
      <c r="J31" s="23">
        <f>IFERROR('Inputs'!$J$37/'Inputs'!$J$32,"")</f>
        <v/>
      </c>
      <c r="K31" s="23">
        <f>IFERROR('Inputs'!$K$37/'Inputs'!$K$32,"")</f>
        <v/>
      </c>
      <c r="L31" s="23">
        <f>IFERROR('Inputs'!$L$37/'Inputs'!$L$32,"")</f>
        <v/>
      </c>
      <c r="M31" s="23">
        <f>IFERROR('Inputs'!$M$37/'Inputs'!$M$32,"")</f>
        <v/>
      </c>
      <c r="N31" s="23">
        <f>IFERROR('Inputs'!$N$37/'Inputs'!$N$32,"")</f>
        <v/>
      </c>
      <c r="O31" s="23">
        <f>IFERROR('Inputs'!$O$37/'Inputs'!$O$32,"")</f>
        <v/>
      </c>
      <c r="P31" s="23">
        <f>IFERROR('Inputs'!$P$37/'Inputs'!$P$32,"")</f>
        <v/>
      </c>
    </row>
    <row r="32">
      <c r="A32" s="4" t="inlineStr">
        <is>
          <t>Long-term debt</t>
        </is>
      </c>
      <c r="B32" s="23">
        <f>IFERROR('Inputs'!$B$38/'Inputs'!$B$32,"")</f>
        <v/>
      </c>
      <c r="C32" s="23">
        <f>IFERROR('Inputs'!$C$38/'Inputs'!$C$32,"")</f>
        <v/>
      </c>
      <c r="D32" s="23">
        <f>IFERROR('Inputs'!$D$38/'Inputs'!$D$32,"")</f>
        <v/>
      </c>
      <c r="E32" s="23">
        <f>IFERROR('Inputs'!$E$38/'Inputs'!$E$32,"")</f>
        <v/>
      </c>
      <c r="F32" s="23">
        <f>IFERROR('Inputs'!$F$38/'Inputs'!$F$32,"")</f>
        <v/>
      </c>
      <c r="G32" s="23">
        <f>IFERROR('Inputs'!$G$38/'Inputs'!$G$32,"")</f>
        <v/>
      </c>
      <c r="H32" s="23">
        <f>IFERROR('Inputs'!$H$38/'Inputs'!$H$32,"")</f>
        <v/>
      </c>
      <c r="I32" s="23">
        <f>IFERROR('Inputs'!$I$38/'Inputs'!$I$32,"")</f>
        <v/>
      </c>
      <c r="J32" s="23">
        <f>IFERROR('Inputs'!$J$38/'Inputs'!$J$32,"")</f>
        <v/>
      </c>
      <c r="K32" s="23">
        <f>IFERROR('Inputs'!$K$38/'Inputs'!$K$32,"")</f>
        <v/>
      </c>
      <c r="L32" s="23">
        <f>IFERROR('Inputs'!$L$38/'Inputs'!$L$32,"")</f>
        <v/>
      </c>
      <c r="M32" s="23">
        <f>IFERROR('Inputs'!$M$38/'Inputs'!$M$32,"")</f>
        <v/>
      </c>
      <c r="N32" s="23">
        <f>IFERROR('Inputs'!$N$38/'Inputs'!$N$32,"")</f>
        <v/>
      </c>
      <c r="O32" s="23">
        <f>IFERROR('Inputs'!$O$38/'Inputs'!$O$32,"")</f>
        <v/>
      </c>
      <c r="P32" s="23">
        <f>IFERROR('Inputs'!$P$38/'Inputs'!$P$32,"")</f>
        <v/>
      </c>
    </row>
    <row r="33">
      <c r="A33" s="12" t="inlineStr">
        <is>
          <t>Total liabilities</t>
        </is>
      </c>
      <c r="B33" s="23">
        <f>IFERROR('Inputs'!$B$41/'Inputs'!$B$32,"")</f>
        <v/>
      </c>
      <c r="C33" s="23">
        <f>IFERROR('Inputs'!$C$41/'Inputs'!$C$32,"")</f>
        <v/>
      </c>
      <c r="D33" s="23">
        <f>IFERROR('Inputs'!$D$41/'Inputs'!$D$32,"")</f>
        <v/>
      </c>
      <c r="E33" s="23">
        <f>IFERROR('Inputs'!$E$41/'Inputs'!$E$32,"")</f>
        <v/>
      </c>
      <c r="F33" s="23">
        <f>IFERROR('Inputs'!$F$41/'Inputs'!$F$32,"")</f>
        <v/>
      </c>
      <c r="G33" s="23">
        <f>IFERROR('Inputs'!$G$41/'Inputs'!$G$32,"")</f>
        <v/>
      </c>
      <c r="H33" s="23">
        <f>IFERROR('Inputs'!$H$41/'Inputs'!$H$32,"")</f>
        <v/>
      </c>
      <c r="I33" s="23">
        <f>IFERROR('Inputs'!$I$41/'Inputs'!$I$32,"")</f>
        <v/>
      </c>
      <c r="J33" s="23">
        <f>IFERROR('Inputs'!$J$41/'Inputs'!$J$32,"")</f>
        <v/>
      </c>
      <c r="K33" s="23">
        <f>IFERROR('Inputs'!$K$41/'Inputs'!$K$32,"")</f>
        <v/>
      </c>
      <c r="L33" s="23">
        <f>IFERROR('Inputs'!$L$41/'Inputs'!$L$32,"")</f>
        <v/>
      </c>
      <c r="M33" s="23">
        <f>IFERROR('Inputs'!$M$41/'Inputs'!$M$32,"")</f>
        <v/>
      </c>
      <c r="N33" s="23">
        <f>IFERROR('Inputs'!$N$41/'Inputs'!$N$32,"")</f>
        <v/>
      </c>
      <c r="O33" s="23">
        <f>IFERROR('Inputs'!$O$41/'Inputs'!$O$32,"")</f>
        <v/>
      </c>
      <c r="P33" s="23">
        <f>IFERROR('Inputs'!$P$41/'Inputs'!$P$32,"")</f>
        <v/>
      </c>
    </row>
    <row r="34">
      <c r="A34" s="12" t="inlineStr">
        <is>
          <t>Shareholders' equity</t>
        </is>
      </c>
      <c r="B34" s="23">
        <f>IFERROR('Inputs'!$B$42/'Inputs'!$B$32,"")</f>
        <v/>
      </c>
      <c r="C34" s="23">
        <f>IFERROR('Inputs'!$C$42/'Inputs'!$C$32,"")</f>
        <v/>
      </c>
      <c r="D34" s="23">
        <f>IFERROR('Inputs'!$D$42/'Inputs'!$D$32,"")</f>
        <v/>
      </c>
      <c r="E34" s="23">
        <f>IFERROR('Inputs'!$E$42/'Inputs'!$E$32,"")</f>
        <v/>
      </c>
      <c r="F34" s="23">
        <f>IFERROR('Inputs'!$F$42/'Inputs'!$F$32,"")</f>
        <v/>
      </c>
      <c r="G34" s="23">
        <f>IFERROR('Inputs'!$G$42/'Inputs'!$G$32,"")</f>
        <v/>
      </c>
      <c r="H34" s="23">
        <f>IFERROR('Inputs'!$H$42/'Inputs'!$H$32,"")</f>
        <v/>
      </c>
      <c r="I34" s="23">
        <f>IFERROR('Inputs'!$I$42/'Inputs'!$I$32,"")</f>
        <v/>
      </c>
      <c r="J34" s="23">
        <f>IFERROR('Inputs'!$J$42/'Inputs'!$J$32,"")</f>
        <v/>
      </c>
      <c r="K34" s="23">
        <f>IFERROR('Inputs'!$K$42/'Inputs'!$K$32,"")</f>
        <v/>
      </c>
      <c r="L34" s="23">
        <f>IFERROR('Inputs'!$L$42/'Inputs'!$L$32,"")</f>
        <v/>
      </c>
      <c r="M34" s="23">
        <f>IFERROR('Inputs'!$M$42/'Inputs'!$M$32,"")</f>
        <v/>
      </c>
      <c r="N34" s="23">
        <f>IFERROR('Inputs'!$N$42/'Inputs'!$N$32,"")</f>
        <v/>
      </c>
      <c r="O34" s="23">
        <f>IFERROR('Inputs'!$O$42/'Inputs'!$O$32,"")</f>
        <v/>
      </c>
      <c r="P34" s="23">
        <f>IFERROR('Inputs'!$P$42/'Inputs'!$P$32,"")</f>
        <v/>
      </c>
    </row>
    <row r="36" ht="20" customHeight="1">
      <c r="A36" s="3" t="inlineStr">
        <is>
          <t>Horizontal / Trend Analysis (indexed to first year = 100)</t>
        </is>
      </c>
    </row>
    <row r="37">
      <c r="A37" s="12" t="inlineStr">
        <is>
          <t>Revenue index (FY2015=100)</t>
        </is>
      </c>
      <c r="B37" s="22">
        <f>IFERROR('Inputs'!$B$10/'Inputs'!$B$10*100,"")</f>
        <v/>
      </c>
      <c r="C37" s="22">
        <f>IFERROR('Inputs'!$C$10/'Inputs'!$B$10*100,"")</f>
        <v/>
      </c>
      <c r="D37" s="22">
        <f>IFERROR('Inputs'!$D$10/'Inputs'!$B$10*100,"")</f>
        <v/>
      </c>
      <c r="E37" s="22">
        <f>IFERROR('Inputs'!$E$10/'Inputs'!$B$10*100,"")</f>
        <v/>
      </c>
      <c r="F37" s="22">
        <f>IFERROR('Inputs'!$F$10/'Inputs'!$B$10*100,"")</f>
        <v/>
      </c>
      <c r="G37" s="22">
        <f>IFERROR('Inputs'!$G$10/'Inputs'!$B$10*100,"")</f>
        <v/>
      </c>
      <c r="H37" s="22">
        <f>IFERROR('Inputs'!$H$10/'Inputs'!$B$10*100,"")</f>
        <v/>
      </c>
      <c r="I37" s="22">
        <f>IFERROR('Inputs'!$I$10/'Inputs'!$B$10*100,"")</f>
        <v/>
      </c>
      <c r="J37" s="22">
        <f>IFERROR('Inputs'!$J$10/'Inputs'!$B$10*100,"")</f>
        <v/>
      </c>
      <c r="K37" s="22">
        <f>IFERROR('Inputs'!$K$10/'Inputs'!$B$10*100,"")</f>
        <v/>
      </c>
      <c r="L37" s="22">
        <f>IFERROR('Inputs'!$L$10/'Inputs'!$B$10*100,"")</f>
        <v/>
      </c>
      <c r="M37" s="22">
        <f>IFERROR('Inputs'!$M$10/'Inputs'!$B$10*100,"")</f>
        <v/>
      </c>
      <c r="N37" s="22">
        <f>IFERROR('Inputs'!$N$10/'Inputs'!$B$10*100,"")</f>
        <v/>
      </c>
      <c r="O37" s="22">
        <f>IFERROR('Inputs'!$O$10/'Inputs'!$B$10*100,"")</f>
        <v/>
      </c>
      <c r="P37" s="22">
        <f>IFERROR('Inputs'!$P$10/'Inputs'!$B$10*100,"")</f>
        <v/>
      </c>
    </row>
    <row r="38">
      <c r="A38" s="4" t="inlineStr">
        <is>
          <t>Net income index (FY2015=100)</t>
        </is>
      </c>
      <c r="B38" s="22">
        <f>IFERROR('Inputs'!$B$21/'Inputs'!$B$21*100,"")</f>
        <v/>
      </c>
      <c r="C38" s="22">
        <f>IFERROR('Inputs'!$C$21/'Inputs'!$B$21*100,"")</f>
        <v/>
      </c>
      <c r="D38" s="22">
        <f>IFERROR('Inputs'!$D$21/'Inputs'!$B$21*100,"")</f>
        <v/>
      </c>
      <c r="E38" s="22">
        <f>IFERROR('Inputs'!$E$21/'Inputs'!$B$21*100,"")</f>
        <v/>
      </c>
      <c r="F38" s="22">
        <f>IFERROR('Inputs'!$F$21/'Inputs'!$B$21*100,"")</f>
        <v/>
      </c>
      <c r="G38" s="22">
        <f>IFERROR('Inputs'!$G$21/'Inputs'!$B$21*100,"")</f>
        <v/>
      </c>
      <c r="H38" s="22">
        <f>IFERROR('Inputs'!$H$21/'Inputs'!$B$21*100,"")</f>
        <v/>
      </c>
      <c r="I38" s="22">
        <f>IFERROR('Inputs'!$I$21/'Inputs'!$B$21*100,"")</f>
        <v/>
      </c>
      <c r="J38" s="22">
        <f>IFERROR('Inputs'!$J$21/'Inputs'!$B$21*100,"")</f>
        <v/>
      </c>
      <c r="K38" s="22">
        <f>IFERROR('Inputs'!$K$21/'Inputs'!$B$21*100,"")</f>
        <v/>
      </c>
      <c r="L38" s="22">
        <f>IFERROR('Inputs'!$L$21/'Inputs'!$B$21*100,"")</f>
        <v/>
      </c>
      <c r="M38" s="22">
        <f>IFERROR('Inputs'!$M$21/'Inputs'!$B$21*100,"")</f>
        <v/>
      </c>
      <c r="N38" s="22">
        <f>IFERROR('Inputs'!$N$21/'Inputs'!$B$21*100,"")</f>
        <v/>
      </c>
      <c r="O38" s="22">
        <f>IFERROR('Inputs'!$O$21/'Inputs'!$B$21*100,"")</f>
        <v/>
      </c>
      <c r="P38" s="22">
        <f>IFERROR('Inputs'!$P$21/'Inputs'!$B$21*100,"")</f>
        <v/>
      </c>
    </row>
    <row r="39">
      <c r="A39" s="4" t="inlineStr">
        <is>
          <t>Equity index (FY2015=100)</t>
        </is>
      </c>
      <c r="B39" s="22">
        <f>IFERROR('Inputs'!$B$42/'Inputs'!$B$42*100,"")</f>
        <v/>
      </c>
      <c r="C39" s="22">
        <f>IFERROR('Inputs'!$C$42/'Inputs'!$B$42*100,"")</f>
        <v/>
      </c>
      <c r="D39" s="22">
        <f>IFERROR('Inputs'!$D$42/'Inputs'!$B$42*100,"")</f>
        <v/>
      </c>
      <c r="E39" s="22">
        <f>IFERROR('Inputs'!$E$42/'Inputs'!$B$42*100,"")</f>
        <v/>
      </c>
      <c r="F39" s="22">
        <f>IFERROR('Inputs'!$F$42/'Inputs'!$B$42*100,"")</f>
        <v/>
      </c>
      <c r="G39" s="22">
        <f>IFERROR('Inputs'!$G$42/'Inputs'!$B$42*100,"")</f>
        <v/>
      </c>
      <c r="H39" s="22">
        <f>IFERROR('Inputs'!$H$42/'Inputs'!$B$42*100,"")</f>
        <v/>
      </c>
      <c r="I39" s="22">
        <f>IFERROR('Inputs'!$I$42/'Inputs'!$B$42*100,"")</f>
        <v/>
      </c>
      <c r="J39" s="22">
        <f>IFERROR('Inputs'!$J$42/'Inputs'!$B$42*100,"")</f>
        <v/>
      </c>
      <c r="K39" s="22">
        <f>IFERROR('Inputs'!$K$42/'Inputs'!$B$42*100,"")</f>
        <v/>
      </c>
      <c r="L39" s="22">
        <f>IFERROR('Inputs'!$L$42/'Inputs'!$B$42*100,"")</f>
        <v/>
      </c>
      <c r="M39" s="22">
        <f>IFERROR('Inputs'!$M$42/'Inputs'!$B$42*100,"")</f>
        <v/>
      </c>
      <c r="N39" s="22">
        <f>IFERROR('Inputs'!$N$42/'Inputs'!$B$42*100,"")</f>
        <v/>
      </c>
      <c r="O39" s="22">
        <f>IFERROR('Inputs'!$O$42/'Inputs'!$B$42*100,"")</f>
        <v/>
      </c>
      <c r="P39" s="22">
        <f>IFERROR('Inputs'!$P$42/'Inputs'!$B$42*100,"")</f>
        <v/>
      </c>
    </row>
    <row r="41">
      <c r="A41" s="19" t="inlineStr">
        <is>
          <t>Common-size analysis normalises the statements so structural shifts and trends are visible regardless of absolute size. Heat-maps highlight the gradient.</t>
        </is>
      </c>
    </row>
  </sheetData>
  <mergeCells count="8">
    <mergeCell ref="A3:R3"/>
    <mergeCell ref="A7:R7"/>
    <mergeCell ref="A41:R41"/>
    <mergeCell ref="A2:R2"/>
    <mergeCell ref="A36:R36"/>
    <mergeCell ref="A1:R1"/>
    <mergeCell ref="A9:R9"/>
    <mergeCell ref="A22:R22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6:P16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7:P17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1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P20">
    <cfRule type="colorScale" priority="1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3:P23">
    <cfRule type="colorScale" priority="1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4:P24">
    <cfRule type="colorScale" priority="1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5:P25">
    <cfRule type="colorScale" priority="1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6:P26">
    <cfRule type="colorScale" priority="1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7:P27">
    <cfRule type="colorScale" priority="1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8:P28">
    <cfRule type="colorScale" priority="1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9:P29">
    <cfRule type="colorScale" priority="1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0:P30">
    <cfRule type="colorScale" priority="1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1:P31">
    <cfRule type="colorScale" priority="2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2:P32">
    <cfRule type="colorScale" priority="2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3:P33">
    <cfRule type="colorScale" priority="2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4:P34">
    <cfRule type="colorScale" priority="2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7:P37">
    <cfRule type="colorScale" priority="2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8:P38">
    <cfRule type="colorScale" priority="2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9:P39">
    <cfRule type="colorScale" priority="2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PROFITABILITY RATIOS</t>
        </is>
      </c>
    </row>
    <row r="2">
      <c r="A2" s="2" t="inlineStr">
        <is>
          <t>Margins, returns on capital and DuPont decomposition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Profitability ratio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Margins</t>
        </is>
      </c>
    </row>
    <row r="10">
      <c r="A10" s="4" t="inlineStr">
        <is>
          <t>Gross margin</t>
        </is>
      </c>
      <c r="B10" s="23">
        <f>IFERROR('Inputs'!$B$12/'Inputs'!$B$10,"")</f>
        <v/>
      </c>
      <c r="C10" s="23">
        <f>IFERROR('Inputs'!$C$12/'Inputs'!$C$10,"")</f>
        <v/>
      </c>
      <c r="D10" s="23">
        <f>IFERROR('Inputs'!$D$12/'Inputs'!$D$10,"")</f>
        <v/>
      </c>
      <c r="E10" s="23">
        <f>IFERROR('Inputs'!$E$12/'Inputs'!$E$10,"")</f>
        <v/>
      </c>
      <c r="F10" s="23">
        <f>IFERROR('Inputs'!$F$12/'Inputs'!$F$10,"")</f>
        <v/>
      </c>
      <c r="G10" s="23">
        <f>IFERROR('Inputs'!$G$12/'Inputs'!$G$10,"")</f>
        <v/>
      </c>
      <c r="H10" s="23">
        <f>IFERROR('Inputs'!$H$12/'Inputs'!$H$10,"")</f>
        <v/>
      </c>
      <c r="I10" s="23">
        <f>IFERROR('Inputs'!$I$12/'Inputs'!$I$10,"")</f>
        <v/>
      </c>
      <c r="J10" s="23">
        <f>IFERROR('Inputs'!$J$12/'Inputs'!$J$10,"")</f>
        <v/>
      </c>
      <c r="K10" s="23">
        <f>IFERROR('Inputs'!$K$12/'Inputs'!$K$10,"")</f>
        <v/>
      </c>
      <c r="L10" s="23">
        <f>IFERROR('Inputs'!$L$12/'Inputs'!$L$10,"")</f>
        <v/>
      </c>
      <c r="M10" s="23">
        <f>IFERROR('Inputs'!$M$12/'Inputs'!$M$10,"")</f>
        <v/>
      </c>
      <c r="N10" s="23">
        <f>IFERROR('Inputs'!$N$12/'Inputs'!$N$10,"")</f>
        <v/>
      </c>
      <c r="O10" s="23">
        <f>IFERROR('Inputs'!$O$12/'Inputs'!$O$10,"")</f>
        <v/>
      </c>
      <c r="P10" s="23">
        <f>IFERROR('Inputs'!$P$12/'Inputs'!$P$10,"")</f>
        <v/>
      </c>
      <c r="Q10" s="18">
        <f>IF(AND(ISNUMBER($K$10),ISNUMBER($J$10)),CHOOSE(2+($K$10&gt;$J$10)-($K$10&lt;$J$10),"▼","►","▲"),"")</f>
        <v/>
      </c>
      <c r="R10" s="18">
        <f>IF(ISNUMBER($K$10),CHOOSE(1+($K$10&gt;=0.2)+($K$10&gt;=0.4),"Low","Average","High"),"")</f>
        <v/>
      </c>
    </row>
    <row r="11">
      <c r="A11" s="4" t="inlineStr">
        <is>
          <t>EBITDA margin</t>
        </is>
      </c>
      <c r="B11" s="23">
        <f>IFERROR('Inputs'!$B$14/'Inputs'!$B$10,"")</f>
        <v/>
      </c>
      <c r="C11" s="23">
        <f>IFERROR('Inputs'!$C$14/'Inputs'!$C$10,"")</f>
        <v/>
      </c>
      <c r="D11" s="23">
        <f>IFERROR('Inputs'!$D$14/'Inputs'!$D$10,"")</f>
        <v/>
      </c>
      <c r="E11" s="23">
        <f>IFERROR('Inputs'!$E$14/'Inputs'!$E$10,"")</f>
        <v/>
      </c>
      <c r="F11" s="23">
        <f>IFERROR('Inputs'!$F$14/'Inputs'!$F$10,"")</f>
        <v/>
      </c>
      <c r="G11" s="23">
        <f>IFERROR('Inputs'!$G$14/'Inputs'!$G$10,"")</f>
        <v/>
      </c>
      <c r="H11" s="23">
        <f>IFERROR('Inputs'!$H$14/'Inputs'!$H$10,"")</f>
        <v/>
      </c>
      <c r="I11" s="23">
        <f>IFERROR('Inputs'!$I$14/'Inputs'!$I$10,"")</f>
        <v/>
      </c>
      <c r="J11" s="23">
        <f>IFERROR('Inputs'!$J$14/'Inputs'!$J$10,"")</f>
        <v/>
      </c>
      <c r="K11" s="23">
        <f>IFERROR('Inputs'!$K$14/'Inputs'!$K$10,"")</f>
        <v/>
      </c>
      <c r="L11" s="23">
        <f>IFERROR('Inputs'!$L$14/'Inputs'!$L$10,"")</f>
        <v/>
      </c>
      <c r="M11" s="23">
        <f>IFERROR('Inputs'!$M$14/'Inputs'!$M$10,"")</f>
        <v/>
      </c>
      <c r="N11" s="23">
        <f>IFERROR('Inputs'!$N$14/'Inputs'!$N$10,"")</f>
        <v/>
      </c>
      <c r="O11" s="23">
        <f>IFERROR('Inputs'!$O$14/'Inputs'!$O$10,"")</f>
        <v/>
      </c>
      <c r="P11" s="23">
        <f>IFERROR('Inputs'!$P$14/'Inputs'!$P$10,"")</f>
        <v/>
      </c>
      <c r="Q11" s="18">
        <f>IF(AND(ISNUMBER($K$11),ISNUMBER($J$11)),CHOOSE(2+($K$11&gt;$J$11)-($K$11&lt;$J$11),"▼","►","▲"),"")</f>
        <v/>
      </c>
      <c r="R11" s="18">
        <f>IF(AND(ISNUMBER($K$11),ISNUMBER(AVERAGE($B$11:$K$11))),CHOOSE(2+($K$11&gt;AVERAGE($B$11:$K$11)*(1+0.05))-($K$11&lt;AVERAGE($B$11:$K$11)*(1-0.05)),"Compressing","Stable","Expanding"),"")</f>
        <v/>
      </c>
    </row>
    <row r="12">
      <c r="A12" s="4" t="inlineStr">
        <is>
          <t>Operating margin (EBIT)</t>
        </is>
      </c>
      <c r="B12" s="23">
        <f>IFERROR('Inputs'!$B$16/'Inputs'!$B$10,"")</f>
        <v/>
      </c>
      <c r="C12" s="23">
        <f>IFERROR('Inputs'!$C$16/'Inputs'!$C$10,"")</f>
        <v/>
      </c>
      <c r="D12" s="23">
        <f>IFERROR('Inputs'!$D$16/'Inputs'!$D$10,"")</f>
        <v/>
      </c>
      <c r="E12" s="23">
        <f>IFERROR('Inputs'!$E$16/'Inputs'!$E$10,"")</f>
        <v/>
      </c>
      <c r="F12" s="23">
        <f>IFERROR('Inputs'!$F$16/'Inputs'!$F$10,"")</f>
        <v/>
      </c>
      <c r="G12" s="23">
        <f>IFERROR('Inputs'!$G$16/'Inputs'!$G$10,"")</f>
        <v/>
      </c>
      <c r="H12" s="23">
        <f>IFERROR('Inputs'!$H$16/'Inputs'!$H$10,"")</f>
        <v/>
      </c>
      <c r="I12" s="23">
        <f>IFERROR('Inputs'!$I$16/'Inputs'!$I$10,"")</f>
        <v/>
      </c>
      <c r="J12" s="23">
        <f>IFERROR('Inputs'!$J$16/'Inputs'!$J$10,"")</f>
        <v/>
      </c>
      <c r="K12" s="23">
        <f>IFERROR('Inputs'!$K$16/'Inputs'!$K$10,"")</f>
        <v/>
      </c>
      <c r="L12" s="23">
        <f>IFERROR('Inputs'!$L$16/'Inputs'!$L$10,"")</f>
        <v/>
      </c>
      <c r="M12" s="23">
        <f>IFERROR('Inputs'!$M$16/'Inputs'!$M$10,"")</f>
        <v/>
      </c>
      <c r="N12" s="23">
        <f>IFERROR('Inputs'!$N$16/'Inputs'!$N$10,"")</f>
        <v/>
      </c>
      <c r="O12" s="23">
        <f>IFERROR('Inputs'!$O$16/'Inputs'!$O$10,"")</f>
        <v/>
      </c>
      <c r="P12" s="23">
        <f>IFERROR('Inputs'!$P$16/'Inputs'!$P$10,"")</f>
        <v/>
      </c>
      <c r="Q12" s="18">
        <f>IF(AND(ISNUMBER($K$12),ISNUMBER($J$12)),CHOOSE(2+($K$12&gt;$J$12)-($K$12&lt;$J$12),"▼","►","▲"),"")</f>
        <v/>
      </c>
      <c r="R12" s="18">
        <f>IF(ISNUMBER($K$12),CHOOSE(1+($K$12&gt;=0.08)+($K$12&gt;=0.18),"Low","Average","High"),"")</f>
        <v/>
      </c>
    </row>
    <row r="13">
      <c r="A13" s="4" t="inlineStr">
        <is>
          <t>Pre-tax margin</t>
        </is>
      </c>
      <c r="B13" s="23">
        <f>IFERROR('Inputs'!$B$19/'Inputs'!$B$10,"")</f>
        <v/>
      </c>
      <c r="C13" s="23">
        <f>IFERROR('Inputs'!$C$19/'Inputs'!$C$10,"")</f>
        <v/>
      </c>
      <c r="D13" s="23">
        <f>IFERROR('Inputs'!$D$19/'Inputs'!$D$10,"")</f>
        <v/>
      </c>
      <c r="E13" s="23">
        <f>IFERROR('Inputs'!$E$19/'Inputs'!$E$10,"")</f>
        <v/>
      </c>
      <c r="F13" s="23">
        <f>IFERROR('Inputs'!$F$19/'Inputs'!$F$10,"")</f>
        <v/>
      </c>
      <c r="G13" s="23">
        <f>IFERROR('Inputs'!$G$19/'Inputs'!$G$10,"")</f>
        <v/>
      </c>
      <c r="H13" s="23">
        <f>IFERROR('Inputs'!$H$19/'Inputs'!$H$10,"")</f>
        <v/>
      </c>
      <c r="I13" s="23">
        <f>IFERROR('Inputs'!$I$19/'Inputs'!$I$10,"")</f>
        <v/>
      </c>
      <c r="J13" s="23">
        <f>IFERROR('Inputs'!$J$19/'Inputs'!$J$10,"")</f>
        <v/>
      </c>
      <c r="K13" s="23">
        <f>IFERROR('Inputs'!$K$19/'Inputs'!$K$10,"")</f>
        <v/>
      </c>
      <c r="L13" s="23">
        <f>IFERROR('Inputs'!$L$19/'Inputs'!$L$10,"")</f>
        <v/>
      </c>
      <c r="M13" s="23">
        <f>IFERROR('Inputs'!$M$19/'Inputs'!$M$10,"")</f>
        <v/>
      </c>
      <c r="N13" s="23">
        <f>IFERROR('Inputs'!$N$19/'Inputs'!$N$10,"")</f>
        <v/>
      </c>
      <c r="O13" s="23">
        <f>IFERROR('Inputs'!$O$19/'Inputs'!$O$10,"")</f>
        <v/>
      </c>
      <c r="P13" s="23">
        <f>IFERROR('Inputs'!$P$19/'Inputs'!$P$10,"")</f>
        <v/>
      </c>
      <c r="Q13" s="18">
        <f>IF(AND(ISNUMBER($K$13),ISNUMBER($J$13)),CHOOSE(2+($K$13&gt;$J$13)-($K$13&lt;$J$13),"▼","►","▲"),"")</f>
        <v/>
      </c>
      <c r="R13" s="18">
        <f>IF(AND(ISNUMBER($K$13),ISNUMBER(AVERAGE($B$13:$K$13))),CHOOSE(2+($K$13&gt;AVERAGE($B$13:$K$13)*(1+0.05))-($K$13&lt;AVERAGE($B$13:$K$13)*(1-0.05)),"Compressing","Stable","Expanding"),"")</f>
        <v/>
      </c>
    </row>
    <row r="14">
      <c r="A14" s="4" t="inlineStr">
        <is>
          <t>Net margin</t>
        </is>
      </c>
      <c r="B14" s="23">
        <f>IFERROR('Inputs'!$B$21/'Inputs'!$B$10,"")</f>
        <v/>
      </c>
      <c r="C14" s="23">
        <f>IFERROR('Inputs'!$C$21/'Inputs'!$C$10,"")</f>
        <v/>
      </c>
      <c r="D14" s="23">
        <f>IFERROR('Inputs'!$D$21/'Inputs'!$D$10,"")</f>
        <v/>
      </c>
      <c r="E14" s="23">
        <f>IFERROR('Inputs'!$E$21/'Inputs'!$E$10,"")</f>
        <v/>
      </c>
      <c r="F14" s="23">
        <f>IFERROR('Inputs'!$F$21/'Inputs'!$F$10,"")</f>
        <v/>
      </c>
      <c r="G14" s="23">
        <f>IFERROR('Inputs'!$G$21/'Inputs'!$G$10,"")</f>
        <v/>
      </c>
      <c r="H14" s="23">
        <f>IFERROR('Inputs'!$H$21/'Inputs'!$H$10,"")</f>
        <v/>
      </c>
      <c r="I14" s="23">
        <f>IFERROR('Inputs'!$I$21/'Inputs'!$I$10,"")</f>
        <v/>
      </c>
      <c r="J14" s="23">
        <f>IFERROR('Inputs'!$J$21/'Inputs'!$J$10,"")</f>
        <v/>
      </c>
      <c r="K14" s="23">
        <f>IFERROR('Inputs'!$K$21/'Inputs'!$K$10,"")</f>
        <v/>
      </c>
      <c r="L14" s="23">
        <f>IFERROR('Inputs'!$L$21/'Inputs'!$L$10,"")</f>
        <v/>
      </c>
      <c r="M14" s="23">
        <f>IFERROR('Inputs'!$M$21/'Inputs'!$M$10,"")</f>
        <v/>
      </c>
      <c r="N14" s="23">
        <f>IFERROR('Inputs'!$N$21/'Inputs'!$N$10,"")</f>
        <v/>
      </c>
      <c r="O14" s="23">
        <f>IFERROR('Inputs'!$O$21/'Inputs'!$O$10,"")</f>
        <v/>
      </c>
      <c r="P14" s="23">
        <f>IFERROR('Inputs'!$P$21/'Inputs'!$P$10,"")</f>
        <v/>
      </c>
      <c r="Q14" s="18">
        <f>IF(AND(ISNUMBER($K$14),ISNUMBER($J$14)),CHOOSE(2+($K$14&gt;$J$14)-($K$14&lt;$J$14),"▼","►","▲"),"")</f>
        <v/>
      </c>
      <c r="R14" s="18">
        <f>IF(ISNUMBER($K$14),CHOOSE(1+($K$14&gt;=0.05)+($K$14&gt;=0.12),"Low","Average","High"),"")</f>
        <v/>
      </c>
    </row>
    <row r="15">
      <c r="A15" s="4" t="inlineStr">
        <is>
          <t>FCF margin</t>
        </is>
      </c>
      <c r="B15" s="23">
        <f>IFERROR('Inputs'!$B$48/'Inputs'!$B$10,"")</f>
        <v/>
      </c>
      <c r="C15" s="23">
        <f>IFERROR('Inputs'!$C$48/'Inputs'!$C$10,"")</f>
        <v/>
      </c>
      <c r="D15" s="23">
        <f>IFERROR('Inputs'!$D$48/'Inputs'!$D$10,"")</f>
        <v/>
      </c>
      <c r="E15" s="23">
        <f>IFERROR('Inputs'!$E$48/'Inputs'!$E$10,"")</f>
        <v/>
      </c>
      <c r="F15" s="23">
        <f>IFERROR('Inputs'!$F$48/'Inputs'!$F$10,"")</f>
        <v/>
      </c>
      <c r="G15" s="23">
        <f>IFERROR('Inputs'!$G$48/'Inputs'!$G$10,"")</f>
        <v/>
      </c>
      <c r="H15" s="23">
        <f>IFERROR('Inputs'!$H$48/'Inputs'!$H$10,"")</f>
        <v/>
      </c>
      <c r="I15" s="23">
        <f>IFERROR('Inputs'!$I$48/'Inputs'!$I$10,"")</f>
        <v/>
      </c>
      <c r="J15" s="23">
        <f>IFERROR('Inputs'!$J$48/'Inputs'!$J$10,"")</f>
        <v/>
      </c>
      <c r="K15" s="23">
        <f>IFERROR('Inputs'!$K$48/'Inputs'!$K$10,"")</f>
        <v/>
      </c>
      <c r="L15" s="23">
        <f>IFERROR('Inputs'!$L$48/'Inputs'!$L$10,"")</f>
        <v/>
      </c>
      <c r="M15" s="23">
        <f>IFERROR('Inputs'!$M$48/'Inputs'!$M$10,"")</f>
        <v/>
      </c>
      <c r="N15" s="23">
        <f>IFERROR('Inputs'!$N$48/'Inputs'!$N$10,"")</f>
        <v/>
      </c>
      <c r="O15" s="23">
        <f>IFERROR('Inputs'!$O$48/'Inputs'!$O$10,"")</f>
        <v/>
      </c>
      <c r="P15" s="23">
        <f>IFERROR('Inputs'!$P$48/'Inputs'!$P$10,"")</f>
        <v/>
      </c>
      <c r="Q15" s="18">
        <f>IF(AND(ISNUMBER($K$15),ISNUMBER($J$15)),CHOOSE(2+($K$15&gt;$J$15)-($K$15&lt;$J$15),"▼","►","▲"),"")</f>
        <v/>
      </c>
      <c r="R15" s="18">
        <f>IF(ISNUMBER($K$15),CHOOSE(1+($K$15&gt;=0.03)+($K$15&gt;=0.1),"Weak","Average","Strong"),"")</f>
        <v/>
      </c>
    </row>
    <row r="17" ht="20" customHeight="1">
      <c r="A17" s="3" t="inlineStr">
        <is>
          <t>Returns on Capital</t>
        </is>
      </c>
    </row>
    <row r="18">
      <c r="A18" s="4" t="inlineStr">
        <is>
          <t>Return on equity (ROE)</t>
        </is>
      </c>
      <c r="B18" s="23" t="n"/>
      <c r="C18" s="23">
        <f>IFERROR('Inputs'!$C$21/'Inputs'!$C$74,"")</f>
        <v/>
      </c>
      <c r="D18" s="23">
        <f>IFERROR('Inputs'!$D$21/'Inputs'!$D$74,"")</f>
        <v/>
      </c>
      <c r="E18" s="23">
        <f>IFERROR('Inputs'!$E$21/'Inputs'!$E$74,"")</f>
        <v/>
      </c>
      <c r="F18" s="23">
        <f>IFERROR('Inputs'!$F$21/'Inputs'!$F$74,"")</f>
        <v/>
      </c>
      <c r="G18" s="23">
        <f>IFERROR('Inputs'!$G$21/'Inputs'!$G$74,"")</f>
        <v/>
      </c>
      <c r="H18" s="23">
        <f>IFERROR('Inputs'!$H$21/'Inputs'!$H$74,"")</f>
        <v/>
      </c>
      <c r="I18" s="23">
        <f>IFERROR('Inputs'!$I$21/'Inputs'!$I$74,"")</f>
        <v/>
      </c>
      <c r="J18" s="23">
        <f>IFERROR('Inputs'!$J$21/'Inputs'!$J$74,"")</f>
        <v/>
      </c>
      <c r="K18" s="23">
        <f>IFERROR('Inputs'!$K$21/'Inputs'!$K$74,"")</f>
        <v/>
      </c>
      <c r="L18" s="23">
        <f>IFERROR('Inputs'!$L$21/'Inputs'!$L$74,"")</f>
        <v/>
      </c>
      <c r="M18" s="23">
        <f>IFERROR('Inputs'!$M$21/'Inputs'!$M$74,"")</f>
        <v/>
      </c>
      <c r="N18" s="23">
        <f>IFERROR('Inputs'!$N$21/'Inputs'!$N$74,"")</f>
        <v/>
      </c>
      <c r="O18" s="23">
        <f>IFERROR('Inputs'!$O$21/'Inputs'!$O$74,"")</f>
        <v/>
      </c>
      <c r="P18" s="23">
        <f>IFERROR('Inputs'!$P$21/'Inputs'!$P$74,"")</f>
        <v/>
      </c>
      <c r="Q18" s="18">
        <f>IF(AND(ISNUMBER($K$18),ISNUMBER($J$18)),CHOOSE(2+($K$18&gt;$J$18)-($K$18&lt;$J$18),"▼","►","▲"),"")</f>
        <v/>
      </c>
      <c r="R18" s="18">
        <f>IF(ISNUMBER($K$18),CHOOSE(1+($K$18&gt;=0.08)+($K$18&gt;=0.15),"Weak","Average","Strong"),"")</f>
        <v/>
      </c>
    </row>
    <row r="19">
      <c r="A19" s="4" t="inlineStr">
        <is>
          <t>Return on assets (ROA)</t>
        </is>
      </c>
      <c r="B19" s="23" t="n"/>
      <c r="C19" s="23">
        <f>IFERROR('Inputs'!$C$21/'Inputs'!$C$75,"")</f>
        <v/>
      </c>
      <c r="D19" s="23">
        <f>IFERROR('Inputs'!$D$21/'Inputs'!$D$75,"")</f>
        <v/>
      </c>
      <c r="E19" s="23">
        <f>IFERROR('Inputs'!$E$21/'Inputs'!$E$75,"")</f>
        <v/>
      </c>
      <c r="F19" s="23">
        <f>IFERROR('Inputs'!$F$21/'Inputs'!$F$75,"")</f>
        <v/>
      </c>
      <c r="G19" s="23">
        <f>IFERROR('Inputs'!$G$21/'Inputs'!$G$75,"")</f>
        <v/>
      </c>
      <c r="H19" s="23">
        <f>IFERROR('Inputs'!$H$21/'Inputs'!$H$75,"")</f>
        <v/>
      </c>
      <c r="I19" s="23">
        <f>IFERROR('Inputs'!$I$21/'Inputs'!$I$75,"")</f>
        <v/>
      </c>
      <c r="J19" s="23">
        <f>IFERROR('Inputs'!$J$21/'Inputs'!$J$75,"")</f>
        <v/>
      </c>
      <c r="K19" s="23">
        <f>IFERROR('Inputs'!$K$21/'Inputs'!$K$75,"")</f>
        <v/>
      </c>
      <c r="L19" s="23">
        <f>IFERROR('Inputs'!$L$21/'Inputs'!$L$75,"")</f>
        <v/>
      </c>
      <c r="M19" s="23">
        <f>IFERROR('Inputs'!$M$21/'Inputs'!$M$75,"")</f>
        <v/>
      </c>
      <c r="N19" s="23">
        <f>IFERROR('Inputs'!$N$21/'Inputs'!$N$75,"")</f>
        <v/>
      </c>
      <c r="O19" s="23">
        <f>IFERROR('Inputs'!$O$21/'Inputs'!$O$75,"")</f>
        <v/>
      </c>
      <c r="P19" s="23">
        <f>IFERROR('Inputs'!$P$21/'Inputs'!$P$75,"")</f>
        <v/>
      </c>
      <c r="Q19" s="18">
        <f>IF(AND(ISNUMBER($K$19),ISNUMBER($J$19)),CHOOSE(2+($K$19&gt;$J$19)-($K$19&lt;$J$19),"▼","►","▲"),"")</f>
        <v/>
      </c>
      <c r="R19" s="18">
        <f>IF(ISNUMBER($K$19),CHOOSE(1+($K$19&gt;=0.03)+($K$19&gt;=0.07),"Weak","Average","Strong"),"")</f>
        <v/>
      </c>
    </row>
    <row r="20">
      <c r="A20" s="4" t="inlineStr">
        <is>
          <t>Return on invested capital (ROIC)</t>
        </is>
      </c>
      <c r="B20" s="23" t="n"/>
      <c r="C20" s="23">
        <f>IFERROR('Inputs'!$C$71/'Inputs'!$C$80,"")</f>
        <v/>
      </c>
      <c r="D20" s="23">
        <f>IFERROR('Inputs'!$D$71/'Inputs'!$D$80,"")</f>
        <v/>
      </c>
      <c r="E20" s="23">
        <f>IFERROR('Inputs'!$E$71/'Inputs'!$E$80,"")</f>
        <v/>
      </c>
      <c r="F20" s="23">
        <f>IFERROR('Inputs'!$F$71/'Inputs'!$F$80,"")</f>
        <v/>
      </c>
      <c r="G20" s="23">
        <f>IFERROR('Inputs'!$G$71/'Inputs'!$G$80,"")</f>
        <v/>
      </c>
      <c r="H20" s="23">
        <f>IFERROR('Inputs'!$H$71/'Inputs'!$H$80,"")</f>
        <v/>
      </c>
      <c r="I20" s="23">
        <f>IFERROR('Inputs'!$I$71/'Inputs'!$I$80,"")</f>
        <v/>
      </c>
      <c r="J20" s="23">
        <f>IFERROR('Inputs'!$J$71/'Inputs'!$J$80,"")</f>
        <v/>
      </c>
      <c r="K20" s="23">
        <f>IFERROR('Inputs'!$K$71/'Inputs'!$K$80,"")</f>
        <v/>
      </c>
      <c r="L20" s="23">
        <f>IFERROR('Inputs'!$L$71/'Inputs'!$L$80,"")</f>
        <v/>
      </c>
      <c r="M20" s="23">
        <f>IFERROR('Inputs'!$M$71/'Inputs'!$M$80,"")</f>
        <v/>
      </c>
      <c r="N20" s="23">
        <f>IFERROR('Inputs'!$N$71/'Inputs'!$N$80,"")</f>
        <v/>
      </c>
      <c r="O20" s="23">
        <f>IFERROR('Inputs'!$O$71/'Inputs'!$O$80,"")</f>
        <v/>
      </c>
      <c r="P20" s="23">
        <f>IFERROR('Inputs'!$P$71/'Inputs'!$P$80,"")</f>
        <v/>
      </c>
      <c r="Q20" s="18">
        <f>IF(AND(ISNUMBER($K$20),ISNUMBER($J$20)),CHOOSE(2+($K$20&gt;$J$20)-($K$20&lt;$J$20),"▼","►","▲"),"")</f>
        <v/>
      </c>
      <c r="R20" s="18">
        <f>IF(ISNUMBER($K$20),CHOOSE(1+($K$20&gt;=0.08)+($K$20&gt;=0.12),"Weak","Average","Strong"),"")</f>
        <v/>
      </c>
    </row>
    <row r="21">
      <c r="A21" s="4" t="inlineStr">
        <is>
          <t>Return on capital employed (ROCE)</t>
        </is>
      </c>
      <c r="B21" s="23">
        <f>IFERROR('Inputs'!$B$16/'Inputs'!$B$69,"")</f>
        <v/>
      </c>
      <c r="C21" s="23">
        <f>IFERROR('Inputs'!$C$16/'Inputs'!$C$69,"")</f>
        <v/>
      </c>
      <c r="D21" s="23">
        <f>IFERROR('Inputs'!$D$16/'Inputs'!$D$69,"")</f>
        <v/>
      </c>
      <c r="E21" s="23">
        <f>IFERROR('Inputs'!$E$16/'Inputs'!$E$69,"")</f>
        <v/>
      </c>
      <c r="F21" s="23">
        <f>IFERROR('Inputs'!$F$16/'Inputs'!$F$69,"")</f>
        <v/>
      </c>
      <c r="G21" s="23">
        <f>IFERROR('Inputs'!$G$16/'Inputs'!$G$69,"")</f>
        <v/>
      </c>
      <c r="H21" s="23">
        <f>IFERROR('Inputs'!$H$16/'Inputs'!$H$69,"")</f>
        <v/>
      </c>
      <c r="I21" s="23">
        <f>IFERROR('Inputs'!$I$16/'Inputs'!$I$69,"")</f>
        <v/>
      </c>
      <c r="J21" s="23">
        <f>IFERROR('Inputs'!$J$16/'Inputs'!$J$69,"")</f>
        <v/>
      </c>
      <c r="K21" s="23">
        <f>IFERROR('Inputs'!$K$16/'Inputs'!$K$69,"")</f>
        <v/>
      </c>
      <c r="L21" s="23">
        <f>IFERROR('Inputs'!$L$16/'Inputs'!$L$69,"")</f>
        <v/>
      </c>
      <c r="M21" s="23">
        <f>IFERROR('Inputs'!$M$16/'Inputs'!$M$69,"")</f>
        <v/>
      </c>
      <c r="N21" s="23">
        <f>IFERROR('Inputs'!$N$16/'Inputs'!$N$69,"")</f>
        <v/>
      </c>
      <c r="O21" s="23">
        <f>IFERROR('Inputs'!$O$16/'Inputs'!$O$69,"")</f>
        <v/>
      </c>
      <c r="P21" s="23">
        <f>IFERROR('Inputs'!$P$16/'Inputs'!$P$69,"")</f>
        <v/>
      </c>
      <c r="Q21" s="18">
        <f>IF(AND(ISNUMBER($K$21),ISNUMBER($J$21)),CHOOSE(2+($K$21&gt;$J$21)-($K$21&lt;$J$21),"▼","►","▲"),"")</f>
        <v/>
      </c>
      <c r="R21" s="18">
        <f>IF(ISNUMBER($K$21),CHOOSE(1+($K$21&gt;=0.08)+($K$21&gt;=0.12),"Weak","Average","Strong"),"")</f>
        <v/>
      </c>
    </row>
    <row r="22">
      <c r="A22" s="4" t="inlineStr">
        <is>
          <t>Cash ROIC (FCF / invested capital)</t>
        </is>
      </c>
      <c r="B22" s="23">
        <f>IFERROR('Inputs'!$B$48/'Inputs'!$B$70,"")</f>
        <v/>
      </c>
      <c r="C22" s="23">
        <f>IFERROR('Inputs'!$C$48/'Inputs'!$C$70,"")</f>
        <v/>
      </c>
      <c r="D22" s="23">
        <f>IFERROR('Inputs'!$D$48/'Inputs'!$D$70,"")</f>
        <v/>
      </c>
      <c r="E22" s="23">
        <f>IFERROR('Inputs'!$E$48/'Inputs'!$E$70,"")</f>
        <v/>
      </c>
      <c r="F22" s="23">
        <f>IFERROR('Inputs'!$F$48/'Inputs'!$F$70,"")</f>
        <v/>
      </c>
      <c r="G22" s="23">
        <f>IFERROR('Inputs'!$G$48/'Inputs'!$G$70,"")</f>
        <v/>
      </c>
      <c r="H22" s="23">
        <f>IFERROR('Inputs'!$H$48/'Inputs'!$H$70,"")</f>
        <v/>
      </c>
      <c r="I22" s="23">
        <f>IFERROR('Inputs'!$I$48/'Inputs'!$I$70,"")</f>
        <v/>
      </c>
      <c r="J22" s="23">
        <f>IFERROR('Inputs'!$J$48/'Inputs'!$J$70,"")</f>
        <v/>
      </c>
      <c r="K22" s="23">
        <f>IFERROR('Inputs'!$K$48/'Inputs'!$K$70,"")</f>
        <v/>
      </c>
      <c r="L22" s="23">
        <f>IFERROR('Inputs'!$L$48/'Inputs'!$L$70,"")</f>
        <v/>
      </c>
      <c r="M22" s="23">
        <f>IFERROR('Inputs'!$M$48/'Inputs'!$M$70,"")</f>
        <v/>
      </c>
      <c r="N22" s="23">
        <f>IFERROR('Inputs'!$N$48/'Inputs'!$N$70,"")</f>
        <v/>
      </c>
      <c r="O22" s="23">
        <f>IFERROR('Inputs'!$O$48/'Inputs'!$O$70,"")</f>
        <v/>
      </c>
      <c r="P22" s="23">
        <f>IFERROR('Inputs'!$P$48/'Inputs'!$P$70,"")</f>
        <v/>
      </c>
      <c r="Q22" s="18">
        <f>IF(AND(ISNUMBER($K$22),ISNUMBER($J$22)),CHOOSE(2+($K$22&gt;$J$22)-($K$22&lt;$J$22),"▼","►","▲"),"")</f>
        <v/>
      </c>
      <c r="R22" s="18">
        <f>IF(AND(ISNUMBER($K$22),ISNUMBER(AVERAGE($B$22:$K$22))),CHOOSE(2+($K$22&gt;AVERAGE($B$22:$K$22)*(1+0.05))-($K$22&lt;AVERAGE($B$22:$K$22)*(1-0.05)),"Weak","Stable","Strong"),"")</f>
        <v/>
      </c>
    </row>
    <row r="24" ht="20" customHeight="1">
      <c r="A24" s="3" t="inlineStr">
        <is>
          <t>DuPont Decomposition   (ROE = Net margin × Asset turnover × Equity multiplier)</t>
        </is>
      </c>
    </row>
    <row r="25">
      <c r="A25" s="4" t="inlineStr">
        <is>
          <t>Net profit margin</t>
        </is>
      </c>
      <c r="B25" s="23">
        <f>IFERROR('Inputs'!$B$21/'Inputs'!$B$10,"")</f>
        <v/>
      </c>
      <c r="C25" s="23">
        <f>IFERROR('Inputs'!$C$21/'Inputs'!$C$10,"")</f>
        <v/>
      </c>
      <c r="D25" s="23">
        <f>IFERROR('Inputs'!$D$21/'Inputs'!$D$10,"")</f>
        <v/>
      </c>
      <c r="E25" s="23">
        <f>IFERROR('Inputs'!$E$21/'Inputs'!$E$10,"")</f>
        <v/>
      </c>
      <c r="F25" s="23">
        <f>IFERROR('Inputs'!$F$21/'Inputs'!$F$10,"")</f>
        <v/>
      </c>
      <c r="G25" s="23">
        <f>IFERROR('Inputs'!$G$21/'Inputs'!$G$10,"")</f>
        <v/>
      </c>
      <c r="H25" s="23">
        <f>IFERROR('Inputs'!$H$21/'Inputs'!$H$10,"")</f>
        <v/>
      </c>
      <c r="I25" s="23">
        <f>IFERROR('Inputs'!$I$21/'Inputs'!$I$10,"")</f>
        <v/>
      </c>
      <c r="J25" s="23">
        <f>IFERROR('Inputs'!$J$21/'Inputs'!$J$10,"")</f>
        <v/>
      </c>
      <c r="K25" s="23">
        <f>IFERROR('Inputs'!$K$21/'Inputs'!$K$10,"")</f>
        <v/>
      </c>
      <c r="L25" s="23">
        <f>IFERROR('Inputs'!$L$21/'Inputs'!$L$10,"")</f>
        <v/>
      </c>
      <c r="M25" s="23">
        <f>IFERROR('Inputs'!$M$21/'Inputs'!$M$10,"")</f>
        <v/>
      </c>
      <c r="N25" s="23">
        <f>IFERROR('Inputs'!$N$21/'Inputs'!$N$10,"")</f>
        <v/>
      </c>
      <c r="O25" s="23">
        <f>IFERROR('Inputs'!$O$21/'Inputs'!$O$10,"")</f>
        <v/>
      </c>
      <c r="P25" s="23">
        <f>IFERROR('Inputs'!$P$21/'Inputs'!$P$10,"")</f>
        <v/>
      </c>
      <c r="Q25" s="18">
        <f>IF(AND(ISNUMBER($K$25),ISNUMBER($J$25)),CHOOSE(2+($K$25&gt;$J$25)-($K$25&lt;$J$25),"▼","►","▲"),"")</f>
        <v/>
      </c>
    </row>
    <row r="26">
      <c r="A26" s="4" t="inlineStr">
        <is>
          <t>Asset turnover</t>
        </is>
      </c>
      <c r="B26" s="24" t="n"/>
      <c r="C26" s="24">
        <f>IFERROR('Inputs'!$C$10/'Inputs'!$C$75,"")</f>
        <v/>
      </c>
      <c r="D26" s="24">
        <f>IFERROR('Inputs'!$D$10/'Inputs'!$D$75,"")</f>
        <v/>
      </c>
      <c r="E26" s="24">
        <f>IFERROR('Inputs'!$E$10/'Inputs'!$E$75,"")</f>
        <v/>
      </c>
      <c r="F26" s="24">
        <f>IFERROR('Inputs'!$F$10/'Inputs'!$F$75,"")</f>
        <v/>
      </c>
      <c r="G26" s="24">
        <f>IFERROR('Inputs'!$G$10/'Inputs'!$G$75,"")</f>
        <v/>
      </c>
      <c r="H26" s="24">
        <f>IFERROR('Inputs'!$H$10/'Inputs'!$H$75,"")</f>
        <v/>
      </c>
      <c r="I26" s="24">
        <f>IFERROR('Inputs'!$I$10/'Inputs'!$I$75,"")</f>
        <v/>
      </c>
      <c r="J26" s="24">
        <f>IFERROR('Inputs'!$J$10/'Inputs'!$J$75,"")</f>
        <v/>
      </c>
      <c r="K26" s="24">
        <f>IFERROR('Inputs'!$K$10/'Inputs'!$K$75,"")</f>
        <v/>
      </c>
      <c r="L26" s="24">
        <f>IFERROR('Inputs'!$L$10/'Inputs'!$L$75,"")</f>
        <v/>
      </c>
      <c r="M26" s="24">
        <f>IFERROR('Inputs'!$M$10/'Inputs'!$M$75,"")</f>
        <v/>
      </c>
      <c r="N26" s="24">
        <f>IFERROR('Inputs'!$N$10/'Inputs'!$N$75,"")</f>
        <v/>
      </c>
      <c r="O26" s="24">
        <f>IFERROR('Inputs'!$O$10/'Inputs'!$O$75,"")</f>
        <v/>
      </c>
      <c r="P26" s="24">
        <f>IFERROR('Inputs'!$P$10/'Inputs'!$P$75,"")</f>
        <v/>
      </c>
      <c r="Q26" s="18">
        <f>IF(AND(ISNUMBER($K$26),ISNUMBER($J$26)),CHOOSE(2+($K$26&gt;$J$26)-($K$26&lt;$J$26),"▼","►","▲"),"")</f>
        <v/>
      </c>
    </row>
    <row r="27">
      <c r="A27" s="4" t="inlineStr">
        <is>
          <t>Equity multiplier (leverage)</t>
        </is>
      </c>
      <c r="B27" s="24" t="n"/>
      <c r="C27" s="24">
        <f>IFERROR('Inputs'!$C$75/'Inputs'!$C$74,"")</f>
        <v/>
      </c>
      <c r="D27" s="24">
        <f>IFERROR('Inputs'!$D$75/'Inputs'!$D$74,"")</f>
        <v/>
      </c>
      <c r="E27" s="24">
        <f>IFERROR('Inputs'!$E$75/'Inputs'!$E$74,"")</f>
        <v/>
      </c>
      <c r="F27" s="24">
        <f>IFERROR('Inputs'!$F$75/'Inputs'!$F$74,"")</f>
        <v/>
      </c>
      <c r="G27" s="24">
        <f>IFERROR('Inputs'!$G$75/'Inputs'!$G$74,"")</f>
        <v/>
      </c>
      <c r="H27" s="24">
        <f>IFERROR('Inputs'!$H$75/'Inputs'!$H$74,"")</f>
        <v/>
      </c>
      <c r="I27" s="24">
        <f>IFERROR('Inputs'!$I$75/'Inputs'!$I$74,"")</f>
        <v/>
      </c>
      <c r="J27" s="24">
        <f>IFERROR('Inputs'!$J$75/'Inputs'!$J$74,"")</f>
        <v/>
      </c>
      <c r="K27" s="24">
        <f>IFERROR('Inputs'!$K$75/'Inputs'!$K$74,"")</f>
        <v/>
      </c>
      <c r="L27" s="24">
        <f>IFERROR('Inputs'!$L$75/'Inputs'!$L$74,"")</f>
        <v/>
      </c>
      <c r="M27" s="24">
        <f>IFERROR('Inputs'!$M$75/'Inputs'!$M$74,"")</f>
        <v/>
      </c>
      <c r="N27" s="24">
        <f>IFERROR('Inputs'!$N$75/'Inputs'!$N$74,"")</f>
        <v/>
      </c>
      <c r="O27" s="24">
        <f>IFERROR('Inputs'!$O$75/'Inputs'!$O$74,"")</f>
        <v/>
      </c>
      <c r="P27" s="24">
        <f>IFERROR('Inputs'!$P$75/'Inputs'!$P$74,"")</f>
        <v/>
      </c>
      <c r="Q27" s="18">
        <f>IF(AND(ISNUMBER($K$27),ISNUMBER($J$27)),CHOOSE(2+($K$27&gt;$J$27)-($K$27&lt;$J$27),"▼","►","▲"),"")</f>
        <v/>
      </c>
    </row>
    <row r="28">
      <c r="A28" s="12" t="inlineStr">
        <is>
          <t>ROE (DuPont, computed)</t>
        </is>
      </c>
      <c r="B28" s="23" t="n"/>
      <c r="C28" s="23">
        <f>IFERROR('Profitability'!$C$25*'Profitability'!$C$26*'Profitability'!$C$27,"")</f>
        <v/>
      </c>
      <c r="D28" s="23">
        <f>IFERROR('Profitability'!$D$25*'Profitability'!$D$26*'Profitability'!$D$27,"")</f>
        <v/>
      </c>
      <c r="E28" s="23">
        <f>IFERROR('Profitability'!$E$25*'Profitability'!$E$26*'Profitability'!$E$27,"")</f>
        <v/>
      </c>
      <c r="F28" s="23">
        <f>IFERROR('Profitability'!$F$25*'Profitability'!$F$26*'Profitability'!$F$27,"")</f>
        <v/>
      </c>
      <c r="G28" s="23">
        <f>IFERROR('Profitability'!$G$25*'Profitability'!$G$26*'Profitability'!$G$27,"")</f>
        <v/>
      </c>
      <c r="H28" s="23">
        <f>IFERROR('Profitability'!$H$25*'Profitability'!$H$26*'Profitability'!$H$27,"")</f>
        <v/>
      </c>
      <c r="I28" s="23">
        <f>IFERROR('Profitability'!$I$25*'Profitability'!$I$26*'Profitability'!$I$27,"")</f>
        <v/>
      </c>
      <c r="J28" s="23">
        <f>IFERROR('Profitability'!$J$25*'Profitability'!$J$26*'Profitability'!$J$27,"")</f>
        <v/>
      </c>
      <c r="K28" s="23">
        <f>IFERROR('Profitability'!$K$25*'Profitability'!$K$26*'Profitability'!$K$27,"")</f>
        <v/>
      </c>
      <c r="L28" s="23">
        <f>IFERROR('Profitability'!$L$25*'Profitability'!$L$26*'Profitability'!$L$27,"")</f>
        <v/>
      </c>
      <c r="M28" s="23">
        <f>IFERROR('Profitability'!$M$25*'Profitability'!$M$26*'Profitability'!$M$27,"")</f>
        <v/>
      </c>
      <c r="N28" s="23">
        <f>IFERROR('Profitability'!$N$25*'Profitability'!$N$26*'Profitability'!$N$27,"")</f>
        <v/>
      </c>
      <c r="O28" s="23">
        <f>IFERROR('Profitability'!$O$25*'Profitability'!$O$26*'Profitability'!$O$27,"")</f>
        <v/>
      </c>
      <c r="P28" s="23">
        <f>IFERROR('Profitability'!$P$25*'Profitability'!$P$26*'Profitability'!$P$27,"")</f>
        <v/>
      </c>
      <c r="Q28" s="18">
        <f>IF(AND(ISNUMBER($K$28),ISNUMBER($J$28)),CHOOSE(2+($K$28&gt;$J$28)-($K$28&lt;$J$28),"▼","►","▲"),"")</f>
        <v/>
      </c>
    </row>
    <row r="29">
      <c r="A29" s="19" t="inlineStr">
        <is>
          <t>DuPont ROE should equal the ROE above — a built-in audit of the decomposition.</t>
        </is>
      </c>
    </row>
    <row r="31" ht="20" customHeight="1">
      <c r="A31" s="3" t="inlineStr">
        <is>
          <t>Capital Retention</t>
        </is>
      </c>
    </row>
    <row r="32">
      <c r="A32" s="4" t="inlineStr">
        <is>
          <t>Retention ratio (1 − payout)</t>
        </is>
      </c>
      <c r="B32" s="23">
        <f>IFERROR(1-'Inputs'!$B$49/'Inputs'!$B$21,"")</f>
        <v/>
      </c>
      <c r="C32" s="23">
        <f>IFERROR(1-'Inputs'!$C$49/'Inputs'!$C$21,"")</f>
        <v/>
      </c>
      <c r="D32" s="23">
        <f>IFERROR(1-'Inputs'!$D$49/'Inputs'!$D$21,"")</f>
        <v/>
      </c>
      <c r="E32" s="23">
        <f>IFERROR(1-'Inputs'!$E$49/'Inputs'!$E$21,"")</f>
        <v/>
      </c>
      <c r="F32" s="23">
        <f>IFERROR(1-'Inputs'!$F$49/'Inputs'!$F$21,"")</f>
        <v/>
      </c>
      <c r="G32" s="23">
        <f>IFERROR(1-'Inputs'!$G$49/'Inputs'!$G$21,"")</f>
        <v/>
      </c>
      <c r="H32" s="23">
        <f>IFERROR(1-'Inputs'!$H$49/'Inputs'!$H$21,"")</f>
        <v/>
      </c>
      <c r="I32" s="23">
        <f>IFERROR(1-'Inputs'!$I$49/'Inputs'!$I$21,"")</f>
        <v/>
      </c>
      <c r="J32" s="23">
        <f>IFERROR(1-'Inputs'!$J$49/'Inputs'!$J$21,"")</f>
        <v/>
      </c>
      <c r="K32" s="23">
        <f>IFERROR(1-'Inputs'!$K$49/'Inputs'!$K$21,"")</f>
        <v/>
      </c>
      <c r="L32" s="23">
        <f>IFERROR(1-'Inputs'!$L$49/'Inputs'!$L$21,"")</f>
        <v/>
      </c>
      <c r="M32" s="23">
        <f>IFERROR(1-'Inputs'!$M$49/'Inputs'!$M$21,"")</f>
        <v/>
      </c>
      <c r="N32" s="23">
        <f>IFERROR(1-'Inputs'!$N$49/'Inputs'!$N$21,"")</f>
        <v/>
      </c>
      <c r="O32" s="23">
        <f>IFERROR(1-'Inputs'!$O$49/'Inputs'!$O$21,"")</f>
        <v/>
      </c>
      <c r="P32" s="23">
        <f>IFERROR(1-'Inputs'!$P$49/'Inputs'!$P$21,"")</f>
        <v/>
      </c>
      <c r="Q32" s="18">
        <f>IF(AND(ISNUMBER($K$32),ISNUMBER($J$32)),CHOOSE(2+($K$32&gt;$J$32)-($K$32&lt;$J$32),"▼","►","▲"),"")</f>
        <v/>
      </c>
      <c r="R32" s="18">
        <f>IF(AND(ISNUMBER($K$32),ISNUMBER(AVERAGE($B$32:$K$32))),CHOOSE(2+($K$32&gt;AVERAGE($B$32:$K$32)*(1+0.05))-($K$32&lt;AVERAGE($B$32:$K$32)*(1-0.05)),"Falling","Stable","Rising"),"")</f>
        <v/>
      </c>
    </row>
    <row r="34" ht="20" customHeight="1">
      <c r="A34" s="3" t="inlineStr">
        <is>
          <t>Automated Observations</t>
        </is>
      </c>
    </row>
    <row r="35" ht="20" customHeight="1">
      <c r="A35" s="29">
        <f>IFERROR("» Operating margin "&amp;CHOOSE(2+('Profitability'!$K$12&gt;'Profitability'!$B$12)-('Profitability'!$K$12&lt;'Profitability'!$B$12),"contracted","was broadly flat","expanded")&amp;" by "&amp;TEXT(ABS(('Profitability'!$K$12-'Profitability'!$B$12)*10000),"#,##0")&amp;" bps over the historical period, to "&amp;TEXT('Profitability'!$K$12,"0.0%")&amp;".","(insufficient data — populate inputs)")</f>
        <v/>
      </c>
    </row>
    <row r="36" ht="20" customHeight="1">
      <c r="A36" s="29">
        <f>IFERROR("» ROIC of "&amp;TEXT('Profitability'!$K$20,"0.0%")&amp;" is "&amp;IF('Profitability'!$K$20&gt;'Inputs'!$B$82,"above","below")&amp;" the WACC of "&amp;TEXT('Inputs'!$B$82,"0.0%")&amp;" — "&amp;IF('Profitability'!$K$20&gt;'Inputs'!$B$82,"the business is creating economic value.","the business is not covering its cost of capital."),"(insufficient data — populate inputs)")</f>
        <v/>
      </c>
    </row>
    <row r="37" ht="20" customHeight="1">
      <c r="A37" s="29">
        <f>IFERROR("» Net margin is currently "&amp;TEXT('Profitability'!$K$14,"0.0%")&amp;" — assessed "&amp;'Profitability'!$R$14&amp;".","(insufficient data — populate inputs)")</f>
        <v/>
      </c>
    </row>
  </sheetData>
  <mergeCells count="13">
    <mergeCell ref="A3:R3"/>
    <mergeCell ref="A29:R29"/>
    <mergeCell ref="A7:R7"/>
    <mergeCell ref="A24:R24"/>
    <mergeCell ref="A2:R2"/>
    <mergeCell ref="A36:R36"/>
    <mergeCell ref="A1:R1"/>
    <mergeCell ref="A17:R17"/>
    <mergeCell ref="A9:R9"/>
    <mergeCell ref="A37:R37"/>
    <mergeCell ref="A31:R31"/>
    <mergeCell ref="A34:R34"/>
    <mergeCell ref="A35:R35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P20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1:P21">
    <cfRule type="colorScale" priority="1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2:P22">
    <cfRule type="colorScale" priority="1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5:P25">
    <cfRule type="colorScale" priority="1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6:P26">
    <cfRule type="colorScale" priority="1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7:P27">
    <cfRule type="colorScale" priority="1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8:P28">
    <cfRule type="colorScale" priority="1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2:P32">
    <cfRule type="colorScale" priority="1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32">
    <cfRule type="expression" priority="17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8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9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6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2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LIQUIDITY RATIOS</t>
        </is>
      </c>
    </row>
    <row r="2">
      <c r="A2" s="2" t="inlineStr">
        <is>
          <t>Short-term solvency and working-capital strength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Liquidity ratio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Coverage of Current Liabilities</t>
        </is>
      </c>
    </row>
    <row r="10">
      <c r="A10" s="4" t="inlineStr">
        <is>
          <t>Current ratio</t>
        </is>
      </c>
      <c r="B10" s="24">
        <f>IFERROR('Inputs'!$B$27/'Inputs'!$B$37,"")</f>
        <v/>
      </c>
      <c r="C10" s="24">
        <f>IFERROR('Inputs'!$C$27/'Inputs'!$C$37,"")</f>
        <v/>
      </c>
      <c r="D10" s="24">
        <f>IFERROR('Inputs'!$D$27/'Inputs'!$D$37,"")</f>
        <v/>
      </c>
      <c r="E10" s="24">
        <f>IFERROR('Inputs'!$E$27/'Inputs'!$E$37,"")</f>
        <v/>
      </c>
      <c r="F10" s="24">
        <f>IFERROR('Inputs'!$F$27/'Inputs'!$F$37,"")</f>
        <v/>
      </c>
      <c r="G10" s="24">
        <f>IFERROR('Inputs'!$G$27/'Inputs'!$G$37,"")</f>
        <v/>
      </c>
      <c r="H10" s="24">
        <f>IFERROR('Inputs'!$H$27/'Inputs'!$H$37,"")</f>
        <v/>
      </c>
      <c r="I10" s="24">
        <f>IFERROR('Inputs'!$I$27/'Inputs'!$I$37,"")</f>
        <v/>
      </c>
      <c r="J10" s="24">
        <f>IFERROR('Inputs'!$J$27/'Inputs'!$J$37,"")</f>
        <v/>
      </c>
      <c r="K10" s="24">
        <f>IFERROR('Inputs'!$K$27/'Inputs'!$K$37,"")</f>
        <v/>
      </c>
      <c r="L10" s="24">
        <f>IFERROR('Inputs'!$L$27/'Inputs'!$L$37,"")</f>
        <v/>
      </c>
      <c r="M10" s="24">
        <f>IFERROR('Inputs'!$M$27/'Inputs'!$M$37,"")</f>
        <v/>
      </c>
      <c r="N10" s="24">
        <f>IFERROR('Inputs'!$N$27/'Inputs'!$N$37,"")</f>
        <v/>
      </c>
      <c r="O10" s="24">
        <f>IFERROR('Inputs'!$O$27/'Inputs'!$O$37,"")</f>
        <v/>
      </c>
      <c r="P10" s="24">
        <f>IFERROR('Inputs'!$P$27/'Inputs'!$P$37,"")</f>
        <v/>
      </c>
      <c r="Q10" s="18">
        <f>IF(AND(ISNUMBER($K$10),ISNUMBER($J$10)),CHOOSE(2+($K$10&gt;$J$10)-($K$10&lt;$J$10),"▼","►","▲"),"")</f>
        <v/>
      </c>
      <c r="R10" s="18">
        <f>IF(ISNUMBER($K$10),CHOOSE(1+($K$10&gt;=1.0)+($K$10&gt;=2.0),"Weak","Adequate","Strong"),"")</f>
        <v/>
      </c>
    </row>
    <row r="11">
      <c r="A11" s="4" t="inlineStr">
        <is>
          <t>Quick ratio (ex-inventory)</t>
        </is>
      </c>
      <c r="B11" s="24">
        <f>IFERROR(('Inputs'!$B$27-'Inputs'!$B$25)/'Inputs'!$B$37,"")</f>
        <v/>
      </c>
      <c r="C11" s="24">
        <f>IFERROR(('Inputs'!$C$27-'Inputs'!$C$25)/'Inputs'!$C$37,"")</f>
        <v/>
      </c>
      <c r="D11" s="24">
        <f>IFERROR(('Inputs'!$D$27-'Inputs'!$D$25)/'Inputs'!$D$37,"")</f>
        <v/>
      </c>
      <c r="E11" s="24">
        <f>IFERROR(('Inputs'!$E$27-'Inputs'!$E$25)/'Inputs'!$E$37,"")</f>
        <v/>
      </c>
      <c r="F11" s="24">
        <f>IFERROR(('Inputs'!$F$27-'Inputs'!$F$25)/'Inputs'!$F$37,"")</f>
        <v/>
      </c>
      <c r="G11" s="24">
        <f>IFERROR(('Inputs'!$G$27-'Inputs'!$G$25)/'Inputs'!$G$37,"")</f>
        <v/>
      </c>
      <c r="H11" s="24">
        <f>IFERROR(('Inputs'!$H$27-'Inputs'!$H$25)/'Inputs'!$H$37,"")</f>
        <v/>
      </c>
      <c r="I11" s="24">
        <f>IFERROR(('Inputs'!$I$27-'Inputs'!$I$25)/'Inputs'!$I$37,"")</f>
        <v/>
      </c>
      <c r="J11" s="24">
        <f>IFERROR(('Inputs'!$J$27-'Inputs'!$J$25)/'Inputs'!$J$37,"")</f>
        <v/>
      </c>
      <c r="K11" s="24">
        <f>IFERROR(('Inputs'!$K$27-'Inputs'!$K$25)/'Inputs'!$K$37,"")</f>
        <v/>
      </c>
      <c r="L11" s="24">
        <f>IFERROR(('Inputs'!$L$27-'Inputs'!$L$25)/'Inputs'!$L$37,"")</f>
        <v/>
      </c>
      <c r="M11" s="24">
        <f>IFERROR(('Inputs'!$M$27-'Inputs'!$M$25)/'Inputs'!$M$37,"")</f>
        <v/>
      </c>
      <c r="N11" s="24">
        <f>IFERROR(('Inputs'!$N$27-'Inputs'!$N$25)/'Inputs'!$N$37,"")</f>
        <v/>
      </c>
      <c r="O11" s="24">
        <f>IFERROR(('Inputs'!$O$27-'Inputs'!$O$25)/'Inputs'!$O$37,"")</f>
        <v/>
      </c>
      <c r="P11" s="24">
        <f>IFERROR(('Inputs'!$P$27-'Inputs'!$P$25)/'Inputs'!$P$37,"")</f>
        <v/>
      </c>
      <c r="Q11" s="18">
        <f>IF(AND(ISNUMBER($K$11),ISNUMBER($J$11)),CHOOSE(2+($K$11&gt;$J$11)-($K$11&lt;$J$11),"▼","►","▲"),"")</f>
        <v/>
      </c>
      <c r="R11" s="18">
        <f>IF(ISNUMBER($K$11),CHOOSE(1+($K$11&gt;=0.8)+($K$11&gt;=1.2),"Weak","Adequate","Strong"),"")</f>
        <v/>
      </c>
    </row>
    <row r="12">
      <c r="A12" s="4" t="inlineStr">
        <is>
          <t>Cash ratio</t>
        </is>
      </c>
      <c r="B12" s="24">
        <f>IFERROR('Inputs'!$B$23/'Inputs'!$B$37,"")</f>
        <v/>
      </c>
      <c r="C12" s="24">
        <f>IFERROR('Inputs'!$C$23/'Inputs'!$C$37,"")</f>
        <v/>
      </c>
      <c r="D12" s="24">
        <f>IFERROR('Inputs'!$D$23/'Inputs'!$D$37,"")</f>
        <v/>
      </c>
      <c r="E12" s="24">
        <f>IFERROR('Inputs'!$E$23/'Inputs'!$E$37,"")</f>
        <v/>
      </c>
      <c r="F12" s="24">
        <f>IFERROR('Inputs'!$F$23/'Inputs'!$F$37,"")</f>
        <v/>
      </c>
      <c r="G12" s="24">
        <f>IFERROR('Inputs'!$G$23/'Inputs'!$G$37,"")</f>
        <v/>
      </c>
      <c r="H12" s="24">
        <f>IFERROR('Inputs'!$H$23/'Inputs'!$H$37,"")</f>
        <v/>
      </c>
      <c r="I12" s="24">
        <f>IFERROR('Inputs'!$I$23/'Inputs'!$I$37,"")</f>
        <v/>
      </c>
      <c r="J12" s="24">
        <f>IFERROR('Inputs'!$J$23/'Inputs'!$J$37,"")</f>
        <v/>
      </c>
      <c r="K12" s="24">
        <f>IFERROR('Inputs'!$K$23/'Inputs'!$K$37,"")</f>
        <v/>
      </c>
      <c r="L12" s="24">
        <f>IFERROR('Inputs'!$L$23/'Inputs'!$L$37,"")</f>
        <v/>
      </c>
      <c r="M12" s="24">
        <f>IFERROR('Inputs'!$M$23/'Inputs'!$M$37,"")</f>
        <v/>
      </c>
      <c r="N12" s="24">
        <f>IFERROR('Inputs'!$N$23/'Inputs'!$N$37,"")</f>
        <v/>
      </c>
      <c r="O12" s="24">
        <f>IFERROR('Inputs'!$O$23/'Inputs'!$O$37,"")</f>
        <v/>
      </c>
      <c r="P12" s="24">
        <f>IFERROR('Inputs'!$P$23/'Inputs'!$P$37,"")</f>
        <v/>
      </c>
      <c r="Q12" s="18">
        <f>IF(AND(ISNUMBER($K$12),ISNUMBER($J$12)),CHOOSE(2+($K$12&gt;$J$12)-($K$12&lt;$J$12),"▼","►","▲"),"")</f>
        <v/>
      </c>
      <c r="R12" s="18">
        <f>IF(ISNUMBER($K$12),CHOOSE(1+($K$12&gt;=0.2)+($K$12&gt;=0.5),"Weak","Adequate","Strong"),"")</f>
        <v/>
      </c>
    </row>
    <row r="14" ht="20" customHeight="1">
      <c r="A14" s="3" t="inlineStr">
        <is>
          <t>Working Capital</t>
        </is>
      </c>
    </row>
    <row r="15">
      <c r="A15" s="4" t="inlineStr">
        <is>
          <t>Working capital</t>
        </is>
      </c>
      <c r="B15" s="33">
        <f>'Inputs'!$B$68</f>
        <v/>
      </c>
      <c r="C15" s="33">
        <f>'Inputs'!$C$68</f>
        <v/>
      </c>
      <c r="D15" s="33">
        <f>'Inputs'!$D$68</f>
        <v/>
      </c>
      <c r="E15" s="33">
        <f>'Inputs'!$E$68</f>
        <v/>
      </c>
      <c r="F15" s="33">
        <f>'Inputs'!$F$68</f>
        <v/>
      </c>
      <c r="G15" s="33">
        <f>'Inputs'!$G$68</f>
        <v/>
      </c>
      <c r="H15" s="33">
        <f>'Inputs'!$H$68</f>
        <v/>
      </c>
      <c r="I15" s="33">
        <f>'Inputs'!$I$68</f>
        <v/>
      </c>
      <c r="J15" s="33">
        <f>'Inputs'!$J$68</f>
        <v/>
      </c>
      <c r="K15" s="33">
        <f>'Inputs'!$K$68</f>
        <v/>
      </c>
      <c r="L15" s="33">
        <f>'Inputs'!$L$68</f>
        <v/>
      </c>
      <c r="M15" s="33">
        <f>'Inputs'!$M$68</f>
        <v/>
      </c>
      <c r="N15" s="33">
        <f>'Inputs'!$N$68</f>
        <v/>
      </c>
      <c r="O15" s="33">
        <f>'Inputs'!$O$68</f>
        <v/>
      </c>
      <c r="P15" s="33">
        <f>'Inputs'!$P$68</f>
        <v/>
      </c>
      <c r="Q15" s="18">
        <f>IF(AND(ISNUMBER($K$15),ISNUMBER($J$15)),CHOOSE(2+($K$15&gt;$J$15)-($K$15&lt;$J$15),"▼","►","▲"),"")</f>
        <v/>
      </c>
      <c r="R15" s="18">
        <f>IF(AND(ISNUMBER($K$15),ISNUMBER(AVERAGE($B$15:$K$15))),CHOOSE(2+($K$15&gt;AVERAGE($B$15:$K$15)*(1+0.05))-($K$15&lt;AVERAGE($B$15:$K$15)*(1-0.05)),"Falling","Stable","Rising"),"")</f>
        <v/>
      </c>
    </row>
    <row r="16">
      <c r="A16" s="4" t="inlineStr">
        <is>
          <t>Working capital / revenue</t>
        </is>
      </c>
      <c r="B16" s="23">
        <f>IFERROR('Inputs'!$B$68/'Inputs'!$B$10,"")</f>
        <v/>
      </c>
      <c r="C16" s="23">
        <f>IFERROR('Inputs'!$C$68/'Inputs'!$C$10,"")</f>
        <v/>
      </c>
      <c r="D16" s="23">
        <f>IFERROR('Inputs'!$D$68/'Inputs'!$D$10,"")</f>
        <v/>
      </c>
      <c r="E16" s="23">
        <f>IFERROR('Inputs'!$E$68/'Inputs'!$E$10,"")</f>
        <v/>
      </c>
      <c r="F16" s="23">
        <f>IFERROR('Inputs'!$F$68/'Inputs'!$F$10,"")</f>
        <v/>
      </c>
      <c r="G16" s="23">
        <f>IFERROR('Inputs'!$G$68/'Inputs'!$G$10,"")</f>
        <v/>
      </c>
      <c r="H16" s="23">
        <f>IFERROR('Inputs'!$H$68/'Inputs'!$H$10,"")</f>
        <v/>
      </c>
      <c r="I16" s="23">
        <f>IFERROR('Inputs'!$I$68/'Inputs'!$I$10,"")</f>
        <v/>
      </c>
      <c r="J16" s="23">
        <f>IFERROR('Inputs'!$J$68/'Inputs'!$J$10,"")</f>
        <v/>
      </c>
      <c r="K16" s="23">
        <f>IFERROR('Inputs'!$K$68/'Inputs'!$K$10,"")</f>
        <v/>
      </c>
      <c r="L16" s="23">
        <f>IFERROR('Inputs'!$L$68/'Inputs'!$L$10,"")</f>
        <v/>
      </c>
      <c r="M16" s="23">
        <f>IFERROR('Inputs'!$M$68/'Inputs'!$M$10,"")</f>
        <v/>
      </c>
      <c r="N16" s="23">
        <f>IFERROR('Inputs'!$N$68/'Inputs'!$N$10,"")</f>
        <v/>
      </c>
      <c r="O16" s="23">
        <f>IFERROR('Inputs'!$O$68/'Inputs'!$O$10,"")</f>
        <v/>
      </c>
      <c r="P16" s="23">
        <f>IFERROR('Inputs'!$P$68/'Inputs'!$P$10,"")</f>
        <v/>
      </c>
      <c r="Q16" s="18">
        <f>IF(AND(ISNUMBER($K$16),ISNUMBER($J$16)),CHOOSE(2+($K$16&gt;$J$16)-($K$16&lt;$J$16),"▼","►","▲"),"")</f>
        <v/>
      </c>
      <c r="R16" s="18">
        <f>IF(AND(ISNUMBER($K$16),ISNUMBER(AVERAGE($B$16:$K$16))),CHOOSE(2+($K$16&gt;AVERAGE($B$16:$K$16)*(1+0.05))-($K$16&lt;AVERAGE($B$16:$K$16)*(1-0.05)),"Falling","Stable","Rising"),"")</f>
        <v/>
      </c>
    </row>
    <row r="18" ht="20" customHeight="1">
      <c r="A18" s="3" t="inlineStr">
        <is>
          <t>Cash-Flow Liquidity</t>
        </is>
      </c>
    </row>
    <row r="19">
      <c r="A19" s="4" t="inlineStr">
        <is>
          <t>Operating cash flow ratio</t>
        </is>
      </c>
      <c r="B19" s="24">
        <f>IFERROR('Inputs'!$B$46/'Inputs'!$B$37,"")</f>
        <v/>
      </c>
      <c r="C19" s="24">
        <f>IFERROR('Inputs'!$C$46/'Inputs'!$C$37,"")</f>
        <v/>
      </c>
      <c r="D19" s="24">
        <f>IFERROR('Inputs'!$D$46/'Inputs'!$D$37,"")</f>
        <v/>
      </c>
      <c r="E19" s="24">
        <f>IFERROR('Inputs'!$E$46/'Inputs'!$E$37,"")</f>
        <v/>
      </c>
      <c r="F19" s="24">
        <f>IFERROR('Inputs'!$F$46/'Inputs'!$F$37,"")</f>
        <v/>
      </c>
      <c r="G19" s="24">
        <f>IFERROR('Inputs'!$G$46/'Inputs'!$G$37,"")</f>
        <v/>
      </c>
      <c r="H19" s="24">
        <f>IFERROR('Inputs'!$H$46/'Inputs'!$H$37,"")</f>
        <v/>
      </c>
      <c r="I19" s="24">
        <f>IFERROR('Inputs'!$I$46/'Inputs'!$I$37,"")</f>
        <v/>
      </c>
      <c r="J19" s="24">
        <f>IFERROR('Inputs'!$J$46/'Inputs'!$J$37,"")</f>
        <v/>
      </c>
      <c r="K19" s="24">
        <f>IFERROR('Inputs'!$K$46/'Inputs'!$K$37,"")</f>
        <v/>
      </c>
      <c r="L19" s="24">
        <f>IFERROR('Inputs'!$L$46/'Inputs'!$L$37,"")</f>
        <v/>
      </c>
      <c r="M19" s="24">
        <f>IFERROR('Inputs'!$M$46/'Inputs'!$M$37,"")</f>
        <v/>
      </c>
      <c r="N19" s="24">
        <f>IFERROR('Inputs'!$N$46/'Inputs'!$N$37,"")</f>
        <v/>
      </c>
      <c r="O19" s="24">
        <f>IFERROR('Inputs'!$O$46/'Inputs'!$O$37,"")</f>
        <v/>
      </c>
      <c r="P19" s="24">
        <f>IFERROR('Inputs'!$P$46/'Inputs'!$P$37,"")</f>
        <v/>
      </c>
      <c r="Q19" s="18">
        <f>IF(AND(ISNUMBER($K$19),ISNUMBER($J$19)),CHOOSE(2+($K$19&gt;$J$19)-($K$19&lt;$J$19),"▼","►","▲"),"")</f>
        <v/>
      </c>
      <c r="R19" s="18">
        <f>IF(AND(ISNUMBER($K$19),ISNUMBER(AVERAGE($B$19:$K$19))),CHOOSE(2+($K$19&gt;AVERAGE($B$19:$K$19)*(1+0.05))-($K$19&lt;AVERAGE($B$19:$K$19)*(1-0.05)),"Weak","Stable","Strong"),"")</f>
        <v/>
      </c>
    </row>
    <row r="20">
      <c r="A20" s="4" t="inlineStr">
        <is>
          <t>Cash conversion (OCF / net income)</t>
        </is>
      </c>
      <c r="B20" s="23">
        <f>IFERROR('Inputs'!$B$46/'Inputs'!$B$21,"")</f>
        <v/>
      </c>
      <c r="C20" s="23">
        <f>IFERROR('Inputs'!$C$46/'Inputs'!$C$21,"")</f>
        <v/>
      </c>
      <c r="D20" s="23">
        <f>IFERROR('Inputs'!$D$46/'Inputs'!$D$21,"")</f>
        <v/>
      </c>
      <c r="E20" s="23">
        <f>IFERROR('Inputs'!$E$46/'Inputs'!$E$21,"")</f>
        <v/>
      </c>
      <c r="F20" s="23">
        <f>IFERROR('Inputs'!$F$46/'Inputs'!$F$21,"")</f>
        <v/>
      </c>
      <c r="G20" s="23">
        <f>IFERROR('Inputs'!$G$46/'Inputs'!$G$21,"")</f>
        <v/>
      </c>
      <c r="H20" s="23">
        <f>IFERROR('Inputs'!$H$46/'Inputs'!$H$21,"")</f>
        <v/>
      </c>
      <c r="I20" s="23">
        <f>IFERROR('Inputs'!$I$46/'Inputs'!$I$21,"")</f>
        <v/>
      </c>
      <c r="J20" s="23">
        <f>IFERROR('Inputs'!$J$46/'Inputs'!$J$21,"")</f>
        <v/>
      </c>
      <c r="K20" s="23">
        <f>IFERROR('Inputs'!$K$46/'Inputs'!$K$21,"")</f>
        <v/>
      </c>
      <c r="L20" s="23">
        <f>IFERROR('Inputs'!$L$46/'Inputs'!$L$21,"")</f>
        <v/>
      </c>
      <c r="M20" s="23">
        <f>IFERROR('Inputs'!$M$46/'Inputs'!$M$21,"")</f>
        <v/>
      </c>
      <c r="N20" s="23">
        <f>IFERROR('Inputs'!$N$46/'Inputs'!$N$21,"")</f>
        <v/>
      </c>
      <c r="O20" s="23">
        <f>IFERROR('Inputs'!$O$46/'Inputs'!$O$21,"")</f>
        <v/>
      </c>
      <c r="P20" s="23">
        <f>IFERROR('Inputs'!$P$46/'Inputs'!$P$21,"")</f>
        <v/>
      </c>
      <c r="Q20" s="18">
        <f>IF(AND(ISNUMBER($K$20),ISNUMBER($J$20)),CHOOSE(2+($K$20&gt;$J$20)-($K$20&lt;$J$20),"▼","►","▲"),"")</f>
        <v/>
      </c>
      <c r="R20" s="18">
        <f>IF(AND(ISNUMBER($K$20),ISNUMBER(AVERAGE($B$20:$K$20))),CHOOSE(2+($K$20&gt;AVERAGE($B$20:$K$20)*(1+0.05))-($K$20&lt;AVERAGE($B$20:$K$20)*(1-0.05)),"Weak","Stable","Strong"),"")</f>
        <v/>
      </c>
    </row>
    <row r="22" ht="20" customHeight="1">
      <c r="A22" s="3" t="inlineStr">
        <is>
          <t>Automated Observations</t>
        </is>
      </c>
    </row>
    <row r="23" ht="20" customHeight="1">
      <c r="A23" s="29">
        <f>IFERROR("» Current ratio of "&amp;TEXT('Liquidity'!$K$10,"0.00")&amp;"x is assessed "&amp;'Liquidity'!$R$10&amp;"; the cash ratio is "&amp;TEXT('Liquidity'!$K$12,"0.00")&amp;"x.","(insufficient data — populate inputs)")</f>
        <v/>
      </c>
    </row>
    <row r="24" ht="20" customHeight="1">
      <c r="A24" s="29">
        <f>IFERROR("» Operations convert "&amp;TEXT('Liquidity'!$K$20,"0%")&amp;" of net income into operating cash — a check on earnings quality.","(insufficient data — populate inputs)")</f>
        <v/>
      </c>
    </row>
  </sheetData>
  <mergeCells count="10">
    <mergeCell ref="A3:R3"/>
    <mergeCell ref="A7:R7"/>
    <mergeCell ref="A24:R24"/>
    <mergeCell ref="A2:R2"/>
    <mergeCell ref="A14:R14"/>
    <mergeCell ref="A1:R1"/>
    <mergeCell ref="A23:R23"/>
    <mergeCell ref="A9:R9"/>
    <mergeCell ref="A22:R22"/>
    <mergeCell ref="A18:R18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6:P16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P20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20">
    <cfRule type="expression" priority="8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9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0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7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SOLVENCY RATIOS</t>
        </is>
      </c>
    </row>
    <row r="2">
      <c r="A2" s="2" t="inlineStr">
        <is>
          <t>Leverage, coverage and long-term financial risk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Solvency ratio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Leverage</t>
        </is>
      </c>
    </row>
    <row r="10">
      <c r="A10" s="4" t="inlineStr">
        <is>
          <t>Debt / equity</t>
        </is>
      </c>
      <c r="B10" s="24">
        <f>IFERROR('Inputs'!$B$66/'Inputs'!$B$42,"")</f>
        <v/>
      </c>
      <c r="C10" s="24">
        <f>IFERROR('Inputs'!$C$66/'Inputs'!$C$42,"")</f>
        <v/>
      </c>
      <c r="D10" s="24">
        <f>IFERROR('Inputs'!$D$66/'Inputs'!$D$42,"")</f>
        <v/>
      </c>
      <c r="E10" s="24">
        <f>IFERROR('Inputs'!$E$66/'Inputs'!$E$42,"")</f>
        <v/>
      </c>
      <c r="F10" s="24">
        <f>IFERROR('Inputs'!$F$66/'Inputs'!$F$42,"")</f>
        <v/>
      </c>
      <c r="G10" s="24">
        <f>IFERROR('Inputs'!$G$66/'Inputs'!$G$42,"")</f>
        <v/>
      </c>
      <c r="H10" s="24">
        <f>IFERROR('Inputs'!$H$66/'Inputs'!$H$42,"")</f>
        <v/>
      </c>
      <c r="I10" s="24">
        <f>IFERROR('Inputs'!$I$66/'Inputs'!$I$42,"")</f>
        <v/>
      </c>
      <c r="J10" s="24">
        <f>IFERROR('Inputs'!$J$66/'Inputs'!$J$42,"")</f>
        <v/>
      </c>
      <c r="K10" s="24">
        <f>IFERROR('Inputs'!$K$66/'Inputs'!$K$42,"")</f>
        <v/>
      </c>
      <c r="L10" s="24">
        <f>IFERROR('Inputs'!$L$66/'Inputs'!$L$42,"")</f>
        <v/>
      </c>
      <c r="M10" s="24">
        <f>IFERROR('Inputs'!$M$66/'Inputs'!$M$42,"")</f>
        <v/>
      </c>
      <c r="N10" s="24">
        <f>IFERROR('Inputs'!$N$66/'Inputs'!$N$42,"")</f>
        <v/>
      </c>
      <c r="O10" s="24">
        <f>IFERROR('Inputs'!$O$66/'Inputs'!$O$42,"")</f>
        <v/>
      </c>
      <c r="P10" s="24">
        <f>IFERROR('Inputs'!$P$66/'Inputs'!$P$42,"")</f>
        <v/>
      </c>
      <c r="Q10" s="18">
        <f>IF(AND(ISNUMBER($K$10),ISNUMBER($J$10)),CHOOSE(2+($K$10&gt;$J$10)-($K$10&lt;$J$10),"▼","►","▲"),"")</f>
        <v/>
      </c>
      <c r="R10" s="18">
        <f>IF(ISNUMBER($K$10),CHOOSE(1+($K$10&gt;=0.5)+($K$10&gt;=1.5),"Low Risk","Moderate Risk","High Risk"),"")</f>
        <v/>
      </c>
    </row>
    <row r="11">
      <c r="A11" s="4" t="inlineStr">
        <is>
          <t>Debt / assets</t>
        </is>
      </c>
      <c r="B11" s="23">
        <f>IFERROR('Inputs'!$B$66/'Inputs'!$B$32,"")</f>
        <v/>
      </c>
      <c r="C11" s="23">
        <f>IFERROR('Inputs'!$C$66/'Inputs'!$C$32,"")</f>
        <v/>
      </c>
      <c r="D11" s="23">
        <f>IFERROR('Inputs'!$D$66/'Inputs'!$D$32,"")</f>
        <v/>
      </c>
      <c r="E11" s="23">
        <f>IFERROR('Inputs'!$E$66/'Inputs'!$E$32,"")</f>
        <v/>
      </c>
      <c r="F11" s="23">
        <f>IFERROR('Inputs'!$F$66/'Inputs'!$F$32,"")</f>
        <v/>
      </c>
      <c r="G11" s="23">
        <f>IFERROR('Inputs'!$G$66/'Inputs'!$G$32,"")</f>
        <v/>
      </c>
      <c r="H11" s="23">
        <f>IFERROR('Inputs'!$H$66/'Inputs'!$H$32,"")</f>
        <v/>
      </c>
      <c r="I11" s="23">
        <f>IFERROR('Inputs'!$I$66/'Inputs'!$I$32,"")</f>
        <v/>
      </c>
      <c r="J11" s="23">
        <f>IFERROR('Inputs'!$J$66/'Inputs'!$J$32,"")</f>
        <v/>
      </c>
      <c r="K11" s="23">
        <f>IFERROR('Inputs'!$K$66/'Inputs'!$K$32,"")</f>
        <v/>
      </c>
      <c r="L11" s="23">
        <f>IFERROR('Inputs'!$L$66/'Inputs'!$L$32,"")</f>
        <v/>
      </c>
      <c r="M11" s="23">
        <f>IFERROR('Inputs'!$M$66/'Inputs'!$M$32,"")</f>
        <v/>
      </c>
      <c r="N11" s="23">
        <f>IFERROR('Inputs'!$N$66/'Inputs'!$N$32,"")</f>
        <v/>
      </c>
      <c r="O11" s="23">
        <f>IFERROR('Inputs'!$O$66/'Inputs'!$O$32,"")</f>
        <v/>
      </c>
      <c r="P11" s="23">
        <f>IFERROR('Inputs'!$P$66/'Inputs'!$P$32,"")</f>
        <v/>
      </c>
      <c r="Q11" s="18">
        <f>IF(AND(ISNUMBER($K$11),ISNUMBER($J$11)),CHOOSE(2+($K$11&gt;$J$11)-($K$11&lt;$J$11),"▼","►","▲"),"")</f>
        <v/>
      </c>
      <c r="R11" s="18">
        <f>IF(ISNUMBER($K$11),CHOOSE(1+($K$11&gt;=0.3)+($K$11&gt;=0.6),"Low Risk","Moderate Risk","High Risk"),"")</f>
        <v/>
      </c>
    </row>
    <row r="12">
      <c r="A12" s="4" t="inlineStr">
        <is>
          <t>Debt / total capital</t>
        </is>
      </c>
      <c r="B12" s="23">
        <f>IFERROR('Inputs'!$B$66/('Inputs'!$B$66+'Inputs'!$B$42),"")</f>
        <v/>
      </c>
      <c r="C12" s="23">
        <f>IFERROR('Inputs'!$C$66/('Inputs'!$C$66+'Inputs'!$C$42),"")</f>
        <v/>
      </c>
      <c r="D12" s="23">
        <f>IFERROR('Inputs'!$D$66/('Inputs'!$D$66+'Inputs'!$D$42),"")</f>
        <v/>
      </c>
      <c r="E12" s="23">
        <f>IFERROR('Inputs'!$E$66/('Inputs'!$E$66+'Inputs'!$E$42),"")</f>
        <v/>
      </c>
      <c r="F12" s="23">
        <f>IFERROR('Inputs'!$F$66/('Inputs'!$F$66+'Inputs'!$F$42),"")</f>
        <v/>
      </c>
      <c r="G12" s="23">
        <f>IFERROR('Inputs'!$G$66/('Inputs'!$G$66+'Inputs'!$G$42),"")</f>
        <v/>
      </c>
      <c r="H12" s="23">
        <f>IFERROR('Inputs'!$H$66/('Inputs'!$H$66+'Inputs'!$H$42),"")</f>
        <v/>
      </c>
      <c r="I12" s="23">
        <f>IFERROR('Inputs'!$I$66/('Inputs'!$I$66+'Inputs'!$I$42),"")</f>
        <v/>
      </c>
      <c r="J12" s="23">
        <f>IFERROR('Inputs'!$J$66/('Inputs'!$J$66+'Inputs'!$J$42),"")</f>
        <v/>
      </c>
      <c r="K12" s="23">
        <f>IFERROR('Inputs'!$K$66/('Inputs'!$K$66+'Inputs'!$K$42),"")</f>
        <v/>
      </c>
      <c r="L12" s="23">
        <f>IFERROR('Inputs'!$L$66/('Inputs'!$L$66+'Inputs'!$L$42),"")</f>
        <v/>
      </c>
      <c r="M12" s="23">
        <f>IFERROR('Inputs'!$M$66/('Inputs'!$M$66+'Inputs'!$M$42),"")</f>
        <v/>
      </c>
      <c r="N12" s="23">
        <f>IFERROR('Inputs'!$N$66/('Inputs'!$N$66+'Inputs'!$N$42),"")</f>
        <v/>
      </c>
      <c r="O12" s="23">
        <f>IFERROR('Inputs'!$O$66/('Inputs'!$O$66+'Inputs'!$O$42),"")</f>
        <v/>
      </c>
      <c r="P12" s="23">
        <f>IFERROR('Inputs'!$P$66/('Inputs'!$P$66+'Inputs'!$P$42),"")</f>
        <v/>
      </c>
      <c r="Q12" s="18">
        <f>IF(AND(ISNUMBER($K$12),ISNUMBER($J$12)),CHOOSE(2+($K$12&gt;$J$12)-($K$12&lt;$J$12),"▼","►","▲"),"")</f>
        <v/>
      </c>
      <c r="R12" s="18">
        <f>IF(ISNUMBER($K$12),CHOOSE(1+($K$12&gt;=0.3)+($K$12&gt;=0.6),"Low Risk","Moderate Risk","High Risk"),"")</f>
        <v/>
      </c>
    </row>
    <row r="13">
      <c r="A13" s="4" t="inlineStr">
        <is>
          <t>Financial leverage (assets / equity)</t>
        </is>
      </c>
      <c r="B13" s="24">
        <f>IFERROR('Inputs'!$B$32/'Inputs'!$B$42,"")</f>
        <v/>
      </c>
      <c r="C13" s="24">
        <f>IFERROR('Inputs'!$C$32/'Inputs'!$C$42,"")</f>
        <v/>
      </c>
      <c r="D13" s="24">
        <f>IFERROR('Inputs'!$D$32/'Inputs'!$D$42,"")</f>
        <v/>
      </c>
      <c r="E13" s="24">
        <f>IFERROR('Inputs'!$E$32/'Inputs'!$E$42,"")</f>
        <v/>
      </c>
      <c r="F13" s="24">
        <f>IFERROR('Inputs'!$F$32/'Inputs'!$F$42,"")</f>
        <v/>
      </c>
      <c r="G13" s="24">
        <f>IFERROR('Inputs'!$G$32/'Inputs'!$G$42,"")</f>
        <v/>
      </c>
      <c r="H13" s="24">
        <f>IFERROR('Inputs'!$H$32/'Inputs'!$H$42,"")</f>
        <v/>
      </c>
      <c r="I13" s="24">
        <f>IFERROR('Inputs'!$I$32/'Inputs'!$I$42,"")</f>
        <v/>
      </c>
      <c r="J13" s="24">
        <f>IFERROR('Inputs'!$J$32/'Inputs'!$J$42,"")</f>
        <v/>
      </c>
      <c r="K13" s="24">
        <f>IFERROR('Inputs'!$K$32/'Inputs'!$K$42,"")</f>
        <v/>
      </c>
      <c r="L13" s="24">
        <f>IFERROR('Inputs'!$L$32/'Inputs'!$L$42,"")</f>
        <v/>
      </c>
      <c r="M13" s="24">
        <f>IFERROR('Inputs'!$M$32/'Inputs'!$M$42,"")</f>
        <v/>
      </c>
      <c r="N13" s="24">
        <f>IFERROR('Inputs'!$N$32/'Inputs'!$N$42,"")</f>
        <v/>
      </c>
      <c r="O13" s="24">
        <f>IFERROR('Inputs'!$O$32/'Inputs'!$O$42,"")</f>
        <v/>
      </c>
      <c r="P13" s="24">
        <f>IFERROR('Inputs'!$P$32/'Inputs'!$P$42,"")</f>
        <v/>
      </c>
      <c r="Q13" s="18">
        <f>IF(AND(ISNUMBER($K$13),ISNUMBER($J$13)),CHOOSE(2+($K$13&gt;$J$13)-($K$13&lt;$J$13),"▼","►","▲"),"")</f>
        <v/>
      </c>
      <c r="R13" s="18">
        <f>IF(AND(ISNUMBER($K$13),ISNUMBER(AVERAGE($B$13:$K$13))),CHOOSE(2+($K$13&gt;AVERAGE($B$13:$K$13)*(1+0.05))-($K$13&lt;AVERAGE($B$13:$K$13)*(1-0.05)),"Falling","Stable","Rising"),"")</f>
        <v/>
      </c>
    </row>
    <row r="14">
      <c r="A14" s="4" t="inlineStr">
        <is>
          <t>Equity ratio (equity / assets)</t>
        </is>
      </c>
      <c r="B14" s="23">
        <f>IFERROR('Inputs'!$B$42/'Inputs'!$B$32,"")</f>
        <v/>
      </c>
      <c r="C14" s="23">
        <f>IFERROR('Inputs'!$C$42/'Inputs'!$C$32,"")</f>
        <v/>
      </c>
      <c r="D14" s="23">
        <f>IFERROR('Inputs'!$D$42/'Inputs'!$D$32,"")</f>
        <v/>
      </c>
      <c r="E14" s="23">
        <f>IFERROR('Inputs'!$E$42/'Inputs'!$E$32,"")</f>
        <v/>
      </c>
      <c r="F14" s="23">
        <f>IFERROR('Inputs'!$F$42/'Inputs'!$F$32,"")</f>
        <v/>
      </c>
      <c r="G14" s="23">
        <f>IFERROR('Inputs'!$G$42/'Inputs'!$G$32,"")</f>
        <v/>
      </c>
      <c r="H14" s="23">
        <f>IFERROR('Inputs'!$H$42/'Inputs'!$H$32,"")</f>
        <v/>
      </c>
      <c r="I14" s="23">
        <f>IFERROR('Inputs'!$I$42/'Inputs'!$I$32,"")</f>
        <v/>
      </c>
      <c r="J14" s="23">
        <f>IFERROR('Inputs'!$J$42/'Inputs'!$J$32,"")</f>
        <v/>
      </c>
      <c r="K14" s="23">
        <f>IFERROR('Inputs'!$K$42/'Inputs'!$K$32,"")</f>
        <v/>
      </c>
      <c r="L14" s="23">
        <f>IFERROR('Inputs'!$L$42/'Inputs'!$L$32,"")</f>
        <v/>
      </c>
      <c r="M14" s="23">
        <f>IFERROR('Inputs'!$M$42/'Inputs'!$M$32,"")</f>
        <v/>
      </c>
      <c r="N14" s="23">
        <f>IFERROR('Inputs'!$N$42/'Inputs'!$N$32,"")</f>
        <v/>
      </c>
      <c r="O14" s="23">
        <f>IFERROR('Inputs'!$O$42/'Inputs'!$O$32,"")</f>
        <v/>
      </c>
      <c r="P14" s="23">
        <f>IFERROR('Inputs'!$P$42/'Inputs'!$P$32,"")</f>
        <v/>
      </c>
      <c r="Q14" s="18">
        <f>IF(AND(ISNUMBER($K$14),ISNUMBER($J$14)),CHOOSE(2+($K$14&gt;$J$14)-($K$14&lt;$J$14),"▼","►","▲"),"")</f>
        <v/>
      </c>
      <c r="R14" s="18">
        <f>IF(AND(ISNUMBER($K$14),ISNUMBER(AVERAGE($B$14:$K$14))),CHOOSE(2+($K$14&gt;AVERAGE($B$14:$K$14)*(1+0.05))-($K$14&lt;AVERAGE($B$14:$K$14)*(1-0.05)),"Weak","Stable","Strong"),"")</f>
        <v/>
      </c>
    </row>
    <row r="16" ht="20" customHeight="1">
      <c r="A16" s="3" t="inlineStr">
        <is>
          <t>Net Debt</t>
        </is>
      </c>
    </row>
    <row r="17">
      <c r="A17" s="4" t="inlineStr">
        <is>
          <t>Net debt (debt − cash)</t>
        </is>
      </c>
      <c r="B17" s="33">
        <f>'Inputs'!$B$67</f>
        <v/>
      </c>
      <c r="C17" s="33">
        <f>'Inputs'!$C$67</f>
        <v/>
      </c>
      <c r="D17" s="33">
        <f>'Inputs'!$D$67</f>
        <v/>
      </c>
      <c r="E17" s="33">
        <f>'Inputs'!$E$67</f>
        <v/>
      </c>
      <c r="F17" s="33">
        <f>'Inputs'!$F$67</f>
        <v/>
      </c>
      <c r="G17" s="33">
        <f>'Inputs'!$G$67</f>
        <v/>
      </c>
      <c r="H17" s="33">
        <f>'Inputs'!$H$67</f>
        <v/>
      </c>
      <c r="I17" s="33">
        <f>'Inputs'!$I$67</f>
        <v/>
      </c>
      <c r="J17" s="33">
        <f>'Inputs'!$J$67</f>
        <v/>
      </c>
      <c r="K17" s="33">
        <f>'Inputs'!$K$67</f>
        <v/>
      </c>
      <c r="L17" s="33">
        <f>'Inputs'!$L$67</f>
        <v/>
      </c>
      <c r="M17" s="33">
        <f>'Inputs'!$M$67</f>
        <v/>
      </c>
      <c r="N17" s="33">
        <f>'Inputs'!$N$67</f>
        <v/>
      </c>
      <c r="O17" s="33">
        <f>'Inputs'!$O$67</f>
        <v/>
      </c>
      <c r="P17" s="33">
        <f>'Inputs'!$P$67</f>
        <v/>
      </c>
      <c r="Q17" s="18">
        <f>IF(AND(ISNUMBER($K$17),ISNUMBER($J$17)),CHOOSE(2+($K$17&gt;$J$17)-($K$17&lt;$J$17),"▼","►","▲"),"")</f>
        <v/>
      </c>
    </row>
    <row r="18">
      <c r="A18" s="4" t="inlineStr">
        <is>
          <t>Net debt / EBITDA</t>
        </is>
      </c>
      <c r="B18" s="24">
        <f>IFERROR('Inputs'!$B$67/'Inputs'!$B$14,"")</f>
        <v/>
      </c>
      <c r="C18" s="24">
        <f>IFERROR('Inputs'!$C$67/'Inputs'!$C$14,"")</f>
        <v/>
      </c>
      <c r="D18" s="24">
        <f>IFERROR('Inputs'!$D$67/'Inputs'!$D$14,"")</f>
        <v/>
      </c>
      <c r="E18" s="24">
        <f>IFERROR('Inputs'!$E$67/'Inputs'!$E$14,"")</f>
        <v/>
      </c>
      <c r="F18" s="24">
        <f>IFERROR('Inputs'!$F$67/'Inputs'!$F$14,"")</f>
        <v/>
      </c>
      <c r="G18" s="24">
        <f>IFERROR('Inputs'!$G$67/'Inputs'!$G$14,"")</f>
        <v/>
      </c>
      <c r="H18" s="24">
        <f>IFERROR('Inputs'!$H$67/'Inputs'!$H$14,"")</f>
        <v/>
      </c>
      <c r="I18" s="24">
        <f>IFERROR('Inputs'!$I$67/'Inputs'!$I$14,"")</f>
        <v/>
      </c>
      <c r="J18" s="24">
        <f>IFERROR('Inputs'!$J$67/'Inputs'!$J$14,"")</f>
        <v/>
      </c>
      <c r="K18" s="24">
        <f>IFERROR('Inputs'!$K$67/'Inputs'!$K$14,"")</f>
        <v/>
      </c>
      <c r="L18" s="24">
        <f>IFERROR('Inputs'!$L$67/'Inputs'!$L$14,"")</f>
        <v/>
      </c>
      <c r="M18" s="24">
        <f>IFERROR('Inputs'!$M$67/'Inputs'!$M$14,"")</f>
        <v/>
      </c>
      <c r="N18" s="24">
        <f>IFERROR('Inputs'!$N$67/'Inputs'!$N$14,"")</f>
        <v/>
      </c>
      <c r="O18" s="24">
        <f>IFERROR('Inputs'!$O$67/'Inputs'!$O$14,"")</f>
        <v/>
      </c>
      <c r="P18" s="24">
        <f>IFERROR('Inputs'!$P$67/'Inputs'!$P$14,"")</f>
        <v/>
      </c>
      <c r="Q18" s="18">
        <f>IF(AND(ISNUMBER($K$18),ISNUMBER($J$18)),CHOOSE(2+($K$18&gt;$J$18)-($K$18&lt;$J$18),"▼","►","▲"),"")</f>
        <v/>
      </c>
      <c r="R18" s="18">
        <f>IF(ISNUMBER($K$18),CHOOSE(1+($K$18&gt;=1.0)+($K$18&gt;=3.0),"Low Risk","Moderate Risk","High Risk"),"")</f>
        <v/>
      </c>
    </row>
    <row r="20" ht="20" customHeight="1">
      <c r="A20" s="3" t="inlineStr">
        <is>
          <t>Coverage</t>
        </is>
      </c>
    </row>
    <row r="21">
      <c r="A21" s="4" t="inlineStr">
        <is>
          <t>Interest coverage (EBIT / interest)</t>
        </is>
      </c>
      <c r="B21" s="24">
        <f>IFERROR('Inputs'!$B$16/'Inputs'!$B$17,"")</f>
        <v/>
      </c>
      <c r="C21" s="24">
        <f>IFERROR('Inputs'!$C$16/'Inputs'!$C$17,"")</f>
        <v/>
      </c>
      <c r="D21" s="24">
        <f>IFERROR('Inputs'!$D$16/'Inputs'!$D$17,"")</f>
        <v/>
      </c>
      <c r="E21" s="24">
        <f>IFERROR('Inputs'!$E$16/'Inputs'!$E$17,"")</f>
        <v/>
      </c>
      <c r="F21" s="24">
        <f>IFERROR('Inputs'!$F$16/'Inputs'!$F$17,"")</f>
        <v/>
      </c>
      <c r="G21" s="24">
        <f>IFERROR('Inputs'!$G$16/'Inputs'!$G$17,"")</f>
        <v/>
      </c>
      <c r="H21" s="24">
        <f>IFERROR('Inputs'!$H$16/'Inputs'!$H$17,"")</f>
        <v/>
      </c>
      <c r="I21" s="24">
        <f>IFERROR('Inputs'!$I$16/'Inputs'!$I$17,"")</f>
        <v/>
      </c>
      <c r="J21" s="24">
        <f>IFERROR('Inputs'!$J$16/'Inputs'!$J$17,"")</f>
        <v/>
      </c>
      <c r="K21" s="24">
        <f>IFERROR('Inputs'!$K$16/'Inputs'!$K$17,"")</f>
        <v/>
      </c>
      <c r="L21" s="24">
        <f>IFERROR('Inputs'!$L$16/'Inputs'!$L$17,"")</f>
        <v/>
      </c>
      <c r="M21" s="24">
        <f>IFERROR('Inputs'!$M$16/'Inputs'!$M$17,"")</f>
        <v/>
      </c>
      <c r="N21" s="24">
        <f>IFERROR('Inputs'!$N$16/'Inputs'!$N$17,"")</f>
        <v/>
      </c>
      <c r="O21" s="24">
        <f>IFERROR('Inputs'!$O$16/'Inputs'!$O$17,"")</f>
        <v/>
      </c>
      <c r="P21" s="24">
        <f>IFERROR('Inputs'!$P$16/'Inputs'!$P$17,"")</f>
        <v/>
      </c>
      <c r="Q21" s="18">
        <f>IF(AND(ISNUMBER($K$21),ISNUMBER($J$21)),CHOOSE(2+($K$21&gt;$J$21)-($K$21&lt;$J$21),"▼","►","▲"),"")</f>
        <v/>
      </c>
      <c r="R21" s="18">
        <f>IF(ISNUMBER($K$21),CHOOSE(1+($K$21&gt;=3.0)+($K$21&gt;=6.0),"High Risk","Moderate Risk","Low Risk"),"")</f>
        <v/>
      </c>
    </row>
    <row r="22">
      <c r="A22" s="4" t="inlineStr">
        <is>
          <t>EBITDA / interest</t>
        </is>
      </c>
      <c r="B22" s="24">
        <f>IFERROR('Inputs'!$B$14/'Inputs'!$B$17,"")</f>
        <v/>
      </c>
      <c r="C22" s="24">
        <f>IFERROR('Inputs'!$C$14/'Inputs'!$C$17,"")</f>
        <v/>
      </c>
      <c r="D22" s="24">
        <f>IFERROR('Inputs'!$D$14/'Inputs'!$D$17,"")</f>
        <v/>
      </c>
      <c r="E22" s="24">
        <f>IFERROR('Inputs'!$E$14/'Inputs'!$E$17,"")</f>
        <v/>
      </c>
      <c r="F22" s="24">
        <f>IFERROR('Inputs'!$F$14/'Inputs'!$F$17,"")</f>
        <v/>
      </c>
      <c r="G22" s="24">
        <f>IFERROR('Inputs'!$G$14/'Inputs'!$G$17,"")</f>
        <v/>
      </c>
      <c r="H22" s="24">
        <f>IFERROR('Inputs'!$H$14/'Inputs'!$H$17,"")</f>
        <v/>
      </c>
      <c r="I22" s="24">
        <f>IFERROR('Inputs'!$I$14/'Inputs'!$I$17,"")</f>
        <v/>
      </c>
      <c r="J22" s="24">
        <f>IFERROR('Inputs'!$J$14/'Inputs'!$J$17,"")</f>
        <v/>
      </c>
      <c r="K22" s="24">
        <f>IFERROR('Inputs'!$K$14/'Inputs'!$K$17,"")</f>
        <v/>
      </c>
      <c r="L22" s="24">
        <f>IFERROR('Inputs'!$L$14/'Inputs'!$L$17,"")</f>
        <v/>
      </c>
      <c r="M22" s="24">
        <f>IFERROR('Inputs'!$M$14/'Inputs'!$M$17,"")</f>
        <v/>
      </c>
      <c r="N22" s="24">
        <f>IFERROR('Inputs'!$N$14/'Inputs'!$N$17,"")</f>
        <v/>
      </c>
      <c r="O22" s="24">
        <f>IFERROR('Inputs'!$O$14/'Inputs'!$O$17,"")</f>
        <v/>
      </c>
      <c r="P22" s="24">
        <f>IFERROR('Inputs'!$P$14/'Inputs'!$P$17,"")</f>
        <v/>
      </c>
      <c r="Q22" s="18">
        <f>IF(AND(ISNUMBER($K$22),ISNUMBER($J$22)),CHOOSE(2+($K$22&gt;$J$22)-($K$22&lt;$J$22),"▼","►","▲"),"")</f>
        <v/>
      </c>
      <c r="R22" s="18">
        <f>IF(AND(ISNUMBER($K$22),ISNUMBER(AVERAGE($B$22:$K$22))),CHOOSE(2+($K$22&gt;AVERAGE($B$22:$K$22)*(1+0.05))-($K$22&lt;AVERAGE($B$22:$K$22)*(1-0.05)),"Weak","Stable","Strong"),"")</f>
        <v/>
      </c>
    </row>
    <row r="23">
      <c r="A23" s="4" t="inlineStr">
        <is>
          <t>Debt-service coverage (EBITDA / (int + ST debt))</t>
        </is>
      </c>
      <c r="B23" s="24">
        <f>IFERROR('Inputs'!$B$14/('Inputs'!$B$17+'Inputs'!$B$35),"")</f>
        <v/>
      </c>
      <c r="C23" s="24">
        <f>IFERROR('Inputs'!$C$14/('Inputs'!$C$17+'Inputs'!$C$35),"")</f>
        <v/>
      </c>
      <c r="D23" s="24">
        <f>IFERROR('Inputs'!$D$14/('Inputs'!$D$17+'Inputs'!$D$35),"")</f>
        <v/>
      </c>
      <c r="E23" s="24">
        <f>IFERROR('Inputs'!$E$14/('Inputs'!$E$17+'Inputs'!$E$35),"")</f>
        <v/>
      </c>
      <c r="F23" s="24">
        <f>IFERROR('Inputs'!$F$14/('Inputs'!$F$17+'Inputs'!$F$35),"")</f>
        <v/>
      </c>
      <c r="G23" s="24">
        <f>IFERROR('Inputs'!$G$14/('Inputs'!$G$17+'Inputs'!$G$35),"")</f>
        <v/>
      </c>
      <c r="H23" s="24">
        <f>IFERROR('Inputs'!$H$14/('Inputs'!$H$17+'Inputs'!$H$35),"")</f>
        <v/>
      </c>
      <c r="I23" s="24">
        <f>IFERROR('Inputs'!$I$14/('Inputs'!$I$17+'Inputs'!$I$35),"")</f>
        <v/>
      </c>
      <c r="J23" s="24">
        <f>IFERROR('Inputs'!$J$14/('Inputs'!$J$17+'Inputs'!$J$35),"")</f>
        <v/>
      </c>
      <c r="K23" s="24">
        <f>IFERROR('Inputs'!$K$14/('Inputs'!$K$17+'Inputs'!$K$35),"")</f>
        <v/>
      </c>
      <c r="L23" s="24">
        <f>IFERROR('Inputs'!$L$14/('Inputs'!$L$17+'Inputs'!$L$35),"")</f>
        <v/>
      </c>
      <c r="M23" s="24">
        <f>IFERROR('Inputs'!$M$14/('Inputs'!$M$17+'Inputs'!$M$35),"")</f>
        <v/>
      </c>
      <c r="N23" s="24">
        <f>IFERROR('Inputs'!$N$14/('Inputs'!$N$17+'Inputs'!$N$35),"")</f>
        <v/>
      </c>
      <c r="O23" s="24">
        <f>IFERROR('Inputs'!$O$14/('Inputs'!$O$17+'Inputs'!$O$35),"")</f>
        <v/>
      </c>
      <c r="P23" s="24">
        <f>IFERROR('Inputs'!$P$14/('Inputs'!$P$17+'Inputs'!$P$35),"")</f>
        <v/>
      </c>
      <c r="Q23" s="18">
        <f>IF(AND(ISNUMBER($K$23),ISNUMBER($J$23)),CHOOSE(2+($K$23&gt;$J$23)-($K$23&lt;$J$23),"▼","►","▲"),"")</f>
        <v/>
      </c>
      <c r="R23" s="18">
        <f>IF(AND(ISNUMBER($K$23),ISNUMBER(AVERAGE($B$23:$K$23))),CHOOSE(2+($K$23&gt;AVERAGE($B$23:$K$23)*(1+0.05))-($K$23&lt;AVERAGE($B$23:$K$23)*(1-0.05)),"Weak","Stable","Strong"),"")</f>
        <v/>
      </c>
    </row>
    <row r="24">
      <c r="A24" s="4" t="inlineStr">
        <is>
          <t>Fixed-charge coverage (EBIT+D&amp;A) / interest</t>
        </is>
      </c>
      <c r="B24" s="24">
        <f>IFERROR(('Inputs'!$B$16+'Inputs'!$B$15)/'Inputs'!$B$17,"")</f>
        <v/>
      </c>
      <c r="C24" s="24">
        <f>IFERROR(('Inputs'!$C$16+'Inputs'!$C$15)/'Inputs'!$C$17,"")</f>
        <v/>
      </c>
      <c r="D24" s="24">
        <f>IFERROR(('Inputs'!$D$16+'Inputs'!$D$15)/'Inputs'!$D$17,"")</f>
        <v/>
      </c>
      <c r="E24" s="24">
        <f>IFERROR(('Inputs'!$E$16+'Inputs'!$E$15)/'Inputs'!$E$17,"")</f>
        <v/>
      </c>
      <c r="F24" s="24">
        <f>IFERROR(('Inputs'!$F$16+'Inputs'!$F$15)/'Inputs'!$F$17,"")</f>
        <v/>
      </c>
      <c r="G24" s="24">
        <f>IFERROR(('Inputs'!$G$16+'Inputs'!$G$15)/'Inputs'!$G$17,"")</f>
        <v/>
      </c>
      <c r="H24" s="24">
        <f>IFERROR(('Inputs'!$H$16+'Inputs'!$H$15)/'Inputs'!$H$17,"")</f>
        <v/>
      </c>
      <c r="I24" s="24">
        <f>IFERROR(('Inputs'!$I$16+'Inputs'!$I$15)/'Inputs'!$I$17,"")</f>
        <v/>
      </c>
      <c r="J24" s="24">
        <f>IFERROR(('Inputs'!$J$16+'Inputs'!$J$15)/'Inputs'!$J$17,"")</f>
        <v/>
      </c>
      <c r="K24" s="24">
        <f>IFERROR(('Inputs'!$K$16+'Inputs'!$K$15)/'Inputs'!$K$17,"")</f>
        <v/>
      </c>
      <c r="L24" s="24">
        <f>IFERROR(('Inputs'!$L$16+'Inputs'!$L$15)/'Inputs'!$L$17,"")</f>
        <v/>
      </c>
      <c r="M24" s="24">
        <f>IFERROR(('Inputs'!$M$16+'Inputs'!$M$15)/'Inputs'!$M$17,"")</f>
        <v/>
      </c>
      <c r="N24" s="24">
        <f>IFERROR(('Inputs'!$N$16+'Inputs'!$N$15)/'Inputs'!$N$17,"")</f>
        <v/>
      </c>
      <c r="O24" s="24">
        <f>IFERROR(('Inputs'!$O$16+'Inputs'!$O$15)/'Inputs'!$O$17,"")</f>
        <v/>
      </c>
      <c r="P24" s="24">
        <f>IFERROR(('Inputs'!$P$16+'Inputs'!$P$15)/'Inputs'!$P$17,"")</f>
        <v/>
      </c>
      <c r="Q24" s="18">
        <f>IF(AND(ISNUMBER($K$24),ISNUMBER($J$24)),CHOOSE(2+($K$24&gt;$J$24)-($K$24&lt;$J$24),"▼","►","▲"),"")</f>
        <v/>
      </c>
      <c r="R24" s="18">
        <f>IF(AND(ISNUMBER($K$24),ISNUMBER(AVERAGE($B$24:$K$24))),CHOOSE(2+($K$24&gt;AVERAGE($B$24:$K$24)*(1+0.05))-($K$24&lt;AVERAGE($B$24:$K$24)*(1-0.05)),"Weak","Stable","Strong"),"")</f>
        <v/>
      </c>
    </row>
    <row r="25">
      <c r="A25" s="19" t="inlineStr">
        <is>
          <t>Fixed-charge &amp; debt-service coverage are proxies (no lease/principal schedule input).</t>
        </is>
      </c>
    </row>
    <row r="27" ht="20" customHeight="1">
      <c r="A27" s="3" t="inlineStr">
        <is>
          <t>Automated Observations</t>
        </is>
      </c>
    </row>
    <row r="28" ht="20" customHeight="1">
      <c r="A28" s="29">
        <f>IFERROR("» Net debt / EBITDA is "&amp;TEXT('Solvency'!$K$18,"0.0")&amp;"x — "&amp;'Solvency'!$R$18&amp;"; debt/equity is "&amp;TEXT('Solvency'!$K$10,"0.00")&amp;"x.","(insufficient data — populate inputs)")</f>
        <v/>
      </c>
    </row>
    <row r="29" ht="20" customHeight="1">
      <c r="A29" s="29">
        <f>IFERROR("» Interest coverage of "&amp;TEXT('Solvency'!$K$21,"0.0")&amp;"x indicates "&amp;'Solvency'!$R$21&amp;" debt-servicing capacity.","(insufficient data — populate inputs)")</f>
        <v/>
      </c>
    </row>
  </sheetData>
  <mergeCells count="11">
    <mergeCell ref="A3:R3"/>
    <mergeCell ref="A20:R20"/>
    <mergeCell ref="A29:R29"/>
    <mergeCell ref="A7:R7"/>
    <mergeCell ref="A25:R25"/>
    <mergeCell ref="A2:R2"/>
    <mergeCell ref="A16:R16"/>
    <mergeCell ref="A28:R28"/>
    <mergeCell ref="A1:R1"/>
    <mergeCell ref="A9:R9"/>
    <mergeCell ref="A27:R27"/>
  </mergeCells>
  <conditionalFormatting sqref="B10:P10">
    <cfRule type="colorScale" priority="1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6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1:P21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2:P22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3:P23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4:P24">
    <cfRule type="colorScale" priority="10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24">
    <cfRule type="expression" priority="11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2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3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8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2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EFFICIENCY RATIOS</t>
        </is>
      </c>
    </row>
    <row r="2">
      <c r="A2" s="2" t="inlineStr">
        <is>
          <t>Asset utilisation, turnover and the cash conversion cycle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Efficiency ratio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Turnover</t>
        </is>
      </c>
    </row>
    <row r="10">
      <c r="A10" s="4" t="inlineStr">
        <is>
          <t>Asset turnover</t>
        </is>
      </c>
      <c r="B10" s="24" t="n"/>
      <c r="C10" s="24">
        <f>IFERROR('Inputs'!$C$10/'Inputs'!$C$75,"")</f>
        <v/>
      </c>
      <c r="D10" s="24">
        <f>IFERROR('Inputs'!$D$10/'Inputs'!$D$75,"")</f>
        <v/>
      </c>
      <c r="E10" s="24">
        <f>IFERROR('Inputs'!$E$10/'Inputs'!$E$75,"")</f>
        <v/>
      </c>
      <c r="F10" s="24">
        <f>IFERROR('Inputs'!$F$10/'Inputs'!$F$75,"")</f>
        <v/>
      </c>
      <c r="G10" s="24">
        <f>IFERROR('Inputs'!$G$10/'Inputs'!$G$75,"")</f>
        <v/>
      </c>
      <c r="H10" s="24">
        <f>IFERROR('Inputs'!$H$10/'Inputs'!$H$75,"")</f>
        <v/>
      </c>
      <c r="I10" s="24">
        <f>IFERROR('Inputs'!$I$10/'Inputs'!$I$75,"")</f>
        <v/>
      </c>
      <c r="J10" s="24">
        <f>IFERROR('Inputs'!$J$10/'Inputs'!$J$75,"")</f>
        <v/>
      </c>
      <c r="K10" s="24">
        <f>IFERROR('Inputs'!$K$10/'Inputs'!$K$75,"")</f>
        <v/>
      </c>
      <c r="L10" s="24">
        <f>IFERROR('Inputs'!$L$10/'Inputs'!$L$75,"")</f>
        <v/>
      </c>
      <c r="M10" s="24">
        <f>IFERROR('Inputs'!$M$10/'Inputs'!$M$75,"")</f>
        <v/>
      </c>
      <c r="N10" s="24">
        <f>IFERROR('Inputs'!$N$10/'Inputs'!$N$75,"")</f>
        <v/>
      </c>
      <c r="O10" s="24">
        <f>IFERROR('Inputs'!$O$10/'Inputs'!$O$75,"")</f>
        <v/>
      </c>
      <c r="P10" s="24">
        <f>IFERROR('Inputs'!$P$10/'Inputs'!$P$75,"")</f>
        <v/>
      </c>
      <c r="Q10" s="18">
        <f>IF(AND(ISNUMBER($K$10),ISNUMBER($J$10)),CHOOSE(2+($K$10&gt;$J$10)-($K$10&lt;$J$10),"▼","►","▲"),"")</f>
        <v/>
      </c>
      <c r="R10" s="18">
        <f>IF(AND(ISNUMBER($K$10),ISNUMBER(AVERAGE($B$10:$K$10))),CHOOSE(2+($K$10&gt;AVERAGE($B$10:$K$10)*(1+0.05))-($K$10&lt;AVERAGE($B$10:$K$10)*(1-0.05)),"Weak","Stable","Strong"),"")</f>
        <v/>
      </c>
    </row>
    <row r="11">
      <c r="A11" s="4" t="inlineStr">
        <is>
          <t>Fixed-asset turnover</t>
        </is>
      </c>
      <c r="B11" s="24" t="n"/>
      <c r="C11" s="24">
        <f>IFERROR('Inputs'!$C$10/'Inputs'!$C$79,"")</f>
        <v/>
      </c>
      <c r="D11" s="24">
        <f>IFERROR('Inputs'!$D$10/'Inputs'!$D$79,"")</f>
        <v/>
      </c>
      <c r="E11" s="24">
        <f>IFERROR('Inputs'!$E$10/'Inputs'!$E$79,"")</f>
        <v/>
      </c>
      <c r="F11" s="24">
        <f>IFERROR('Inputs'!$F$10/'Inputs'!$F$79,"")</f>
        <v/>
      </c>
      <c r="G11" s="24">
        <f>IFERROR('Inputs'!$G$10/'Inputs'!$G$79,"")</f>
        <v/>
      </c>
      <c r="H11" s="24">
        <f>IFERROR('Inputs'!$H$10/'Inputs'!$H$79,"")</f>
        <v/>
      </c>
      <c r="I11" s="24">
        <f>IFERROR('Inputs'!$I$10/'Inputs'!$I$79,"")</f>
        <v/>
      </c>
      <c r="J11" s="24">
        <f>IFERROR('Inputs'!$J$10/'Inputs'!$J$79,"")</f>
        <v/>
      </c>
      <c r="K11" s="24">
        <f>IFERROR('Inputs'!$K$10/'Inputs'!$K$79,"")</f>
        <v/>
      </c>
      <c r="L11" s="24">
        <f>IFERROR('Inputs'!$L$10/'Inputs'!$L$79,"")</f>
        <v/>
      </c>
      <c r="M11" s="24">
        <f>IFERROR('Inputs'!$M$10/'Inputs'!$M$79,"")</f>
        <v/>
      </c>
      <c r="N11" s="24">
        <f>IFERROR('Inputs'!$N$10/'Inputs'!$N$79,"")</f>
        <v/>
      </c>
      <c r="O11" s="24">
        <f>IFERROR('Inputs'!$O$10/'Inputs'!$O$79,"")</f>
        <v/>
      </c>
      <c r="P11" s="24">
        <f>IFERROR('Inputs'!$P$10/'Inputs'!$P$79,"")</f>
        <v/>
      </c>
      <c r="Q11" s="18">
        <f>IF(AND(ISNUMBER($K$11),ISNUMBER($J$11)),CHOOSE(2+($K$11&gt;$J$11)-($K$11&lt;$J$11),"▼","►","▲"),"")</f>
        <v/>
      </c>
      <c r="R11" s="18">
        <f>IF(AND(ISNUMBER($K$11),ISNUMBER(AVERAGE($B$11:$K$11))),CHOOSE(2+($K$11&gt;AVERAGE($B$11:$K$11)*(1+0.05))-($K$11&lt;AVERAGE($B$11:$K$11)*(1-0.05)),"Weak","Stable","Strong"),"")</f>
        <v/>
      </c>
    </row>
    <row r="12">
      <c r="A12" s="4" t="inlineStr">
        <is>
          <t>Inventory turnover</t>
        </is>
      </c>
      <c r="B12" s="24" t="n"/>
      <c r="C12" s="24">
        <f>IFERROR('Inputs'!$C$11/'Inputs'!$C$77,"")</f>
        <v/>
      </c>
      <c r="D12" s="24">
        <f>IFERROR('Inputs'!$D$11/'Inputs'!$D$77,"")</f>
        <v/>
      </c>
      <c r="E12" s="24">
        <f>IFERROR('Inputs'!$E$11/'Inputs'!$E$77,"")</f>
        <v/>
      </c>
      <c r="F12" s="24">
        <f>IFERROR('Inputs'!$F$11/'Inputs'!$F$77,"")</f>
        <v/>
      </c>
      <c r="G12" s="24">
        <f>IFERROR('Inputs'!$G$11/'Inputs'!$G$77,"")</f>
        <v/>
      </c>
      <c r="H12" s="24">
        <f>IFERROR('Inputs'!$H$11/'Inputs'!$H$77,"")</f>
        <v/>
      </c>
      <c r="I12" s="24">
        <f>IFERROR('Inputs'!$I$11/'Inputs'!$I$77,"")</f>
        <v/>
      </c>
      <c r="J12" s="24">
        <f>IFERROR('Inputs'!$J$11/'Inputs'!$J$77,"")</f>
        <v/>
      </c>
      <c r="K12" s="24">
        <f>IFERROR('Inputs'!$K$11/'Inputs'!$K$77,"")</f>
        <v/>
      </c>
      <c r="L12" s="24">
        <f>IFERROR('Inputs'!$L$11/'Inputs'!$L$77,"")</f>
        <v/>
      </c>
      <c r="M12" s="24">
        <f>IFERROR('Inputs'!$M$11/'Inputs'!$M$77,"")</f>
        <v/>
      </c>
      <c r="N12" s="24">
        <f>IFERROR('Inputs'!$N$11/'Inputs'!$N$77,"")</f>
        <v/>
      </c>
      <c r="O12" s="24">
        <f>IFERROR('Inputs'!$O$11/'Inputs'!$O$77,"")</f>
        <v/>
      </c>
      <c r="P12" s="24">
        <f>IFERROR('Inputs'!$P$11/'Inputs'!$P$77,"")</f>
        <v/>
      </c>
      <c r="Q12" s="18">
        <f>IF(AND(ISNUMBER($K$12),ISNUMBER($J$12)),CHOOSE(2+($K$12&gt;$J$12)-($K$12&lt;$J$12),"▼","►","▲"),"")</f>
        <v/>
      </c>
      <c r="R12" s="18">
        <f>IF(AND(ISNUMBER($K$12),ISNUMBER(AVERAGE($B$12:$K$12))),CHOOSE(2+($K$12&gt;AVERAGE($B$12:$K$12)*(1+0.05))-($K$12&lt;AVERAGE($B$12:$K$12)*(1-0.05)),"Weak","Stable","Strong"),"")</f>
        <v/>
      </c>
    </row>
    <row r="13">
      <c r="A13" s="4" t="inlineStr">
        <is>
          <t>Receivable turnover</t>
        </is>
      </c>
      <c r="B13" s="24" t="n"/>
      <c r="C13" s="24">
        <f>IFERROR('Inputs'!$C$10/'Inputs'!$C$76,"")</f>
        <v/>
      </c>
      <c r="D13" s="24">
        <f>IFERROR('Inputs'!$D$10/'Inputs'!$D$76,"")</f>
        <v/>
      </c>
      <c r="E13" s="24">
        <f>IFERROR('Inputs'!$E$10/'Inputs'!$E$76,"")</f>
        <v/>
      </c>
      <c r="F13" s="24">
        <f>IFERROR('Inputs'!$F$10/'Inputs'!$F$76,"")</f>
        <v/>
      </c>
      <c r="G13" s="24">
        <f>IFERROR('Inputs'!$G$10/'Inputs'!$G$76,"")</f>
        <v/>
      </c>
      <c r="H13" s="24">
        <f>IFERROR('Inputs'!$H$10/'Inputs'!$H$76,"")</f>
        <v/>
      </c>
      <c r="I13" s="24">
        <f>IFERROR('Inputs'!$I$10/'Inputs'!$I$76,"")</f>
        <v/>
      </c>
      <c r="J13" s="24">
        <f>IFERROR('Inputs'!$J$10/'Inputs'!$J$76,"")</f>
        <v/>
      </c>
      <c r="K13" s="24">
        <f>IFERROR('Inputs'!$K$10/'Inputs'!$K$76,"")</f>
        <v/>
      </c>
      <c r="L13" s="24">
        <f>IFERROR('Inputs'!$L$10/'Inputs'!$L$76,"")</f>
        <v/>
      </c>
      <c r="M13" s="24">
        <f>IFERROR('Inputs'!$M$10/'Inputs'!$M$76,"")</f>
        <v/>
      </c>
      <c r="N13" s="24">
        <f>IFERROR('Inputs'!$N$10/'Inputs'!$N$76,"")</f>
        <v/>
      </c>
      <c r="O13" s="24">
        <f>IFERROR('Inputs'!$O$10/'Inputs'!$O$76,"")</f>
        <v/>
      </c>
      <c r="P13" s="24">
        <f>IFERROR('Inputs'!$P$10/'Inputs'!$P$76,"")</f>
        <v/>
      </c>
      <c r="Q13" s="18">
        <f>IF(AND(ISNUMBER($K$13),ISNUMBER($J$13)),CHOOSE(2+($K$13&gt;$J$13)-($K$13&lt;$J$13),"▼","►","▲"),"")</f>
        <v/>
      </c>
      <c r="R13" s="18">
        <f>IF(AND(ISNUMBER($K$13),ISNUMBER(AVERAGE($B$13:$K$13))),CHOOSE(2+($K$13&gt;AVERAGE($B$13:$K$13)*(1+0.05))-($K$13&lt;AVERAGE($B$13:$K$13)*(1-0.05)),"Weak","Stable","Strong"),"")</f>
        <v/>
      </c>
    </row>
    <row r="14">
      <c r="A14" s="4" t="inlineStr">
        <is>
          <t>Payable turnover</t>
        </is>
      </c>
      <c r="B14" s="24" t="n"/>
      <c r="C14" s="24">
        <f>IFERROR('Inputs'!$C$11/'Inputs'!$C$78,"")</f>
        <v/>
      </c>
      <c r="D14" s="24">
        <f>IFERROR('Inputs'!$D$11/'Inputs'!$D$78,"")</f>
        <v/>
      </c>
      <c r="E14" s="24">
        <f>IFERROR('Inputs'!$E$11/'Inputs'!$E$78,"")</f>
        <v/>
      </c>
      <c r="F14" s="24">
        <f>IFERROR('Inputs'!$F$11/'Inputs'!$F$78,"")</f>
        <v/>
      </c>
      <c r="G14" s="24">
        <f>IFERROR('Inputs'!$G$11/'Inputs'!$G$78,"")</f>
        <v/>
      </c>
      <c r="H14" s="24">
        <f>IFERROR('Inputs'!$H$11/'Inputs'!$H$78,"")</f>
        <v/>
      </c>
      <c r="I14" s="24">
        <f>IFERROR('Inputs'!$I$11/'Inputs'!$I$78,"")</f>
        <v/>
      </c>
      <c r="J14" s="24">
        <f>IFERROR('Inputs'!$J$11/'Inputs'!$J$78,"")</f>
        <v/>
      </c>
      <c r="K14" s="24">
        <f>IFERROR('Inputs'!$K$11/'Inputs'!$K$78,"")</f>
        <v/>
      </c>
      <c r="L14" s="24">
        <f>IFERROR('Inputs'!$L$11/'Inputs'!$L$78,"")</f>
        <v/>
      </c>
      <c r="M14" s="24">
        <f>IFERROR('Inputs'!$M$11/'Inputs'!$M$78,"")</f>
        <v/>
      </c>
      <c r="N14" s="24">
        <f>IFERROR('Inputs'!$N$11/'Inputs'!$N$78,"")</f>
        <v/>
      </c>
      <c r="O14" s="24">
        <f>IFERROR('Inputs'!$O$11/'Inputs'!$O$78,"")</f>
        <v/>
      </c>
      <c r="P14" s="24">
        <f>IFERROR('Inputs'!$P$11/'Inputs'!$P$78,"")</f>
        <v/>
      </c>
      <c r="Q14" s="18">
        <f>IF(AND(ISNUMBER($K$14),ISNUMBER($J$14)),CHOOSE(2+($K$14&gt;$J$14)-($K$14&lt;$J$14),"▼","►","▲"),"")</f>
        <v/>
      </c>
    </row>
    <row r="15">
      <c r="A15" s="4" t="inlineStr">
        <is>
          <t>Working-capital turnover</t>
        </is>
      </c>
      <c r="B15" s="24">
        <f>IFERROR('Inputs'!$B$10/'Inputs'!$B$68,"")</f>
        <v/>
      </c>
      <c r="C15" s="24">
        <f>IFERROR('Inputs'!$C$10/'Inputs'!$C$68,"")</f>
        <v/>
      </c>
      <c r="D15" s="24">
        <f>IFERROR('Inputs'!$D$10/'Inputs'!$D$68,"")</f>
        <v/>
      </c>
      <c r="E15" s="24">
        <f>IFERROR('Inputs'!$E$10/'Inputs'!$E$68,"")</f>
        <v/>
      </c>
      <c r="F15" s="24">
        <f>IFERROR('Inputs'!$F$10/'Inputs'!$F$68,"")</f>
        <v/>
      </c>
      <c r="G15" s="24">
        <f>IFERROR('Inputs'!$G$10/'Inputs'!$G$68,"")</f>
        <v/>
      </c>
      <c r="H15" s="24">
        <f>IFERROR('Inputs'!$H$10/'Inputs'!$H$68,"")</f>
        <v/>
      </c>
      <c r="I15" s="24">
        <f>IFERROR('Inputs'!$I$10/'Inputs'!$I$68,"")</f>
        <v/>
      </c>
      <c r="J15" s="24">
        <f>IFERROR('Inputs'!$J$10/'Inputs'!$J$68,"")</f>
        <v/>
      </c>
      <c r="K15" s="24">
        <f>IFERROR('Inputs'!$K$10/'Inputs'!$K$68,"")</f>
        <v/>
      </c>
      <c r="L15" s="24">
        <f>IFERROR('Inputs'!$L$10/'Inputs'!$L$68,"")</f>
        <v/>
      </c>
      <c r="M15" s="24">
        <f>IFERROR('Inputs'!$M$10/'Inputs'!$M$68,"")</f>
        <v/>
      </c>
      <c r="N15" s="24">
        <f>IFERROR('Inputs'!$N$10/'Inputs'!$N$68,"")</f>
        <v/>
      </c>
      <c r="O15" s="24">
        <f>IFERROR('Inputs'!$O$10/'Inputs'!$O$68,"")</f>
        <v/>
      </c>
      <c r="P15" s="24">
        <f>IFERROR('Inputs'!$P$10/'Inputs'!$P$68,"")</f>
        <v/>
      </c>
      <c r="Q15" s="18">
        <f>IF(AND(ISNUMBER($K$15),ISNUMBER($J$15)),CHOOSE(2+($K$15&gt;$J$15)-($K$15&lt;$J$15),"▼","►","▲"),"")</f>
        <v/>
      </c>
    </row>
    <row r="17" ht="20" customHeight="1">
      <c r="A17" s="3" t="inlineStr">
        <is>
          <t>Cash Conversion Cycle  (days)</t>
        </is>
      </c>
    </row>
    <row r="18">
      <c r="A18" s="4" t="inlineStr">
        <is>
          <t>Days sales outstanding (DSO)</t>
        </is>
      </c>
      <c r="B18" s="40" t="n"/>
      <c r="C18" s="40">
        <f>IFERROR('Inputs'!$C$76/'Inputs'!$C$10*365,"")</f>
        <v/>
      </c>
      <c r="D18" s="40">
        <f>IFERROR('Inputs'!$D$76/'Inputs'!$D$10*365,"")</f>
        <v/>
      </c>
      <c r="E18" s="40">
        <f>IFERROR('Inputs'!$E$76/'Inputs'!$E$10*365,"")</f>
        <v/>
      </c>
      <c r="F18" s="40">
        <f>IFERROR('Inputs'!$F$76/'Inputs'!$F$10*365,"")</f>
        <v/>
      </c>
      <c r="G18" s="40">
        <f>IFERROR('Inputs'!$G$76/'Inputs'!$G$10*365,"")</f>
        <v/>
      </c>
      <c r="H18" s="40">
        <f>IFERROR('Inputs'!$H$76/'Inputs'!$H$10*365,"")</f>
        <v/>
      </c>
      <c r="I18" s="40">
        <f>IFERROR('Inputs'!$I$76/'Inputs'!$I$10*365,"")</f>
        <v/>
      </c>
      <c r="J18" s="40">
        <f>IFERROR('Inputs'!$J$76/'Inputs'!$J$10*365,"")</f>
        <v/>
      </c>
      <c r="K18" s="40">
        <f>IFERROR('Inputs'!$K$76/'Inputs'!$K$10*365,"")</f>
        <v/>
      </c>
      <c r="L18" s="40">
        <f>IFERROR('Inputs'!$L$76/'Inputs'!$L$10*365,"")</f>
        <v/>
      </c>
      <c r="M18" s="40">
        <f>IFERROR('Inputs'!$M$76/'Inputs'!$M$10*365,"")</f>
        <v/>
      </c>
      <c r="N18" s="40">
        <f>IFERROR('Inputs'!$N$76/'Inputs'!$N$10*365,"")</f>
        <v/>
      </c>
      <c r="O18" s="40">
        <f>IFERROR('Inputs'!$O$76/'Inputs'!$O$10*365,"")</f>
        <v/>
      </c>
      <c r="P18" s="40">
        <f>IFERROR('Inputs'!$P$76/'Inputs'!$P$10*365,"")</f>
        <v/>
      </c>
      <c r="Q18" s="18">
        <f>IF(AND(ISNUMBER($K$18),ISNUMBER($J$18)),CHOOSE(2+($K$18&gt;$J$18)-($K$18&lt;$J$18),"▼","►","▲"),"")</f>
        <v/>
      </c>
    </row>
    <row r="19">
      <c r="A19" s="4" t="inlineStr">
        <is>
          <t>Days inventory outstanding (DIO)</t>
        </is>
      </c>
      <c r="B19" s="40" t="n"/>
      <c r="C19" s="40">
        <f>IFERROR('Inputs'!$C$77/'Inputs'!$C$11*365,"")</f>
        <v/>
      </c>
      <c r="D19" s="40">
        <f>IFERROR('Inputs'!$D$77/'Inputs'!$D$11*365,"")</f>
        <v/>
      </c>
      <c r="E19" s="40">
        <f>IFERROR('Inputs'!$E$77/'Inputs'!$E$11*365,"")</f>
        <v/>
      </c>
      <c r="F19" s="40">
        <f>IFERROR('Inputs'!$F$77/'Inputs'!$F$11*365,"")</f>
        <v/>
      </c>
      <c r="G19" s="40">
        <f>IFERROR('Inputs'!$G$77/'Inputs'!$G$11*365,"")</f>
        <v/>
      </c>
      <c r="H19" s="40">
        <f>IFERROR('Inputs'!$H$77/'Inputs'!$H$11*365,"")</f>
        <v/>
      </c>
      <c r="I19" s="40">
        <f>IFERROR('Inputs'!$I$77/'Inputs'!$I$11*365,"")</f>
        <v/>
      </c>
      <c r="J19" s="40">
        <f>IFERROR('Inputs'!$J$77/'Inputs'!$J$11*365,"")</f>
        <v/>
      </c>
      <c r="K19" s="40">
        <f>IFERROR('Inputs'!$K$77/'Inputs'!$K$11*365,"")</f>
        <v/>
      </c>
      <c r="L19" s="40">
        <f>IFERROR('Inputs'!$L$77/'Inputs'!$L$11*365,"")</f>
        <v/>
      </c>
      <c r="M19" s="40">
        <f>IFERROR('Inputs'!$M$77/'Inputs'!$M$11*365,"")</f>
        <v/>
      </c>
      <c r="N19" s="40">
        <f>IFERROR('Inputs'!$N$77/'Inputs'!$N$11*365,"")</f>
        <v/>
      </c>
      <c r="O19" s="40">
        <f>IFERROR('Inputs'!$O$77/'Inputs'!$O$11*365,"")</f>
        <v/>
      </c>
      <c r="P19" s="40">
        <f>IFERROR('Inputs'!$P$77/'Inputs'!$P$11*365,"")</f>
        <v/>
      </c>
      <c r="Q19" s="18">
        <f>IF(AND(ISNUMBER($K$19),ISNUMBER($J$19)),CHOOSE(2+($K$19&gt;$J$19)-($K$19&lt;$J$19),"▼","►","▲"),"")</f>
        <v/>
      </c>
    </row>
    <row r="20">
      <c r="A20" s="4" t="inlineStr">
        <is>
          <t>Days payable outstanding (DPO)</t>
        </is>
      </c>
      <c r="B20" s="40" t="n"/>
      <c r="C20" s="40">
        <f>IFERROR('Inputs'!$C$78/'Inputs'!$C$11*365,"")</f>
        <v/>
      </c>
      <c r="D20" s="40">
        <f>IFERROR('Inputs'!$D$78/'Inputs'!$D$11*365,"")</f>
        <v/>
      </c>
      <c r="E20" s="40">
        <f>IFERROR('Inputs'!$E$78/'Inputs'!$E$11*365,"")</f>
        <v/>
      </c>
      <c r="F20" s="40">
        <f>IFERROR('Inputs'!$F$78/'Inputs'!$F$11*365,"")</f>
        <v/>
      </c>
      <c r="G20" s="40">
        <f>IFERROR('Inputs'!$G$78/'Inputs'!$G$11*365,"")</f>
        <v/>
      </c>
      <c r="H20" s="40">
        <f>IFERROR('Inputs'!$H$78/'Inputs'!$H$11*365,"")</f>
        <v/>
      </c>
      <c r="I20" s="40">
        <f>IFERROR('Inputs'!$I$78/'Inputs'!$I$11*365,"")</f>
        <v/>
      </c>
      <c r="J20" s="40">
        <f>IFERROR('Inputs'!$J$78/'Inputs'!$J$11*365,"")</f>
        <v/>
      </c>
      <c r="K20" s="40">
        <f>IFERROR('Inputs'!$K$78/'Inputs'!$K$11*365,"")</f>
        <v/>
      </c>
      <c r="L20" s="40">
        <f>IFERROR('Inputs'!$L$78/'Inputs'!$L$11*365,"")</f>
        <v/>
      </c>
      <c r="M20" s="40">
        <f>IFERROR('Inputs'!$M$78/'Inputs'!$M$11*365,"")</f>
        <v/>
      </c>
      <c r="N20" s="40">
        <f>IFERROR('Inputs'!$N$78/'Inputs'!$N$11*365,"")</f>
        <v/>
      </c>
      <c r="O20" s="40">
        <f>IFERROR('Inputs'!$O$78/'Inputs'!$O$11*365,"")</f>
        <v/>
      </c>
      <c r="P20" s="40">
        <f>IFERROR('Inputs'!$P$78/'Inputs'!$P$11*365,"")</f>
        <v/>
      </c>
      <c r="Q20" s="18">
        <f>IF(AND(ISNUMBER($K$20),ISNUMBER($J$20)),CHOOSE(2+($K$20&gt;$J$20)-($K$20&lt;$J$20),"▼","►","▲"),"")</f>
        <v/>
      </c>
    </row>
    <row r="21">
      <c r="A21" s="12" t="inlineStr">
        <is>
          <t>Cash conversion cycle (DSO+DIO−DPO)</t>
        </is>
      </c>
      <c r="B21" s="40" t="n"/>
      <c r="C21" s="40">
        <f>IFERROR('Efficiency'!$C$18+'Efficiency'!$C$19-'Efficiency'!$C$20,"")</f>
        <v/>
      </c>
      <c r="D21" s="40">
        <f>IFERROR('Efficiency'!$D$18+'Efficiency'!$D$19-'Efficiency'!$D$20,"")</f>
        <v/>
      </c>
      <c r="E21" s="40">
        <f>IFERROR('Efficiency'!$E$18+'Efficiency'!$E$19-'Efficiency'!$E$20,"")</f>
        <v/>
      </c>
      <c r="F21" s="40">
        <f>IFERROR('Efficiency'!$F$18+'Efficiency'!$F$19-'Efficiency'!$F$20,"")</f>
        <v/>
      </c>
      <c r="G21" s="40">
        <f>IFERROR('Efficiency'!$G$18+'Efficiency'!$G$19-'Efficiency'!$G$20,"")</f>
        <v/>
      </c>
      <c r="H21" s="40">
        <f>IFERROR('Efficiency'!$H$18+'Efficiency'!$H$19-'Efficiency'!$H$20,"")</f>
        <v/>
      </c>
      <c r="I21" s="40">
        <f>IFERROR('Efficiency'!$I$18+'Efficiency'!$I$19-'Efficiency'!$I$20,"")</f>
        <v/>
      </c>
      <c r="J21" s="40">
        <f>IFERROR('Efficiency'!$J$18+'Efficiency'!$J$19-'Efficiency'!$J$20,"")</f>
        <v/>
      </c>
      <c r="K21" s="40">
        <f>IFERROR('Efficiency'!$K$18+'Efficiency'!$K$19-'Efficiency'!$K$20,"")</f>
        <v/>
      </c>
      <c r="L21" s="40">
        <f>IFERROR('Efficiency'!$L$18+'Efficiency'!$L$19-'Efficiency'!$L$20,"")</f>
        <v/>
      </c>
      <c r="M21" s="40">
        <f>IFERROR('Efficiency'!$M$18+'Efficiency'!$M$19-'Efficiency'!$M$20,"")</f>
        <v/>
      </c>
      <c r="N21" s="40">
        <f>IFERROR('Efficiency'!$N$18+'Efficiency'!$N$19-'Efficiency'!$N$20,"")</f>
        <v/>
      </c>
      <c r="O21" s="40">
        <f>IFERROR('Efficiency'!$O$18+'Efficiency'!$O$19-'Efficiency'!$O$20,"")</f>
        <v/>
      </c>
      <c r="P21" s="40">
        <f>IFERROR('Efficiency'!$P$18+'Efficiency'!$P$19-'Efficiency'!$P$20,"")</f>
        <v/>
      </c>
      <c r="Q21" s="18">
        <f>IF(AND(ISNUMBER($K$21),ISNUMBER($J$21)),CHOOSE(2+($K$21&gt;$J$21)-($K$21&lt;$J$21),"▼","►","▲"),"")</f>
        <v/>
      </c>
      <c r="R21" s="18">
        <f>IF(ISNUMBER($K$21),CHOOSE(1+($K$21&gt;=30)+($K$21&gt;=90),"Strong","Adequate","Weak"),"")</f>
        <v/>
      </c>
    </row>
    <row r="23" ht="20" customHeight="1">
      <c r="A23" s="3" t="inlineStr">
        <is>
          <t>Automated Observations</t>
        </is>
      </c>
    </row>
    <row r="24" ht="20" customHeight="1">
      <c r="A24" s="29">
        <f>IFERROR("» The cash conversion cycle is "&amp;TEXT('Efficiency'!$K$21,"0")&amp;" days — "&amp;'Efficiency'!$R$21&amp;" (a negative cycle means customers fund operations).","(insufficient data — populate inputs)")</f>
        <v/>
      </c>
    </row>
    <row r="25" ht="20" customHeight="1">
      <c r="A25" s="29">
        <f>IFERROR("» Asset turnover of "&amp;TEXT('Efficiency'!$K$10,"0.00")&amp;"x shows revenue generated per unit of assets.","(insufficient data — populate inputs)")</f>
        <v/>
      </c>
    </row>
  </sheetData>
  <mergeCells count="9">
    <mergeCell ref="A3:R3"/>
    <mergeCell ref="A7:R7"/>
    <mergeCell ref="A25:R25"/>
    <mergeCell ref="A24:R24"/>
    <mergeCell ref="A2:R2"/>
    <mergeCell ref="A1:R1"/>
    <mergeCell ref="A17:R17"/>
    <mergeCell ref="A9:R9"/>
    <mergeCell ref="A23:R23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7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9:P19">
    <cfRule type="colorScale" priority="8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0:P20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1:P21">
    <cfRule type="colorScale" priority="10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R10:R21">
    <cfRule type="expression" priority="11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2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3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9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GROWTH ANALYSIS</t>
        </is>
      </c>
    </row>
    <row r="2">
      <c r="A2" s="2" t="inlineStr">
        <is>
          <t>Year-on-year growth and compound annual growth rates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Growth metric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Year-on-Year Growth</t>
        </is>
      </c>
    </row>
    <row r="10">
      <c r="A10" s="4" t="inlineStr">
        <is>
          <t>Revenue growth</t>
        </is>
      </c>
      <c r="B10" s="23" t="n"/>
      <c r="C10" s="23">
        <f>IFERROR('Inputs'!$C$10/'Inputs'!$B$10-1,"")</f>
        <v/>
      </c>
      <c r="D10" s="23">
        <f>IFERROR('Inputs'!$D$10/'Inputs'!$C$10-1,"")</f>
        <v/>
      </c>
      <c r="E10" s="23">
        <f>IFERROR('Inputs'!$E$10/'Inputs'!$D$10-1,"")</f>
        <v/>
      </c>
      <c r="F10" s="23">
        <f>IFERROR('Inputs'!$F$10/'Inputs'!$E$10-1,"")</f>
        <v/>
      </c>
      <c r="G10" s="23">
        <f>IFERROR('Inputs'!$G$10/'Inputs'!$F$10-1,"")</f>
        <v/>
      </c>
      <c r="H10" s="23">
        <f>IFERROR('Inputs'!$H$10/'Inputs'!$G$10-1,"")</f>
        <v/>
      </c>
      <c r="I10" s="23">
        <f>IFERROR('Inputs'!$I$10/'Inputs'!$H$10-1,"")</f>
        <v/>
      </c>
      <c r="J10" s="23">
        <f>IFERROR('Inputs'!$J$10/'Inputs'!$I$10-1,"")</f>
        <v/>
      </c>
      <c r="K10" s="23">
        <f>IFERROR('Inputs'!$K$10/'Inputs'!$J$10-1,"")</f>
        <v/>
      </c>
      <c r="L10" s="23">
        <f>IFERROR('Inputs'!$L$10/'Inputs'!$K$10-1,"")</f>
        <v/>
      </c>
      <c r="M10" s="23">
        <f>IFERROR('Inputs'!$M$10/'Inputs'!$L$10-1,"")</f>
        <v/>
      </c>
      <c r="N10" s="23">
        <f>IFERROR('Inputs'!$N$10/'Inputs'!$M$10-1,"")</f>
        <v/>
      </c>
      <c r="O10" s="23">
        <f>IFERROR('Inputs'!$O$10/'Inputs'!$N$10-1,"")</f>
        <v/>
      </c>
      <c r="P10" s="23">
        <f>IFERROR('Inputs'!$P$10/'Inputs'!$O$10-1,"")</f>
        <v/>
      </c>
      <c r="Q10" s="18">
        <f>IF(AND(ISNUMBER($K$10),ISNUMBER($J$10)),CHOOSE(2+($K$10&gt;$J$10)-($K$10&lt;$J$10),"▼","►","▲"),"")</f>
        <v/>
      </c>
      <c r="R10" s="18">
        <f>IF(AND(ISNUMBER($K$10),ISNUMBER(AVERAGE($B$10:$K$10))),CHOOSE(2+($K$10&gt;AVERAGE($B$10:$K$10)*(1+0.05))-($K$10&lt;AVERAGE($B$10:$K$10)*(1-0.05)),"Decelerating","Stable","Accelerating"),"")</f>
        <v/>
      </c>
    </row>
    <row r="11">
      <c r="A11" s="4" t="inlineStr">
        <is>
          <t>EBITDA growth</t>
        </is>
      </c>
      <c r="B11" s="23" t="n"/>
      <c r="C11" s="23">
        <f>IFERROR('Inputs'!$C$14/'Inputs'!$B$14-1,"")</f>
        <v/>
      </c>
      <c r="D11" s="23">
        <f>IFERROR('Inputs'!$D$14/'Inputs'!$C$14-1,"")</f>
        <v/>
      </c>
      <c r="E11" s="23">
        <f>IFERROR('Inputs'!$E$14/'Inputs'!$D$14-1,"")</f>
        <v/>
      </c>
      <c r="F11" s="23">
        <f>IFERROR('Inputs'!$F$14/'Inputs'!$E$14-1,"")</f>
        <v/>
      </c>
      <c r="G11" s="23">
        <f>IFERROR('Inputs'!$G$14/'Inputs'!$F$14-1,"")</f>
        <v/>
      </c>
      <c r="H11" s="23">
        <f>IFERROR('Inputs'!$H$14/'Inputs'!$G$14-1,"")</f>
        <v/>
      </c>
      <c r="I11" s="23">
        <f>IFERROR('Inputs'!$I$14/'Inputs'!$H$14-1,"")</f>
        <v/>
      </c>
      <c r="J11" s="23">
        <f>IFERROR('Inputs'!$J$14/'Inputs'!$I$14-1,"")</f>
        <v/>
      </c>
      <c r="K11" s="23">
        <f>IFERROR('Inputs'!$K$14/'Inputs'!$J$14-1,"")</f>
        <v/>
      </c>
      <c r="L11" s="23">
        <f>IFERROR('Inputs'!$L$14/'Inputs'!$K$14-1,"")</f>
        <v/>
      </c>
      <c r="M11" s="23">
        <f>IFERROR('Inputs'!$M$14/'Inputs'!$L$14-1,"")</f>
        <v/>
      </c>
      <c r="N11" s="23">
        <f>IFERROR('Inputs'!$N$14/'Inputs'!$M$14-1,"")</f>
        <v/>
      </c>
      <c r="O11" s="23">
        <f>IFERROR('Inputs'!$O$14/'Inputs'!$N$14-1,"")</f>
        <v/>
      </c>
      <c r="P11" s="23">
        <f>IFERROR('Inputs'!$P$14/'Inputs'!$O$14-1,"")</f>
        <v/>
      </c>
      <c r="Q11" s="18">
        <f>IF(AND(ISNUMBER($K$11),ISNUMBER($J$11)),CHOOSE(2+($K$11&gt;$J$11)-($K$11&lt;$J$11),"▼","►","▲"),"")</f>
        <v/>
      </c>
      <c r="R11" s="18">
        <f>IF(AND(ISNUMBER($K$11),ISNUMBER(AVERAGE($B$11:$K$11))),CHOOSE(2+($K$11&gt;AVERAGE($B$11:$K$11)*(1+0.05))-($K$11&lt;AVERAGE($B$11:$K$11)*(1-0.05)),"Decelerating","Stable","Accelerating"),"")</f>
        <v/>
      </c>
    </row>
    <row r="12">
      <c r="A12" s="4" t="inlineStr">
        <is>
          <t>EBIT growth</t>
        </is>
      </c>
      <c r="B12" s="23" t="n"/>
      <c r="C12" s="23">
        <f>IFERROR('Inputs'!$C$16/'Inputs'!$B$16-1,"")</f>
        <v/>
      </c>
      <c r="D12" s="23">
        <f>IFERROR('Inputs'!$D$16/'Inputs'!$C$16-1,"")</f>
        <v/>
      </c>
      <c r="E12" s="23">
        <f>IFERROR('Inputs'!$E$16/'Inputs'!$D$16-1,"")</f>
        <v/>
      </c>
      <c r="F12" s="23">
        <f>IFERROR('Inputs'!$F$16/'Inputs'!$E$16-1,"")</f>
        <v/>
      </c>
      <c r="G12" s="23">
        <f>IFERROR('Inputs'!$G$16/'Inputs'!$F$16-1,"")</f>
        <v/>
      </c>
      <c r="H12" s="23">
        <f>IFERROR('Inputs'!$H$16/'Inputs'!$G$16-1,"")</f>
        <v/>
      </c>
      <c r="I12" s="23">
        <f>IFERROR('Inputs'!$I$16/'Inputs'!$H$16-1,"")</f>
        <v/>
      </c>
      <c r="J12" s="23">
        <f>IFERROR('Inputs'!$J$16/'Inputs'!$I$16-1,"")</f>
        <v/>
      </c>
      <c r="K12" s="23">
        <f>IFERROR('Inputs'!$K$16/'Inputs'!$J$16-1,"")</f>
        <v/>
      </c>
      <c r="L12" s="23">
        <f>IFERROR('Inputs'!$L$16/'Inputs'!$K$16-1,"")</f>
        <v/>
      </c>
      <c r="M12" s="23">
        <f>IFERROR('Inputs'!$M$16/'Inputs'!$L$16-1,"")</f>
        <v/>
      </c>
      <c r="N12" s="23">
        <f>IFERROR('Inputs'!$N$16/'Inputs'!$M$16-1,"")</f>
        <v/>
      </c>
      <c r="O12" s="23">
        <f>IFERROR('Inputs'!$O$16/'Inputs'!$N$16-1,"")</f>
        <v/>
      </c>
      <c r="P12" s="23">
        <f>IFERROR('Inputs'!$P$16/'Inputs'!$O$16-1,"")</f>
        <v/>
      </c>
      <c r="Q12" s="18">
        <f>IF(AND(ISNUMBER($K$12),ISNUMBER($J$12)),CHOOSE(2+($K$12&gt;$J$12)-($K$12&lt;$J$12),"▼","►","▲"),"")</f>
        <v/>
      </c>
      <c r="R12" s="18">
        <f>IF(AND(ISNUMBER($K$12),ISNUMBER(AVERAGE($B$12:$K$12))),CHOOSE(2+($K$12&gt;AVERAGE($B$12:$K$12)*(1+0.05))-($K$12&lt;AVERAGE($B$12:$K$12)*(1-0.05)),"Decelerating","Stable","Accelerating"),"")</f>
        <v/>
      </c>
    </row>
    <row r="13">
      <c r="A13" s="4" t="inlineStr">
        <is>
          <t>Net income growth</t>
        </is>
      </c>
      <c r="B13" s="23" t="n"/>
      <c r="C13" s="23">
        <f>IFERROR('Inputs'!$C$21/'Inputs'!$B$21-1,"")</f>
        <v/>
      </c>
      <c r="D13" s="23">
        <f>IFERROR('Inputs'!$D$21/'Inputs'!$C$21-1,"")</f>
        <v/>
      </c>
      <c r="E13" s="23">
        <f>IFERROR('Inputs'!$E$21/'Inputs'!$D$21-1,"")</f>
        <v/>
      </c>
      <c r="F13" s="23">
        <f>IFERROR('Inputs'!$F$21/'Inputs'!$E$21-1,"")</f>
        <v/>
      </c>
      <c r="G13" s="23">
        <f>IFERROR('Inputs'!$G$21/'Inputs'!$F$21-1,"")</f>
        <v/>
      </c>
      <c r="H13" s="23">
        <f>IFERROR('Inputs'!$H$21/'Inputs'!$G$21-1,"")</f>
        <v/>
      </c>
      <c r="I13" s="23">
        <f>IFERROR('Inputs'!$I$21/'Inputs'!$H$21-1,"")</f>
        <v/>
      </c>
      <c r="J13" s="23">
        <f>IFERROR('Inputs'!$J$21/'Inputs'!$I$21-1,"")</f>
        <v/>
      </c>
      <c r="K13" s="23">
        <f>IFERROR('Inputs'!$K$21/'Inputs'!$J$21-1,"")</f>
        <v/>
      </c>
      <c r="L13" s="23">
        <f>IFERROR('Inputs'!$L$21/'Inputs'!$K$21-1,"")</f>
        <v/>
      </c>
      <c r="M13" s="23">
        <f>IFERROR('Inputs'!$M$21/'Inputs'!$L$21-1,"")</f>
        <v/>
      </c>
      <c r="N13" s="23">
        <f>IFERROR('Inputs'!$N$21/'Inputs'!$M$21-1,"")</f>
        <v/>
      </c>
      <c r="O13" s="23">
        <f>IFERROR('Inputs'!$O$21/'Inputs'!$N$21-1,"")</f>
        <v/>
      </c>
      <c r="P13" s="23">
        <f>IFERROR('Inputs'!$P$21/'Inputs'!$O$21-1,"")</f>
        <v/>
      </c>
      <c r="Q13" s="18">
        <f>IF(AND(ISNUMBER($K$13),ISNUMBER($J$13)),CHOOSE(2+($K$13&gt;$J$13)-($K$13&lt;$J$13),"▼","►","▲"),"")</f>
        <v/>
      </c>
      <c r="R13" s="18">
        <f>IF(AND(ISNUMBER($K$13),ISNUMBER(AVERAGE($B$13:$K$13))),CHOOSE(2+($K$13&gt;AVERAGE($B$13:$K$13)*(1+0.05))-($K$13&lt;AVERAGE($B$13:$K$13)*(1-0.05)),"Decelerating","Stable","Accelerating"),"")</f>
        <v/>
      </c>
    </row>
    <row r="14">
      <c r="A14" s="4" t="inlineStr">
        <is>
          <t>Free cash flow growth</t>
        </is>
      </c>
      <c r="B14" s="23" t="n"/>
      <c r="C14" s="23">
        <f>IFERROR('Inputs'!$C$48/'Inputs'!$B$48-1,"")</f>
        <v/>
      </c>
      <c r="D14" s="23">
        <f>IFERROR('Inputs'!$D$48/'Inputs'!$C$48-1,"")</f>
        <v/>
      </c>
      <c r="E14" s="23">
        <f>IFERROR('Inputs'!$E$48/'Inputs'!$D$48-1,"")</f>
        <v/>
      </c>
      <c r="F14" s="23">
        <f>IFERROR('Inputs'!$F$48/'Inputs'!$E$48-1,"")</f>
        <v/>
      </c>
      <c r="G14" s="23">
        <f>IFERROR('Inputs'!$G$48/'Inputs'!$F$48-1,"")</f>
        <v/>
      </c>
      <c r="H14" s="23">
        <f>IFERROR('Inputs'!$H$48/'Inputs'!$G$48-1,"")</f>
        <v/>
      </c>
      <c r="I14" s="23">
        <f>IFERROR('Inputs'!$I$48/'Inputs'!$H$48-1,"")</f>
        <v/>
      </c>
      <c r="J14" s="23">
        <f>IFERROR('Inputs'!$J$48/'Inputs'!$I$48-1,"")</f>
        <v/>
      </c>
      <c r="K14" s="23">
        <f>IFERROR('Inputs'!$K$48/'Inputs'!$J$48-1,"")</f>
        <v/>
      </c>
      <c r="L14" s="23">
        <f>IFERROR('Inputs'!$L$48/'Inputs'!$K$48-1,"")</f>
        <v/>
      </c>
      <c r="M14" s="23">
        <f>IFERROR('Inputs'!$M$48/'Inputs'!$L$48-1,"")</f>
        <v/>
      </c>
      <c r="N14" s="23">
        <f>IFERROR('Inputs'!$N$48/'Inputs'!$M$48-1,"")</f>
        <v/>
      </c>
      <c r="O14" s="23">
        <f>IFERROR('Inputs'!$O$48/'Inputs'!$N$48-1,"")</f>
        <v/>
      </c>
      <c r="P14" s="23">
        <f>IFERROR('Inputs'!$P$48/'Inputs'!$O$48-1,"")</f>
        <v/>
      </c>
      <c r="Q14" s="18">
        <f>IF(AND(ISNUMBER($K$14),ISNUMBER($J$14)),CHOOSE(2+($K$14&gt;$J$14)-($K$14&lt;$J$14),"▼","►","▲"),"")</f>
        <v/>
      </c>
      <c r="R14" s="18">
        <f>IF(AND(ISNUMBER($K$14),ISNUMBER(AVERAGE($B$14:$K$14))),CHOOSE(2+($K$14&gt;AVERAGE($B$14:$K$14)*(1+0.05))-($K$14&lt;AVERAGE($B$14:$K$14)*(1-0.05)),"Decelerating","Stable","Accelerating"),"")</f>
        <v/>
      </c>
    </row>
    <row r="15">
      <c r="A15" s="4" t="inlineStr">
        <is>
          <t>Asset growth</t>
        </is>
      </c>
      <c r="B15" s="23" t="n"/>
      <c r="C15" s="23">
        <f>IFERROR('Inputs'!$C$32/'Inputs'!$B$32-1,"")</f>
        <v/>
      </c>
      <c r="D15" s="23">
        <f>IFERROR('Inputs'!$D$32/'Inputs'!$C$32-1,"")</f>
        <v/>
      </c>
      <c r="E15" s="23">
        <f>IFERROR('Inputs'!$E$32/'Inputs'!$D$32-1,"")</f>
        <v/>
      </c>
      <c r="F15" s="23">
        <f>IFERROR('Inputs'!$F$32/'Inputs'!$E$32-1,"")</f>
        <v/>
      </c>
      <c r="G15" s="23">
        <f>IFERROR('Inputs'!$G$32/'Inputs'!$F$32-1,"")</f>
        <v/>
      </c>
      <c r="H15" s="23">
        <f>IFERROR('Inputs'!$H$32/'Inputs'!$G$32-1,"")</f>
        <v/>
      </c>
      <c r="I15" s="23">
        <f>IFERROR('Inputs'!$I$32/'Inputs'!$H$32-1,"")</f>
        <v/>
      </c>
      <c r="J15" s="23">
        <f>IFERROR('Inputs'!$J$32/'Inputs'!$I$32-1,"")</f>
        <v/>
      </c>
      <c r="K15" s="23">
        <f>IFERROR('Inputs'!$K$32/'Inputs'!$J$32-1,"")</f>
        <v/>
      </c>
      <c r="L15" s="23">
        <f>IFERROR('Inputs'!$L$32/'Inputs'!$K$32-1,"")</f>
        <v/>
      </c>
      <c r="M15" s="23">
        <f>IFERROR('Inputs'!$M$32/'Inputs'!$L$32-1,"")</f>
        <v/>
      </c>
      <c r="N15" s="23">
        <f>IFERROR('Inputs'!$N$32/'Inputs'!$M$32-1,"")</f>
        <v/>
      </c>
      <c r="O15" s="23">
        <f>IFERROR('Inputs'!$O$32/'Inputs'!$N$32-1,"")</f>
        <v/>
      </c>
      <c r="P15" s="23">
        <f>IFERROR('Inputs'!$P$32/'Inputs'!$O$32-1,"")</f>
        <v/>
      </c>
      <c r="Q15" s="18">
        <f>IF(AND(ISNUMBER($K$15),ISNUMBER($J$15)),CHOOSE(2+($K$15&gt;$J$15)-($K$15&lt;$J$15),"▼","►","▲"),"")</f>
        <v/>
      </c>
      <c r="R15" s="18">
        <f>IF(AND(ISNUMBER($K$15),ISNUMBER(AVERAGE($B$15:$K$15))),CHOOSE(2+($K$15&gt;AVERAGE($B$15:$K$15)*(1+0.05))-($K$15&lt;AVERAGE($B$15:$K$15)*(1-0.05)),"Decelerating","Stable","Accelerating"),"")</f>
        <v/>
      </c>
    </row>
    <row r="16">
      <c r="A16" s="4" t="inlineStr">
        <is>
          <t>Equity growth</t>
        </is>
      </c>
      <c r="B16" s="23" t="n"/>
      <c r="C16" s="23">
        <f>IFERROR('Inputs'!$C$42/'Inputs'!$B$42-1,"")</f>
        <v/>
      </c>
      <c r="D16" s="23">
        <f>IFERROR('Inputs'!$D$42/'Inputs'!$C$42-1,"")</f>
        <v/>
      </c>
      <c r="E16" s="23">
        <f>IFERROR('Inputs'!$E$42/'Inputs'!$D$42-1,"")</f>
        <v/>
      </c>
      <c r="F16" s="23">
        <f>IFERROR('Inputs'!$F$42/'Inputs'!$E$42-1,"")</f>
        <v/>
      </c>
      <c r="G16" s="23">
        <f>IFERROR('Inputs'!$G$42/'Inputs'!$F$42-1,"")</f>
        <v/>
      </c>
      <c r="H16" s="23">
        <f>IFERROR('Inputs'!$H$42/'Inputs'!$G$42-1,"")</f>
        <v/>
      </c>
      <c r="I16" s="23">
        <f>IFERROR('Inputs'!$I$42/'Inputs'!$H$42-1,"")</f>
        <v/>
      </c>
      <c r="J16" s="23">
        <f>IFERROR('Inputs'!$J$42/'Inputs'!$I$42-1,"")</f>
        <v/>
      </c>
      <c r="K16" s="23">
        <f>IFERROR('Inputs'!$K$42/'Inputs'!$J$42-1,"")</f>
        <v/>
      </c>
      <c r="L16" s="23">
        <f>IFERROR('Inputs'!$L$42/'Inputs'!$K$42-1,"")</f>
        <v/>
      </c>
      <c r="M16" s="23">
        <f>IFERROR('Inputs'!$M$42/'Inputs'!$L$42-1,"")</f>
        <v/>
      </c>
      <c r="N16" s="23">
        <f>IFERROR('Inputs'!$N$42/'Inputs'!$M$42-1,"")</f>
        <v/>
      </c>
      <c r="O16" s="23">
        <f>IFERROR('Inputs'!$O$42/'Inputs'!$N$42-1,"")</f>
        <v/>
      </c>
      <c r="P16" s="23">
        <f>IFERROR('Inputs'!$P$42/'Inputs'!$O$42-1,"")</f>
        <v/>
      </c>
      <c r="Q16" s="18">
        <f>IF(AND(ISNUMBER($K$16),ISNUMBER($J$16)),CHOOSE(2+($K$16&gt;$J$16)-($K$16&lt;$J$16),"▼","►","▲"),"")</f>
        <v/>
      </c>
      <c r="R16" s="18">
        <f>IF(AND(ISNUMBER($K$16),ISNUMBER(AVERAGE($B$16:$K$16))),CHOOSE(2+($K$16&gt;AVERAGE($B$16:$K$16)*(1+0.05))-($K$16&lt;AVERAGE($B$16:$K$16)*(1-0.05)),"Decelerating","Stable","Accelerating"),"")</f>
        <v/>
      </c>
    </row>
    <row r="18" ht="20" customHeight="1">
      <c r="A18" s="3" t="inlineStr">
        <is>
          <t>Compound Annual Growth (CAGR)</t>
        </is>
      </c>
    </row>
    <row r="19">
      <c r="A19" s="20" t="inlineStr">
        <is>
          <t>Metric</t>
        </is>
      </c>
      <c r="B19" s="21" t="inlineStr">
        <is>
          <t>3-Year</t>
        </is>
      </c>
      <c r="C19" s="21" t="inlineStr">
        <is>
          <t>5-Year</t>
        </is>
      </c>
      <c r="D19" s="21" t="inlineStr">
        <is>
          <t>10-Year (FY2015–FY2024)</t>
        </is>
      </c>
    </row>
    <row r="20">
      <c r="A20" s="4" t="inlineStr">
        <is>
          <t>Revenue</t>
        </is>
      </c>
      <c r="B20" s="23">
        <f>IFERROR(('Inputs'!$K$10/'Inputs'!$H$10)^(1/3)-1,"")</f>
        <v/>
      </c>
      <c r="C20" s="23">
        <f>IFERROR(('Inputs'!$K$10/'Inputs'!$F$10)^(1/5)-1,"")</f>
        <v/>
      </c>
      <c r="D20" s="23">
        <f>IFERROR(('Inputs'!$K$10/'Inputs'!$B$10)^(1/9)-1,"")</f>
        <v/>
      </c>
      <c r="E20" s="9" t="n"/>
      <c r="F20" s="10" t="n"/>
    </row>
    <row r="21">
      <c r="A21" s="4" t="inlineStr">
        <is>
          <t>EBITDA</t>
        </is>
      </c>
      <c r="B21" s="23">
        <f>IFERROR(('Inputs'!$K$14/'Inputs'!$H$14)^(1/3)-1,"")</f>
        <v/>
      </c>
      <c r="C21" s="23">
        <f>IFERROR(('Inputs'!$K$14/'Inputs'!$F$14)^(1/5)-1,"")</f>
        <v/>
      </c>
      <c r="D21" s="23">
        <f>IFERROR(('Inputs'!$K$14/'Inputs'!$B$14)^(1/9)-1,"")</f>
        <v/>
      </c>
      <c r="E21" s="9" t="n"/>
      <c r="F21" s="10" t="n"/>
    </row>
    <row r="22">
      <c r="A22" s="4" t="inlineStr">
        <is>
          <t>EBIT</t>
        </is>
      </c>
      <c r="B22" s="23">
        <f>IFERROR(('Inputs'!$K$16/'Inputs'!$H$16)^(1/3)-1,"")</f>
        <v/>
      </c>
      <c r="C22" s="23">
        <f>IFERROR(('Inputs'!$K$16/'Inputs'!$F$16)^(1/5)-1,"")</f>
        <v/>
      </c>
      <c r="D22" s="23">
        <f>IFERROR(('Inputs'!$K$16/'Inputs'!$B$16)^(1/9)-1,"")</f>
        <v/>
      </c>
      <c r="E22" s="9" t="n"/>
      <c r="F22" s="10" t="n"/>
    </row>
    <row r="23">
      <c r="A23" s="4" t="inlineStr">
        <is>
          <t>Net income</t>
        </is>
      </c>
      <c r="B23" s="23">
        <f>IFERROR(('Inputs'!$K$21/'Inputs'!$H$21)^(1/3)-1,"")</f>
        <v/>
      </c>
      <c r="C23" s="23">
        <f>IFERROR(('Inputs'!$K$21/'Inputs'!$F$21)^(1/5)-1,"")</f>
        <v/>
      </c>
      <c r="D23" s="23">
        <f>IFERROR(('Inputs'!$K$21/'Inputs'!$B$21)^(1/9)-1,"")</f>
        <v/>
      </c>
      <c r="E23" s="9" t="n"/>
      <c r="F23" s="10" t="n"/>
    </row>
    <row r="24">
      <c r="A24" s="4" t="inlineStr">
        <is>
          <t>Free cash flow</t>
        </is>
      </c>
      <c r="B24" s="23">
        <f>IFERROR(('Inputs'!$K$48/'Inputs'!$H$48)^(1/3)-1,"")</f>
        <v/>
      </c>
      <c r="C24" s="23">
        <f>IFERROR(('Inputs'!$K$48/'Inputs'!$F$48)^(1/5)-1,"")</f>
        <v/>
      </c>
      <c r="D24" s="23">
        <f>IFERROR(('Inputs'!$K$48/'Inputs'!$B$48)^(1/9)-1,"")</f>
        <v/>
      </c>
      <c r="E24" s="9" t="n"/>
      <c r="F24" s="10" t="n"/>
    </row>
    <row r="25">
      <c r="A25" s="4" t="inlineStr">
        <is>
          <t>Total assets</t>
        </is>
      </c>
      <c r="B25" s="23">
        <f>IFERROR(('Inputs'!$K$32/'Inputs'!$H$32)^(1/3)-1,"")</f>
        <v/>
      </c>
      <c r="C25" s="23">
        <f>IFERROR(('Inputs'!$K$32/'Inputs'!$F$32)^(1/5)-1,"")</f>
        <v/>
      </c>
      <c r="D25" s="23">
        <f>IFERROR(('Inputs'!$K$32/'Inputs'!$B$32)^(1/9)-1,"")</f>
        <v/>
      </c>
      <c r="E25" s="9" t="n"/>
      <c r="F25" s="10" t="n"/>
    </row>
    <row r="26">
      <c r="A26" s="4" t="inlineStr">
        <is>
          <t>Equity</t>
        </is>
      </c>
      <c r="B26" s="23">
        <f>IFERROR(('Inputs'!$K$42/'Inputs'!$H$42)^(1/3)-1,"")</f>
        <v/>
      </c>
      <c r="C26" s="23">
        <f>IFERROR(('Inputs'!$K$42/'Inputs'!$F$42)^(1/5)-1,"")</f>
        <v/>
      </c>
      <c r="D26" s="23">
        <f>IFERROR(('Inputs'!$K$42/'Inputs'!$B$42)^(1/9)-1,"")</f>
        <v/>
      </c>
      <c r="E26" s="9" t="n"/>
      <c r="F26" s="10" t="n"/>
    </row>
    <row r="28" ht="20" customHeight="1">
      <c r="A28" s="3" t="inlineStr">
        <is>
          <t>Automated Observations</t>
        </is>
      </c>
    </row>
    <row r="29" ht="20" customHeight="1">
      <c r="A29" s="29">
        <f>IFERROR("» Revenue compounded at "&amp;TEXT('Growth'!$C$20,"0.0%")&amp;" over 5 years and "&amp;TEXT('Growth'!$D$20,"0.0%")&amp;" over the full window; latest-year growth is "&amp;TEXT('Growth'!$K$10,"0.0%")&amp;".","(insufficient data — populate inputs)")</f>
        <v/>
      </c>
    </row>
    <row r="30" ht="20" customHeight="1">
      <c r="A30" s="29">
        <f>IFERROR("» Net income grew "&amp;TEXT('Growth'!$C$23,"0.0%")&amp;" (5y CAGR) vs revenue "&amp;TEXT('Growth'!$C$20,"0.0%")&amp;" — profit "&amp;IF('Growth'!$C$23&gt;'Growth'!$C$20,"outgrew","lagged")&amp;" the top line.","(insufficient data — populate inputs)")</f>
        <v/>
      </c>
    </row>
  </sheetData>
  <mergeCells count="17">
    <mergeCell ref="A3:R3"/>
    <mergeCell ref="A30:R30"/>
    <mergeCell ref="D19:F19"/>
    <mergeCell ref="A29:R29"/>
    <mergeCell ref="A7:R7"/>
    <mergeCell ref="D23:F23"/>
    <mergeCell ref="A2:R2"/>
    <mergeCell ref="D22:F22"/>
    <mergeCell ref="A28:R28"/>
    <mergeCell ref="D26:F26"/>
    <mergeCell ref="A1:R1"/>
    <mergeCell ref="A9:R9"/>
    <mergeCell ref="D21:F21"/>
    <mergeCell ref="D25:F25"/>
    <mergeCell ref="D20:F20"/>
    <mergeCell ref="A18:R18"/>
    <mergeCell ref="D24:F24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P15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6:P16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0:D26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16">
    <cfRule type="expression" priority="9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10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1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0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VALUATION RATIOS</t>
        </is>
      </c>
    </row>
    <row r="2">
      <c r="A2" s="2" t="inlineStr">
        <is>
          <t>Multiples and yields with a transparent EV bridge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Valuation metric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Enterprise Value Build  (every step shown)</t>
        </is>
      </c>
    </row>
    <row r="10">
      <c r="A10" s="4" t="inlineStr">
        <is>
          <t>Market capitalisation</t>
        </is>
      </c>
      <c r="B10" s="33">
        <f>'Inputs'!$B$54</f>
        <v/>
      </c>
      <c r="C10" s="33">
        <f>'Inputs'!$C$54</f>
        <v/>
      </c>
      <c r="D10" s="33">
        <f>'Inputs'!$D$54</f>
        <v/>
      </c>
      <c r="E10" s="33">
        <f>'Inputs'!$E$54</f>
        <v/>
      </c>
      <c r="F10" s="33">
        <f>'Inputs'!$F$54</f>
        <v/>
      </c>
      <c r="G10" s="33">
        <f>'Inputs'!$G$54</f>
        <v/>
      </c>
      <c r="H10" s="33">
        <f>'Inputs'!$H$54</f>
        <v/>
      </c>
      <c r="I10" s="33">
        <f>'Inputs'!$I$54</f>
        <v/>
      </c>
      <c r="J10" s="33">
        <f>'Inputs'!$J$54</f>
        <v/>
      </c>
      <c r="K10" s="33">
        <f>'Inputs'!$K$54</f>
        <v/>
      </c>
      <c r="L10" s="33">
        <f>'Inputs'!$L$54</f>
        <v/>
      </c>
      <c r="M10" s="33">
        <f>'Inputs'!$M$54</f>
        <v/>
      </c>
      <c r="N10" s="33">
        <f>'Inputs'!$N$54</f>
        <v/>
      </c>
      <c r="O10" s="33">
        <f>'Inputs'!$O$54</f>
        <v/>
      </c>
      <c r="P10" s="33">
        <f>'Inputs'!$P$54</f>
        <v/>
      </c>
    </row>
    <row r="11">
      <c r="A11" s="4" t="inlineStr">
        <is>
          <t>(+) Total debt</t>
        </is>
      </c>
      <c r="B11" s="33">
        <f>'Inputs'!$B$66</f>
        <v/>
      </c>
      <c r="C11" s="33">
        <f>'Inputs'!$C$66</f>
        <v/>
      </c>
      <c r="D11" s="33">
        <f>'Inputs'!$D$66</f>
        <v/>
      </c>
      <c r="E11" s="33">
        <f>'Inputs'!$E$66</f>
        <v/>
      </c>
      <c r="F11" s="33">
        <f>'Inputs'!$F$66</f>
        <v/>
      </c>
      <c r="G11" s="33">
        <f>'Inputs'!$G$66</f>
        <v/>
      </c>
      <c r="H11" s="33">
        <f>'Inputs'!$H$66</f>
        <v/>
      </c>
      <c r="I11" s="33">
        <f>'Inputs'!$I$66</f>
        <v/>
      </c>
      <c r="J11" s="33">
        <f>'Inputs'!$J$66</f>
        <v/>
      </c>
      <c r="K11" s="33">
        <f>'Inputs'!$K$66</f>
        <v/>
      </c>
      <c r="L11" s="33">
        <f>'Inputs'!$L$66</f>
        <v/>
      </c>
      <c r="M11" s="33">
        <f>'Inputs'!$M$66</f>
        <v/>
      </c>
      <c r="N11" s="33">
        <f>'Inputs'!$N$66</f>
        <v/>
      </c>
      <c r="O11" s="33">
        <f>'Inputs'!$O$66</f>
        <v/>
      </c>
      <c r="P11" s="33">
        <f>'Inputs'!$P$66</f>
        <v/>
      </c>
    </row>
    <row r="12">
      <c r="A12" s="4" t="inlineStr">
        <is>
          <t>(−) Cash &amp; equivalents</t>
        </is>
      </c>
      <c r="B12" s="33">
        <f>-'Inputs'!$B$23</f>
        <v/>
      </c>
      <c r="C12" s="33">
        <f>-'Inputs'!$C$23</f>
        <v/>
      </c>
      <c r="D12" s="33">
        <f>-'Inputs'!$D$23</f>
        <v/>
      </c>
      <c r="E12" s="33">
        <f>-'Inputs'!$E$23</f>
        <v/>
      </c>
      <c r="F12" s="33">
        <f>-'Inputs'!$F$23</f>
        <v/>
      </c>
      <c r="G12" s="33">
        <f>-'Inputs'!$G$23</f>
        <v/>
      </c>
      <c r="H12" s="33">
        <f>-'Inputs'!$H$23</f>
        <v/>
      </c>
      <c r="I12" s="33">
        <f>-'Inputs'!$I$23</f>
        <v/>
      </c>
      <c r="J12" s="33">
        <f>-'Inputs'!$J$23</f>
        <v/>
      </c>
      <c r="K12" s="33">
        <f>-'Inputs'!$K$23</f>
        <v/>
      </c>
      <c r="L12" s="33">
        <f>-'Inputs'!$L$23</f>
        <v/>
      </c>
      <c r="M12" s="33">
        <f>-'Inputs'!$M$23</f>
        <v/>
      </c>
      <c r="N12" s="33">
        <f>-'Inputs'!$N$23</f>
        <v/>
      </c>
      <c r="O12" s="33">
        <f>-'Inputs'!$O$23</f>
        <v/>
      </c>
      <c r="P12" s="33">
        <f>-'Inputs'!$P$23</f>
        <v/>
      </c>
    </row>
    <row r="13">
      <c r="A13" s="12" t="inlineStr">
        <is>
          <t>(=) Enterprise value</t>
        </is>
      </c>
      <c r="B13" s="33">
        <f>'Inputs'!$B$73</f>
        <v/>
      </c>
      <c r="C13" s="33">
        <f>'Inputs'!$C$73</f>
        <v/>
      </c>
      <c r="D13" s="33">
        <f>'Inputs'!$D$73</f>
        <v/>
      </c>
      <c r="E13" s="33">
        <f>'Inputs'!$E$73</f>
        <v/>
      </c>
      <c r="F13" s="33">
        <f>'Inputs'!$F$73</f>
        <v/>
      </c>
      <c r="G13" s="33">
        <f>'Inputs'!$G$73</f>
        <v/>
      </c>
      <c r="H13" s="33">
        <f>'Inputs'!$H$73</f>
        <v/>
      </c>
      <c r="I13" s="33">
        <f>'Inputs'!$I$73</f>
        <v/>
      </c>
      <c r="J13" s="33">
        <f>'Inputs'!$J$73</f>
        <v/>
      </c>
      <c r="K13" s="33">
        <f>'Inputs'!$K$73</f>
        <v/>
      </c>
      <c r="L13" s="33">
        <f>'Inputs'!$L$73</f>
        <v/>
      </c>
      <c r="M13" s="33">
        <f>'Inputs'!$M$73</f>
        <v/>
      </c>
      <c r="N13" s="33">
        <f>'Inputs'!$N$73</f>
        <v/>
      </c>
      <c r="O13" s="33">
        <f>'Inputs'!$O$73</f>
        <v/>
      </c>
      <c r="P13" s="33">
        <f>'Inputs'!$P$73</f>
        <v/>
      </c>
    </row>
    <row r="15" ht="20" customHeight="1">
      <c r="A15" s="3" t="inlineStr">
        <is>
          <t>Earnings Multiples</t>
        </is>
      </c>
    </row>
    <row r="16">
      <c r="A16" s="4" t="inlineStr">
        <is>
          <t>P / E</t>
        </is>
      </c>
      <c r="B16" s="24">
        <f>IFERROR('Inputs'!$B$54/'Inputs'!$B$21,"")</f>
        <v/>
      </c>
      <c r="C16" s="24">
        <f>IFERROR('Inputs'!$C$54/'Inputs'!$C$21,"")</f>
        <v/>
      </c>
      <c r="D16" s="24">
        <f>IFERROR('Inputs'!$D$54/'Inputs'!$D$21,"")</f>
        <v/>
      </c>
      <c r="E16" s="24">
        <f>IFERROR('Inputs'!$E$54/'Inputs'!$E$21,"")</f>
        <v/>
      </c>
      <c r="F16" s="24">
        <f>IFERROR('Inputs'!$F$54/'Inputs'!$F$21,"")</f>
        <v/>
      </c>
      <c r="G16" s="24">
        <f>IFERROR('Inputs'!$G$54/'Inputs'!$G$21,"")</f>
        <v/>
      </c>
      <c r="H16" s="24">
        <f>IFERROR('Inputs'!$H$54/'Inputs'!$H$21,"")</f>
        <v/>
      </c>
      <c r="I16" s="24">
        <f>IFERROR('Inputs'!$I$54/'Inputs'!$I$21,"")</f>
        <v/>
      </c>
      <c r="J16" s="24">
        <f>IFERROR('Inputs'!$J$54/'Inputs'!$J$21,"")</f>
        <v/>
      </c>
      <c r="K16" s="24">
        <f>IFERROR('Inputs'!$K$54/'Inputs'!$K$21,"")</f>
        <v/>
      </c>
      <c r="L16" s="24">
        <f>IFERROR('Inputs'!$L$54/'Inputs'!$L$21,"")</f>
        <v/>
      </c>
      <c r="M16" s="24">
        <f>IFERROR('Inputs'!$M$54/'Inputs'!$M$21,"")</f>
        <v/>
      </c>
      <c r="N16" s="24">
        <f>IFERROR('Inputs'!$N$54/'Inputs'!$N$21,"")</f>
        <v/>
      </c>
      <c r="O16" s="24">
        <f>IFERROR('Inputs'!$O$54/'Inputs'!$O$21,"")</f>
        <v/>
      </c>
      <c r="P16" s="24">
        <f>IFERROR('Inputs'!$P$54/'Inputs'!$P$21,"")</f>
        <v/>
      </c>
      <c r="Q16" s="18">
        <f>IF(AND(ISNUMBER($K$16),ISNUMBER($J$16)),CHOOSE(2+($K$16&gt;$J$16)-($K$16&lt;$J$16),"▼","►","▲"),"")</f>
        <v/>
      </c>
      <c r="R16" s="18">
        <f>IF(AND(ISNUMBER($K$16),ISNUMBER(AVERAGE($B$16:$K$16))),CHOOSE(2+($K$16&gt;AVERAGE($B$16:$K$16)*(1+0.05))-($K$16&lt;AVERAGE($B$16:$K$16)*(1-0.05)),"Below avg","In-line","Above avg"),"")</f>
        <v/>
      </c>
    </row>
    <row r="17">
      <c r="A17" s="4" t="inlineStr">
        <is>
          <t>Forward P / E</t>
        </is>
      </c>
      <c r="B17" s="24">
        <f>IFERROR('Inputs'!$B$54/'Inputs'!$C$21,"")</f>
        <v/>
      </c>
      <c r="C17" s="24">
        <f>IFERROR('Inputs'!$C$54/'Inputs'!$D$21,"")</f>
        <v/>
      </c>
      <c r="D17" s="24">
        <f>IFERROR('Inputs'!$D$54/'Inputs'!$E$21,"")</f>
        <v/>
      </c>
      <c r="E17" s="24">
        <f>IFERROR('Inputs'!$E$54/'Inputs'!$F$21,"")</f>
        <v/>
      </c>
      <c r="F17" s="24">
        <f>IFERROR('Inputs'!$F$54/'Inputs'!$G$21,"")</f>
        <v/>
      </c>
      <c r="G17" s="24">
        <f>IFERROR('Inputs'!$G$54/'Inputs'!$H$21,"")</f>
        <v/>
      </c>
      <c r="H17" s="24">
        <f>IFERROR('Inputs'!$H$54/'Inputs'!$I$21,"")</f>
        <v/>
      </c>
      <c r="I17" s="24">
        <f>IFERROR('Inputs'!$I$54/'Inputs'!$J$21,"")</f>
        <v/>
      </c>
      <c r="J17" s="24">
        <f>IFERROR('Inputs'!$J$54/'Inputs'!$K$21,"")</f>
        <v/>
      </c>
      <c r="K17" s="24">
        <f>IFERROR('Inputs'!$K$54/'Inputs'!$L$21,"")</f>
        <v/>
      </c>
      <c r="L17" s="24">
        <f>IFERROR('Inputs'!$L$54/'Inputs'!$M$21,"")</f>
        <v/>
      </c>
      <c r="M17" s="24">
        <f>IFERROR('Inputs'!$M$54/'Inputs'!$N$21,"")</f>
        <v/>
      </c>
      <c r="N17" s="24">
        <f>IFERROR('Inputs'!$N$54/'Inputs'!$O$21,"")</f>
        <v/>
      </c>
      <c r="O17" s="24">
        <f>IFERROR('Inputs'!$O$54/'Inputs'!$P$21,"")</f>
        <v/>
      </c>
      <c r="P17" s="24">
        <f>""</f>
        <v/>
      </c>
      <c r="Q17" s="18">
        <f>IF(AND(ISNUMBER($K$17),ISNUMBER($J$17)),CHOOSE(2+($K$17&gt;$J$17)-($K$17&lt;$J$17),"▼","►","▲"),"")</f>
        <v/>
      </c>
      <c r="R17" s="18">
        <f>IF(AND(ISNUMBER($K$17),ISNUMBER(AVERAGE($B$17:$K$17))),CHOOSE(2+($K$17&gt;AVERAGE($B$17:$K$17)*(1+0.05))-($K$17&lt;AVERAGE($B$17:$K$17)*(1-0.05)),"Below avg","In-line","Above avg"),"")</f>
        <v/>
      </c>
    </row>
    <row r="18">
      <c r="A18" s="4" t="inlineStr">
        <is>
          <t>PEG (P/E ÷ earnings growth)</t>
        </is>
      </c>
      <c r="B18" s="24" t="n"/>
      <c r="C18" s="24">
        <f>IFERROR(('Inputs'!$C$54/'Inputs'!$C$21)/(('Inputs'!$C$21/'Inputs'!$B$21-1)*100),"")</f>
        <v/>
      </c>
      <c r="D18" s="24">
        <f>IFERROR(('Inputs'!$D$54/'Inputs'!$D$21)/(('Inputs'!$D$21/'Inputs'!$C$21-1)*100),"")</f>
        <v/>
      </c>
      <c r="E18" s="24">
        <f>IFERROR(('Inputs'!$E$54/'Inputs'!$E$21)/(('Inputs'!$E$21/'Inputs'!$D$21-1)*100),"")</f>
        <v/>
      </c>
      <c r="F18" s="24">
        <f>IFERROR(('Inputs'!$F$54/'Inputs'!$F$21)/(('Inputs'!$F$21/'Inputs'!$E$21-1)*100),"")</f>
        <v/>
      </c>
      <c r="G18" s="24">
        <f>IFERROR(('Inputs'!$G$54/'Inputs'!$G$21)/(('Inputs'!$G$21/'Inputs'!$F$21-1)*100),"")</f>
        <v/>
      </c>
      <c r="H18" s="24">
        <f>IFERROR(('Inputs'!$H$54/'Inputs'!$H$21)/(('Inputs'!$H$21/'Inputs'!$G$21-1)*100),"")</f>
        <v/>
      </c>
      <c r="I18" s="24">
        <f>IFERROR(('Inputs'!$I$54/'Inputs'!$I$21)/(('Inputs'!$I$21/'Inputs'!$H$21-1)*100),"")</f>
        <v/>
      </c>
      <c r="J18" s="24">
        <f>IFERROR(('Inputs'!$J$54/'Inputs'!$J$21)/(('Inputs'!$J$21/'Inputs'!$I$21-1)*100),"")</f>
        <v/>
      </c>
      <c r="K18" s="24">
        <f>IFERROR(('Inputs'!$K$54/'Inputs'!$K$21)/(('Inputs'!$K$21/'Inputs'!$J$21-1)*100),"")</f>
        <v/>
      </c>
      <c r="L18" s="24">
        <f>IFERROR(('Inputs'!$L$54/'Inputs'!$L$21)/(('Inputs'!$L$21/'Inputs'!$K$21-1)*100),"")</f>
        <v/>
      </c>
      <c r="M18" s="24">
        <f>IFERROR(('Inputs'!$M$54/'Inputs'!$M$21)/(('Inputs'!$M$21/'Inputs'!$L$21-1)*100),"")</f>
        <v/>
      </c>
      <c r="N18" s="24">
        <f>IFERROR(('Inputs'!$N$54/'Inputs'!$N$21)/(('Inputs'!$N$21/'Inputs'!$M$21-1)*100),"")</f>
        <v/>
      </c>
      <c r="O18" s="24">
        <f>IFERROR(('Inputs'!$O$54/'Inputs'!$O$21)/(('Inputs'!$O$21/'Inputs'!$N$21-1)*100),"")</f>
        <v/>
      </c>
      <c r="P18" s="24">
        <f>IFERROR(('Inputs'!$P$54/'Inputs'!$P$21)/(('Inputs'!$P$21/'Inputs'!$O$21-1)*100),"")</f>
        <v/>
      </c>
      <c r="Q18" s="18">
        <f>IF(AND(ISNUMBER($K$18),ISNUMBER($J$18)),CHOOSE(2+($K$18&gt;$J$18)-($K$18&lt;$J$18),"▼","►","▲"),"")</f>
        <v/>
      </c>
    </row>
    <row r="19">
      <c r="A19" s="4" t="inlineStr">
        <is>
          <t>Earnings yield</t>
        </is>
      </c>
      <c r="B19" s="23">
        <f>IFERROR('Inputs'!$B$21/'Inputs'!$B$54,"")</f>
        <v/>
      </c>
      <c r="C19" s="23">
        <f>IFERROR('Inputs'!$C$21/'Inputs'!$C$54,"")</f>
        <v/>
      </c>
      <c r="D19" s="23">
        <f>IFERROR('Inputs'!$D$21/'Inputs'!$D$54,"")</f>
        <v/>
      </c>
      <c r="E19" s="23">
        <f>IFERROR('Inputs'!$E$21/'Inputs'!$E$54,"")</f>
        <v/>
      </c>
      <c r="F19" s="23">
        <f>IFERROR('Inputs'!$F$21/'Inputs'!$F$54,"")</f>
        <v/>
      </c>
      <c r="G19" s="23">
        <f>IFERROR('Inputs'!$G$21/'Inputs'!$G$54,"")</f>
        <v/>
      </c>
      <c r="H19" s="23">
        <f>IFERROR('Inputs'!$H$21/'Inputs'!$H$54,"")</f>
        <v/>
      </c>
      <c r="I19" s="23">
        <f>IFERROR('Inputs'!$I$21/'Inputs'!$I$54,"")</f>
        <v/>
      </c>
      <c r="J19" s="23">
        <f>IFERROR('Inputs'!$J$21/'Inputs'!$J$54,"")</f>
        <v/>
      </c>
      <c r="K19" s="23">
        <f>IFERROR('Inputs'!$K$21/'Inputs'!$K$54,"")</f>
        <v/>
      </c>
      <c r="L19" s="23">
        <f>IFERROR('Inputs'!$L$21/'Inputs'!$L$54,"")</f>
        <v/>
      </c>
      <c r="M19" s="23">
        <f>IFERROR('Inputs'!$M$21/'Inputs'!$M$54,"")</f>
        <v/>
      </c>
      <c r="N19" s="23">
        <f>IFERROR('Inputs'!$N$21/'Inputs'!$N$54,"")</f>
        <v/>
      </c>
      <c r="O19" s="23">
        <f>IFERROR('Inputs'!$O$21/'Inputs'!$O$54,"")</f>
        <v/>
      </c>
      <c r="P19" s="23">
        <f>IFERROR('Inputs'!$P$21/'Inputs'!$P$54,"")</f>
        <v/>
      </c>
      <c r="Q19" s="18">
        <f>IF(AND(ISNUMBER($K$19),ISNUMBER($J$19)),CHOOSE(2+($K$19&gt;$J$19)-($K$19&lt;$J$19),"▼","►","▲"),"")</f>
        <v/>
      </c>
      <c r="R19" s="18">
        <f>IF(AND(ISNUMBER($K$19),ISNUMBER(AVERAGE($B$19:$K$19))),CHOOSE(2+($K$19&gt;AVERAGE($B$19:$K$19)*(1+0.05))-($K$19&lt;AVERAGE($B$19:$K$19)*(1-0.05)),"Low","Average","High"),"")</f>
        <v/>
      </c>
    </row>
    <row r="21" ht="20" customHeight="1">
      <c r="A21" s="3" t="inlineStr">
        <is>
          <t>Enterprise-Value Multiples</t>
        </is>
      </c>
    </row>
    <row r="22">
      <c r="A22" s="4" t="inlineStr">
        <is>
          <t>EV / Revenue</t>
        </is>
      </c>
      <c r="B22" s="24">
        <f>IFERROR('Inputs'!$B$73/'Inputs'!$B$10,"")</f>
        <v/>
      </c>
      <c r="C22" s="24">
        <f>IFERROR('Inputs'!$C$73/'Inputs'!$C$10,"")</f>
        <v/>
      </c>
      <c r="D22" s="24">
        <f>IFERROR('Inputs'!$D$73/'Inputs'!$D$10,"")</f>
        <v/>
      </c>
      <c r="E22" s="24">
        <f>IFERROR('Inputs'!$E$73/'Inputs'!$E$10,"")</f>
        <v/>
      </c>
      <c r="F22" s="24">
        <f>IFERROR('Inputs'!$F$73/'Inputs'!$F$10,"")</f>
        <v/>
      </c>
      <c r="G22" s="24">
        <f>IFERROR('Inputs'!$G$73/'Inputs'!$G$10,"")</f>
        <v/>
      </c>
      <c r="H22" s="24">
        <f>IFERROR('Inputs'!$H$73/'Inputs'!$H$10,"")</f>
        <v/>
      </c>
      <c r="I22" s="24">
        <f>IFERROR('Inputs'!$I$73/'Inputs'!$I$10,"")</f>
        <v/>
      </c>
      <c r="J22" s="24">
        <f>IFERROR('Inputs'!$J$73/'Inputs'!$J$10,"")</f>
        <v/>
      </c>
      <c r="K22" s="24">
        <f>IFERROR('Inputs'!$K$73/'Inputs'!$K$10,"")</f>
        <v/>
      </c>
      <c r="L22" s="24">
        <f>IFERROR('Inputs'!$L$73/'Inputs'!$L$10,"")</f>
        <v/>
      </c>
      <c r="M22" s="24">
        <f>IFERROR('Inputs'!$M$73/'Inputs'!$M$10,"")</f>
        <v/>
      </c>
      <c r="N22" s="24">
        <f>IFERROR('Inputs'!$N$73/'Inputs'!$N$10,"")</f>
        <v/>
      </c>
      <c r="O22" s="24">
        <f>IFERROR('Inputs'!$O$73/'Inputs'!$O$10,"")</f>
        <v/>
      </c>
      <c r="P22" s="24">
        <f>IFERROR('Inputs'!$P$73/'Inputs'!$P$10,"")</f>
        <v/>
      </c>
      <c r="Q22" s="18">
        <f>IF(AND(ISNUMBER($K$22),ISNUMBER($J$22)),CHOOSE(2+($K$22&gt;$J$22)-($K$22&lt;$J$22),"▼","►","▲"),"")</f>
        <v/>
      </c>
      <c r="R22" s="18">
        <f>IF(AND(ISNUMBER($K$22),ISNUMBER(AVERAGE($B$22:$K$22))),CHOOSE(2+($K$22&gt;AVERAGE($B$22:$K$22)*(1+0.05))-($K$22&lt;AVERAGE($B$22:$K$22)*(1-0.05)),"Below avg","In-line","Above avg"),"")</f>
        <v/>
      </c>
    </row>
    <row r="23">
      <c r="A23" s="4" t="inlineStr">
        <is>
          <t>EV / EBITDA</t>
        </is>
      </c>
      <c r="B23" s="24">
        <f>IFERROR('Inputs'!$B$73/'Inputs'!$B$14,"")</f>
        <v/>
      </c>
      <c r="C23" s="24">
        <f>IFERROR('Inputs'!$C$73/'Inputs'!$C$14,"")</f>
        <v/>
      </c>
      <c r="D23" s="24">
        <f>IFERROR('Inputs'!$D$73/'Inputs'!$D$14,"")</f>
        <v/>
      </c>
      <c r="E23" s="24">
        <f>IFERROR('Inputs'!$E$73/'Inputs'!$E$14,"")</f>
        <v/>
      </c>
      <c r="F23" s="24">
        <f>IFERROR('Inputs'!$F$73/'Inputs'!$F$14,"")</f>
        <v/>
      </c>
      <c r="G23" s="24">
        <f>IFERROR('Inputs'!$G$73/'Inputs'!$G$14,"")</f>
        <v/>
      </c>
      <c r="H23" s="24">
        <f>IFERROR('Inputs'!$H$73/'Inputs'!$H$14,"")</f>
        <v/>
      </c>
      <c r="I23" s="24">
        <f>IFERROR('Inputs'!$I$73/'Inputs'!$I$14,"")</f>
        <v/>
      </c>
      <c r="J23" s="24">
        <f>IFERROR('Inputs'!$J$73/'Inputs'!$J$14,"")</f>
        <v/>
      </c>
      <c r="K23" s="24">
        <f>IFERROR('Inputs'!$K$73/'Inputs'!$K$14,"")</f>
        <v/>
      </c>
      <c r="L23" s="24">
        <f>IFERROR('Inputs'!$L$73/'Inputs'!$L$14,"")</f>
        <v/>
      </c>
      <c r="M23" s="24">
        <f>IFERROR('Inputs'!$M$73/'Inputs'!$M$14,"")</f>
        <v/>
      </c>
      <c r="N23" s="24">
        <f>IFERROR('Inputs'!$N$73/'Inputs'!$N$14,"")</f>
        <v/>
      </c>
      <c r="O23" s="24">
        <f>IFERROR('Inputs'!$O$73/'Inputs'!$O$14,"")</f>
        <v/>
      </c>
      <c r="P23" s="24">
        <f>IFERROR('Inputs'!$P$73/'Inputs'!$P$14,"")</f>
        <v/>
      </c>
      <c r="Q23" s="18">
        <f>IF(AND(ISNUMBER($K$23),ISNUMBER($J$23)),CHOOSE(2+($K$23&gt;$J$23)-($K$23&lt;$J$23),"▼","►","▲"),"")</f>
        <v/>
      </c>
      <c r="R23" s="18">
        <f>IF(AND(ISNUMBER($K$23),ISNUMBER(AVERAGE($B$23:$K$23))),CHOOSE(2+($K$23&gt;AVERAGE($B$23:$K$23)*(1+0.05))-($K$23&lt;AVERAGE($B$23:$K$23)*(1-0.05)),"Below avg","In-line","Above avg"),"")</f>
        <v/>
      </c>
    </row>
    <row r="24">
      <c r="A24" s="4" t="inlineStr">
        <is>
          <t>EV / EBIT</t>
        </is>
      </c>
      <c r="B24" s="24">
        <f>IFERROR('Inputs'!$B$73/'Inputs'!$B$16,"")</f>
        <v/>
      </c>
      <c r="C24" s="24">
        <f>IFERROR('Inputs'!$C$73/'Inputs'!$C$16,"")</f>
        <v/>
      </c>
      <c r="D24" s="24">
        <f>IFERROR('Inputs'!$D$73/'Inputs'!$D$16,"")</f>
        <v/>
      </c>
      <c r="E24" s="24">
        <f>IFERROR('Inputs'!$E$73/'Inputs'!$E$16,"")</f>
        <v/>
      </c>
      <c r="F24" s="24">
        <f>IFERROR('Inputs'!$F$73/'Inputs'!$F$16,"")</f>
        <v/>
      </c>
      <c r="G24" s="24">
        <f>IFERROR('Inputs'!$G$73/'Inputs'!$G$16,"")</f>
        <v/>
      </c>
      <c r="H24" s="24">
        <f>IFERROR('Inputs'!$H$73/'Inputs'!$H$16,"")</f>
        <v/>
      </c>
      <c r="I24" s="24">
        <f>IFERROR('Inputs'!$I$73/'Inputs'!$I$16,"")</f>
        <v/>
      </c>
      <c r="J24" s="24">
        <f>IFERROR('Inputs'!$J$73/'Inputs'!$J$16,"")</f>
        <v/>
      </c>
      <c r="K24" s="24">
        <f>IFERROR('Inputs'!$K$73/'Inputs'!$K$16,"")</f>
        <v/>
      </c>
      <c r="L24" s="24">
        <f>IFERROR('Inputs'!$L$73/'Inputs'!$L$16,"")</f>
        <v/>
      </c>
      <c r="M24" s="24">
        <f>IFERROR('Inputs'!$M$73/'Inputs'!$M$16,"")</f>
        <v/>
      </c>
      <c r="N24" s="24">
        <f>IFERROR('Inputs'!$N$73/'Inputs'!$N$16,"")</f>
        <v/>
      </c>
      <c r="O24" s="24">
        <f>IFERROR('Inputs'!$O$73/'Inputs'!$O$16,"")</f>
        <v/>
      </c>
      <c r="P24" s="24">
        <f>IFERROR('Inputs'!$P$73/'Inputs'!$P$16,"")</f>
        <v/>
      </c>
      <c r="Q24" s="18">
        <f>IF(AND(ISNUMBER($K$24),ISNUMBER($J$24)),CHOOSE(2+($K$24&gt;$J$24)-($K$24&lt;$J$24),"▼","►","▲"),"")</f>
        <v/>
      </c>
      <c r="R24" s="18">
        <f>IF(AND(ISNUMBER($K$24),ISNUMBER(AVERAGE($B$24:$K$24))),CHOOSE(2+($K$24&gt;AVERAGE($B$24:$K$24)*(1+0.05))-($K$24&lt;AVERAGE($B$24:$K$24)*(1-0.05)),"Below avg","In-line","Above avg"),"")</f>
        <v/>
      </c>
    </row>
    <row r="25">
      <c r="A25" s="4" t="inlineStr">
        <is>
          <t>EV / FCF</t>
        </is>
      </c>
      <c r="B25" s="24">
        <f>IFERROR('Inputs'!$B$73/'Inputs'!$B$48,"")</f>
        <v/>
      </c>
      <c r="C25" s="24">
        <f>IFERROR('Inputs'!$C$73/'Inputs'!$C$48,"")</f>
        <v/>
      </c>
      <c r="D25" s="24">
        <f>IFERROR('Inputs'!$D$73/'Inputs'!$D$48,"")</f>
        <v/>
      </c>
      <c r="E25" s="24">
        <f>IFERROR('Inputs'!$E$73/'Inputs'!$E$48,"")</f>
        <v/>
      </c>
      <c r="F25" s="24">
        <f>IFERROR('Inputs'!$F$73/'Inputs'!$F$48,"")</f>
        <v/>
      </c>
      <c r="G25" s="24">
        <f>IFERROR('Inputs'!$G$73/'Inputs'!$G$48,"")</f>
        <v/>
      </c>
      <c r="H25" s="24">
        <f>IFERROR('Inputs'!$H$73/'Inputs'!$H$48,"")</f>
        <v/>
      </c>
      <c r="I25" s="24">
        <f>IFERROR('Inputs'!$I$73/'Inputs'!$I$48,"")</f>
        <v/>
      </c>
      <c r="J25" s="24">
        <f>IFERROR('Inputs'!$J$73/'Inputs'!$J$48,"")</f>
        <v/>
      </c>
      <c r="K25" s="24">
        <f>IFERROR('Inputs'!$K$73/'Inputs'!$K$48,"")</f>
        <v/>
      </c>
      <c r="L25" s="24">
        <f>IFERROR('Inputs'!$L$73/'Inputs'!$L$48,"")</f>
        <v/>
      </c>
      <c r="M25" s="24">
        <f>IFERROR('Inputs'!$M$73/'Inputs'!$M$48,"")</f>
        <v/>
      </c>
      <c r="N25" s="24">
        <f>IFERROR('Inputs'!$N$73/'Inputs'!$N$48,"")</f>
        <v/>
      </c>
      <c r="O25" s="24">
        <f>IFERROR('Inputs'!$O$73/'Inputs'!$O$48,"")</f>
        <v/>
      </c>
      <c r="P25" s="24">
        <f>IFERROR('Inputs'!$P$73/'Inputs'!$P$48,"")</f>
        <v/>
      </c>
      <c r="Q25" s="18">
        <f>IF(AND(ISNUMBER($K$25),ISNUMBER($J$25)),CHOOSE(2+($K$25&gt;$J$25)-($K$25&lt;$J$25),"▼","►","▲"),"")</f>
        <v/>
      </c>
      <c r="R25" s="18">
        <f>IF(AND(ISNUMBER($K$25),ISNUMBER(AVERAGE($B$25:$K$25))),CHOOSE(2+($K$25&gt;AVERAGE($B$25:$K$25)*(1+0.05))-($K$25&lt;AVERAGE($B$25:$K$25)*(1-0.05)),"Below avg","In-line","Above avg"),"")</f>
        <v/>
      </c>
    </row>
    <row r="27" ht="20" customHeight="1">
      <c r="A27" s="3" t="inlineStr">
        <is>
          <t>Book &amp; Cash-Flow Multiples / Yields</t>
        </is>
      </c>
    </row>
    <row r="28">
      <c r="A28" s="4" t="inlineStr">
        <is>
          <t>P / B</t>
        </is>
      </c>
      <c r="B28" s="24">
        <f>IFERROR('Inputs'!$B$54/'Inputs'!$B$42,"")</f>
        <v/>
      </c>
      <c r="C28" s="24">
        <f>IFERROR('Inputs'!$C$54/'Inputs'!$C$42,"")</f>
        <v/>
      </c>
      <c r="D28" s="24">
        <f>IFERROR('Inputs'!$D$54/'Inputs'!$D$42,"")</f>
        <v/>
      </c>
      <c r="E28" s="24">
        <f>IFERROR('Inputs'!$E$54/'Inputs'!$E$42,"")</f>
        <v/>
      </c>
      <c r="F28" s="24">
        <f>IFERROR('Inputs'!$F$54/'Inputs'!$F$42,"")</f>
        <v/>
      </c>
      <c r="G28" s="24">
        <f>IFERROR('Inputs'!$G$54/'Inputs'!$G$42,"")</f>
        <v/>
      </c>
      <c r="H28" s="24">
        <f>IFERROR('Inputs'!$H$54/'Inputs'!$H$42,"")</f>
        <v/>
      </c>
      <c r="I28" s="24">
        <f>IFERROR('Inputs'!$I$54/'Inputs'!$I$42,"")</f>
        <v/>
      </c>
      <c r="J28" s="24">
        <f>IFERROR('Inputs'!$J$54/'Inputs'!$J$42,"")</f>
        <v/>
      </c>
      <c r="K28" s="24">
        <f>IFERROR('Inputs'!$K$54/'Inputs'!$K$42,"")</f>
        <v/>
      </c>
      <c r="L28" s="24">
        <f>IFERROR('Inputs'!$L$54/'Inputs'!$L$42,"")</f>
        <v/>
      </c>
      <c r="M28" s="24">
        <f>IFERROR('Inputs'!$M$54/'Inputs'!$M$42,"")</f>
        <v/>
      </c>
      <c r="N28" s="24">
        <f>IFERROR('Inputs'!$N$54/'Inputs'!$N$42,"")</f>
        <v/>
      </c>
      <c r="O28" s="24">
        <f>IFERROR('Inputs'!$O$54/'Inputs'!$O$42,"")</f>
        <v/>
      </c>
      <c r="P28" s="24">
        <f>IFERROR('Inputs'!$P$54/'Inputs'!$P$42,"")</f>
        <v/>
      </c>
      <c r="Q28" s="18">
        <f>IF(AND(ISNUMBER($K$28),ISNUMBER($J$28)),CHOOSE(2+($K$28&gt;$J$28)-($K$28&lt;$J$28),"▼","►","▲"),"")</f>
        <v/>
      </c>
      <c r="R28" s="18">
        <f>IF(AND(ISNUMBER($K$28),ISNUMBER(AVERAGE($B$28:$K$28))),CHOOSE(2+($K$28&gt;AVERAGE($B$28:$K$28)*(1+0.05))-($K$28&lt;AVERAGE($B$28:$K$28)*(1-0.05)),"Below avg","In-line","Above avg"),"")</f>
        <v/>
      </c>
    </row>
    <row r="29">
      <c r="A29" s="4" t="inlineStr">
        <is>
          <t>P / Tangible book</t>
        </is>
      </c>
      <c r="B29" s="24">
        <f>IFERROR('Inputs'!$B$54/'Inputs'!$B$72,"")</f>
        <v/>
      </c>
      <c r="C29" s="24">
        <f>IFERROR('Inputs'!$C$54/'Inputs'!$C$72,"")</f>
        <v/>
      </c>
      <c r="D29" s="24">
        <f>IFERROR('Inputs'!$D$54/'Inputs'!$D$72,"")</f>
        <v/>
      </c>
      <c r="E29" s="24">
        <f>IFERROR('Inputs'!$E$54/'Inputs'!$E$72,"")</f>
        <v/>
      </c>
      <c r="F29" s="24">
        <f>IFERROR('Inputs'!$F$54/'Inputs'!$F$72,"")</f>
        <v/>
      </c>
      <c r="G29" s="24">
        <f>IFERROR('Inputs'!$G$54/'Inputs'!$G$72,"")</f>
        <v/>
      </c>
      <c r="H29" s="24">
        <f>IFERROR('Inputs'!$H$54/'Inputs'!$H$72,"")</f>
        <v/>
      </c>
      <c r="I29" s="24">
        <f>IFERROR('Inputs'!$I$54/'Inputs'!$I$72,"")</f>
        <v/>
      </c>
      <c r="J29" s="24">
        <f>IFERROR('Inputs'!$J$54/'Inputs'!$J$72,"")</f>
        <v/>
      </c>
      <c r="K29" s="24">
        <f>IFERROR('Inputs'!$K$54/'Inputs'!$K$72,"")</f>
        <v/>
      </c>
      <c r="L29" s="24">
        <f>IFERROR('Inputs'!$L$54/'Inputs'!$L$72,"")</f>
        <v/>
      </c>
      <c r="M29" s="24">
        <f>IFERROR('Inputs'!$M$54/'Inputs'!$M$72,"")</f>
        <v/>
      </c>
      <c r="N29" s="24">
        <f>IFERROR('Inputs'!$N$54/'Inputs'!$N$72,"")</f>
        <v/>
      </c>
      <c r="O29" s="24">
        <f>IFERROR('Inputs'!$O$54/'Inputs'!$O$72,"")</f>
        <v/>
      </c>
      <c r="P29" s="24">
        <f>IFERROR('Inputs'!$P$54/'Inputs'!$P$72,"")</f>
        <v/>
      </c>
      <c r="Q29" s="18">
        <f>IF(AND(ISNUMBER($K$29),ISNUMBER($J$29)),CHOOSE(2+($K$29&gt;$J$29)-($K$29&lt;$J$29),"▼","►","▲"),"")</f>
        <v/>
      </c>
      <c r="R29" s="18">
        <f>IF(AND(ISNUMBER($K$29),ISNUMBER(AVERAGE($B$29:$K$29))),CHOOSE(2+($K$29&gt;AVERAGE($B$29:$K$29)*(1+0.05))-($K$29&lt;AVERAGE($B$29:$K$29)*(1-0.05)),"Below avg","In-line","Above avg"),"")</f>
        <v/>
      </c>
    </row>
    <row r="30">
      <c r="A30" s="4" t="inlineStr">
        <is>
          <t>P / FCF</t>
        </is>
      </c>
      <c r="B30" s="24">
        <f>IFERROR('Inputs'!$B$54/'Inputs'!$B$48,"")</f>
        <v/>
      </c>
      <c r="C30" s="24">
        <f>IFERROR('Inputs'!$C$54/'Inputs'!$C$48,"")</f>
        <v/>
      </c>
      <c r="D30" s="24">
        <f>IFERROR('Inputs'!$D$54/'Inputs'!$D$48,"")</f>
        <v/>
      </c>
      <c r="E30" s="24">
        <f>IFERROR('Inputs'!$E$54/'Inputs'!$E$48,"")</f>
        <v/>
      </c>
      <c r="F30" s="24">
        <f>IFERROR('Inputs'!$F$54/'Inputs'!$F$48,"")</f>
        <v/>
      </c>
      <c r="G30" s="24">
        <f>IFERROR('Inputs'!$G$54/'Inputs'!$G$48,"")</f>
        <v/>
      </c>
      <c r="H30" s="24">
        <f>IFERROR('Inputs'!$H$54/'Inputs'!$H$48,"")</f>
        <v/>
      </c>
      <c r="I30" s="24">
        <f>IFERROR('Inputs'!$I$54/'Inputs'!$I$48,"")</f>
        <v/>
      </c>
      <c r="J30" s="24">
        <f>IFERROR('Inputs'!$J$54/'Inputs'!$J$48,"")</f>
        <v/>
      </c>
      <c r="K30" s="24">
        <f>IFERROR('Inputs'!$K$54/'Inputs'!$K$48,"")</f>
        <v/>
      </c>
      <c r="L30" s="24">
        <f>IFERROR('Inputs'!$L$54/'Inputs'!$L$48,"")</f>
        <v/>
      </c>
      <c r="M30" s="24">
        <f>IFERROR('Inputs'!$M$54/'Inputs'!$M$48,"")</f>
        <v/>
      </c>
      <c r="N30" s="24">
        <f>IFERROR('Inputs'!$N$54/'Inputs'!$N$48,"")</f>
        <v/>
      </c>
      <c r="O30" s="24">
        <f>IFERROR('Inputs'!$O$54/'Inputs'!$O$48,"")</f>
        <v/>
      </c>
      <c r="P30" s="24">
        <f>IFERROR('Inputs'!$P$54/'Inputs'!$P$48,"")</f>
        <v/>
      </c>
      <c r="Q30" s="18">
        <f>IF(AND(ISNUMBER($K$30),ISNUMBER($J$30)),CHOOSE(2+($K$30&gt;$J$30)-($K$30&lt;$J$30),"▼","►","▲"),"")</f>
        <v/>
      </c>
      <c r="R30" s="18">
        <f>IF(AND(ISNUMBER($K$30),ISNUMBER(AVERAGE($B$30:$K$30))),CHOOSE(2+($K$30&gt;AVERAGE($B$30:$K$30)*(1+0.05))-($K$30&lt;AVERAGE($B$30:$K$30)*(1-0.05)),"Below avg","In-line","Above avg"),"")</f>
        <v/>
      </c>
    </row>
    <row r="31">
      <c r="A31" s="4" t="inlineStr">
        <is>
          <t>FCF yield</t>
        </is>
      </c>
      <c r="B31" s="23">
        <f>IFERROR('Inputs'!$B$48/'Inputs'!$B$54,"")</f>
        <v/>
      </c>
      <c r="C31" s="23">
        <f>IFERROR('Inputs'!$C$48/'Inputs'!$C$54,"")</f>
        <v/>
      </c>
      <c r="D31" s="23">
        <f>IFERROR('Inputs'!$D$48/'Inputs'!$D$54,"")</f>
        <v/>
      </c>
      <c r="E31" s="23">
        <f>IFERROR('Inputs'!$E$48/'Inputs'!$E$54,"")</f>
        <v/>
      </c>
      <c r="F31" s="23">
        <f>IFERROR('Inputs'!$F$48/'Inputs'!$F$54,"")</f>
        <v/>
      </c>
      <c r="G31" s="23">
        <f>IFERROR('Inputs'!$G$48/'Inputs'!$G$54,"")</f>
        <v/>
      </c>
      <c r="H31" s="23">
        <f>IFERROR('Inputs'!$H$48/'Inputs'!$H$54,"")</f>
        <v/>
      </c>
      <c r="I31" s="23">
        <f>IFERROR('Inputs'!$I$48/'Inputs'!$I$54,"")</f>
        <v/>
      </c>
      <c r="J31" s="23">
        <f>IFERROR('Inputs'!$J$48/'Inputs'!$J$54,"")</f>
        <v/>
      </c>
      <c r="K31" s="23">
        <f>IFERROR('Inputs'!$K$48/'Inputs'!$K$54,"")</f>
        <v/>
      </c>
      <c r="L31" s="23">
        <f>IFERROR('Inputs'!$L$48/'Inputs'!$L$54,"")</f>
        <v/>
      </c>
      <c r="M31" s="23">
        <f>IFERROR('Inputs'!$M$48/'Inputs'!$M$54,"")</f>
        <v/>
      </c>
      <c r="N31" s="23">
        <f>IFERROR('Inputs'!$N$48/'Inputs'!$N$54,"")</f>
        <v/>
      </c>
      <c r="O31" s="23">
        <f>IFERROR('Inputs'!$O$48/'Inputs'!$O$54,"")</f>
        <v/>
      </c>
      <c r="P31" s="23">
        <f>IFERROR('Inputs'!$P$48/'Inputs'!$P$54,"")</f>
        <v/>
      </c>
      <c r="Q31" s="18">
        <f>IF(AND(ISNUMBER($K$31),ISNUMBER($J$31)),CHOOSE(2+($K$31&gt;$J$31)-($K$31&lt;$J$31),"▼","►","▲"),"")</f>
        <v/>
      </c>
      <c r="R31" s="18">
        <f>IF(AND(ISNUMBER($K$31),ISNUMBER(AVERAGE($B$31:$K$31))),CHOOSE(2+($K$31&gt;AVERAGE($B$31:$K$31)*(1+0.05))-($K$31&lt;AVERAGE($B$31:$K$31)*(1-0.05)),"Low","Average","High"),"")</f>
        <v/>
      </c>
    </row>
    <row r="32">
      <c r="A32" s="4" t="inlineStr">
        <is>
          <t>Dividend yield</t>
        </is>
      </c>
      <c r="B32" s="23">
        <f>IFERROR('Inputs'!$B$56/'Inputs'!$B$52,"")</f>
        <v/>
      </c>
      <c r="C32" s="23">
        <f>IFERROR('Inputs'!$C$56/'Inputs'!$C$52,"")</f>
        <v/>
      </c>
      <c r="D32" s="23">
        <f>IFERROR('Inputs'!$D$56/'Inputs'!$D$52,"")</f>
        <v/>
      </c>
      <c r="E32" s="23">
        <f>IFERROR('Inputs'!$E$56/'Inputs'!$E$52,"")</f>
        <v/>
      </c>
      <c r="F32" s="23">
        <f>IFERROR('Inputs'!$F$56/'Inputs'!$F$52,"")</f>
        <v/>
      </c>
      <c r="G32" s="23">
        <f>IFERROR('Inputs'!$G$56/'Inputs'!$G$52,"")</f>
        <v/>
      </c>
      <c r="H32" s="23">
        <f>IFERROR('Inputs'!$H$56/'Inputs'!$H$52,"")</f>
        <v/>
      </c>
      <c r="I32" s="23">
        <f>IFERROR('Inputs'!$I$56/'Inputs'!$I$52,"")</f>
        <v/>
      </c>
      <c r="J32" s="23">
        <f>IFERROR('Inputs'!$J$56/'Inputs'!$J$52,"")</f>
        <v/>
      </c>
      <c r="K32" s="23">
        <f>IFERROR('Inputs'!$K$56/'Inputs'!$K$52,"")</f>
        <v/>
      </c>
      <c r="L32" s="23">
        <f>IFERROR('Inputs'!$L$56/'Inputs'!$L$52,"")</f>
        <v/>
      </c>
      <c r="M32" s="23">
        <f>IFERROR('Inputs'!$M$56/'Inputs'!$M$52,"")</f>
        <v/>
      </c>
      <c r="N32" s="23">
        <f>IFERROR('Inputs'!$N$56/'Inputs'!$N$52,"")</f>
        <v/>
      </c>
      <c r="O32" s="23">
        <f>IFERROR('Inputs'!$O$56/'Inputs'!$O$52,"")</f>
        <v/>
      </c>
      <c r="P32" s="23">
        <f>IFERROR('Inputs'!$P$56/'Inputs'!$P$52,"")</f>
        <v/>
      </c>
      <c r="Q32" s="18">
        <f>IF(AND(ISNUMBER($K$32),ISNUMBER($J$32)),CHOOSE(2+($K$32&gt;$J$32)-($K$32&lt;$J$32),"▼","►","▲"),"")</f>
        <v/>
      </c>
      <c r="R32" s="18">
        <f>IF(AND(ISNUMBER($K$32),ISNUMBER(AVERAGE($B$32:$K$32))),CHOOSE(2+($K$32&gt;AVERAGE($B$32:$K$32)*(1+0.05))-($K$32&lt;AVERAGE($B$32:$K$32)*(1-0.05)),"Low","Average","High"),"")</f>
        <v/>
      </c>
    </row>
    <row r="34" ht="20" customHeight="1">
      <c r="A34" s="3" t="inlineStr">
        <is>
          <t>Automated Observations</t>
        </is>
      </c>
    </row>
    <row r="35" ht="20" customHeight="1">
      <c r="A35" s="29">
        <f>IFERROR("» Shares trade on "&amp;TEXT('Valuation'!$K$23,"0.0")&amp;"x EV/EBITDA and "&amp;TEXT('Valuation'!$K$16,"0.0")&amp;"x P/E — "&amp;'Valuation'!$R$23&amp;" versus the company's own history.","(insufficient data — populate inputs)")</f>
        <v/>
      </c>
    </row>
    <row r="36" ht="20" customHeight="1">
      <c r="A36" s="29">
        <f>IFERROR("» FCF yield is "&amp;TEXT('Valuation'!$K$31,"0.0%")&amp;" and earnings yield "&amp;TEXT('Valuation'!$K$19,"0.0%")&amp;", the inverse of the P/E.","(insufficient data — populate inputs)")</f>
        <v/>
      </c>
    </row>
  </sheetData>
  <mergeCells count="11">
    <mergeCell ref="A3:R3"/>
    <mergeCell ref="A21:R21"/>
    <mergeCell ref="A15:R15"/>
    <mergeCell ref="A7:R7"/>
    <mergeCell ref="A2:R2"/>
    <mergeCell ref="A36:R36"/>
    <mergeCell ref="A1:R1"/>
    <mergeCell ref="A9:R9"/>
    <mergeCell ref="A27:R27"/>
    <mergeCell ref="A34:R34"/>
    <mergeCell ref="A35:R35"/>
  </mergeCells>
  <conditionalFormatting sqref="B16:P16">
    <cfRule type="colorScale" priority="1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7:P17">
    <cfRule type="colorScale" priority="2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8:P18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9:P19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22:P22">
    <cfRule type="colorScale" priority="5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3:P23">
    <cfRule type="colorScale" priority="6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4:P24">
    <cfRule type="colorScale" priority="7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5:P25">
    <cfRule type="colorScale" priority="8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8:P28">
    <cfRule type="colorScale" priority="9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29:P29">
    <cfRule type="colorScale" priority="10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30:P30">
    <cfRule type="colorScale" priority="11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31:P31">
    <cfRule type="colorScale" priority="1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2:P32">
    <cfRule type="colorScale" priority="1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6:R32">
    <cfRule type="expression" priority="14" dxfId="0" stopIfTrue="1">
      <formula>OR(ISNUMBER(SEARCH("Strong",R16)),ISNUMBER(SEARCH("Improving",R16)),ISNUMBER(SEARCH("Low Risk",R16)),ISNUMBER(SEARCH("Excellent",R16)),ISNUMBER(SEARCH("Healthy",R16)),ISNUMBER(SEARCH("Safe",R16)),ISNUMBER(SEARCH("Undervalued",R16)),ISNUMBER(SEARCH("Value-creating",R16)),ISNUMBER(SEARCH("Expanding",R16)),ISNUMBER(SEARCH("Accelerating",R16)),ISNUMBER(SEARCH("High",R16)),ISNUMBER(SEARCH("Best-in-Class",R16)),ISNUMBER(SEARCH("Above",R16)),ISNUMBER(SEARCH("Robust",R16)),ISNUMBER(SEARCH("PASS",R16)),ISNUMBER(SEARCH("OK",R16)),ISNUMBER(SEARCH("Conservative",R16)),ISNUMBER(SEARCH("Reducing",R16)),ISNUMBER(SEARCH("Accretive",R16)),ISNUMBER(SEARCH("Cheap",R16)),ISNUMBER(SEARCH("Rising",R16)),ISNUMBER(SEARCH("Disciplined",R16)))</formula>
    </cfRule>
    <cfRule type="expression" priority="15" dxfId="1" stopIfTrue="1">
      <formula>OR(ISNUMBER(SEARCH("Moderate",R16)),ISNUMBER(SEARCH("Stable",R16)),ISNUMBER(SEARCH("Average",R16)),ISNUMBER(SEARCH("Adequate",R16)),ISNUMBER(SEARCH("Watch",R16)),ISNUMBER(SEARCH("Grey",R16)),ISNUMBER(SEARCH("Fair",R16)),ISNUMBER(SEARCH("Neutral",R16)),ISNUMBER(SEARCH("In-line",R16)),ISNUMBER(SEARCH("Flat",R16)),ISNUMBER(SEARCH("REVIEW",R16)),ISNUMBER(SEARCH("Caution",R16)),ISNUMBER(SEARCH("Decelerating",R16)))</formula>
    </cfRule>
    <cfRule type="expression" priority="16" dxfId="2" stopIfTrue="1">
      <formula>OR(ISNUMBER(SEARCH("Weak",R16)),ISNUMBER(SEARCH("Deteriorating",R16)),ISNUMBER(SEARCH("High Risk",R16)),ISNUMBER(SEARCH("Poor",R16)),ISNUMBER(SEARCH("Distress",R16)),ISNUMBER(SEARCH("Overvalued",R16)),ISNUMBER(SEARCH("Value-destroying",R16)),ISNUMBER(SEARCH("Compressing",R16)),ISNUMBER(SEARCH("Low",R16)),ISNUMBER(SEARCH("Worst",R16)),ISNUMBER(SEARCH("Below",R16)),ISNUMBER(SEARCH("FAIL",R16)),ISNUMBER(SEARCH("Elevated",R16)),ISNUMBER(SEARCH("Stretched",R16)),ISNUMBER(SEARCH("Manipulation",R16)),ISNUMBER(SEARCH("Negative",R16)),ISNUMBER(SEARCH("Diluting",R16)),ISNUMBER(SEARCH("Dilutive",R16)),ISNUMBER(SEARCH("Expensive",R16)),ISNUMBER(SEARCH("Falling",R16)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1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3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CAPITAL ALLOCATION ANALYSIS</t>
        </is>
      </c>
    </row>
    <row r="2">
      <c r="A2" s="2" t="inlineStr">
        <is>
          <t>Distributions, buybacks, reinvestment and discipline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Capital-allocation metric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Distributions</t>
        </is>
      </c>
    </row>
    <row r="10">
      <c r="A10" s="4" t="inlineStr">
        <is>
          <t>Dividend payout ratio</t>
        </is>
      </c>
      <c r="B10" s="23">
        <f>IFERROR('Inputs'!$B$49/'Inputs'!$B$21,"")</f>
        <v/>
      </c>
      <c r="C10" s="23">
        <f>IFERROR('Inputs'!$C$49/'Inputs'!$C$21,"")</f>
        <v/>
      </c>
      <c r="D10" s="23">
        <f>IFERROR('Inputs'!$D$49/'Inputs'!$D$21,"")</f>
        <v/>
      </c>
      <c r="E10" s="23">
        <f>IFERROR('Inputs'!$E$49/'Inputs'!$E$21,"")</f>
        <v/>
      </c>
      <c r="F10" s="23">
        <f>IFERROR('Inputs'!$F$49/'Inputs'!$F$21,"")</f>
        <v/>
      </c>
      <c r="G10" s="23">
        <f>IFERROR('Inputs'!$G$49/'Inputs'!$G$21,"")</f>
        <v/>
      </c>
      <c r="H10" s="23">
        <f>IFERROR('Inputs'!$H$49/'Inputs'!$H$21,"")</f>
        <v/>
      </c>
      <c r="I10" s="23">
        <f>IFERROR('Inputs'!$I$49/'Inputs'!$I$21,"")</f>
        <v/>
      </c>
      <c r="J10" s="23">
        <f>IFERROR('Inputs'!$J$49/'Inputs'!$J$21,"")</f>
        <v/>
      </c>
      <c r="K10" s="23">
        <f>IFERROR('Inputs'!$K$49/'Inputs'!$K$21,"")</f>
        <v/>
      </c>
      <c r="L10" s="23">
        <f>IFERROR('Inputs'!$L$49/'Inputs'!$L$21,"")</f>
        <v/>
      </c>
      <c r="M10" s="23">
        <f>IFERROR('Inputs'!$M$49/'Inputs'!$M$21,"")</f>
        <v/>
      </c>
      <c r="N10" s="23">
        <f>IFERROR('Inputs'!$N$49/'Inputs'!$N$21,"")</f>
        <v/>
      </c>
      <c r="O10" s="23">
        <f>IFERROR('Inputs'!$O$49/'Inputs'!$O$21,"")</f>
        <v/>
      </c>
      <c r="P10" s="23">
        <f>IFERROR('Inputs'!$P$49/'Inputs'!$P$21,"")</f>
        <v/>
      </c>
      <c r="Q10" s="18">
        <f>IF(AND(ISNUMBER($K$10),ISNUMBER($J$10)),CHOOSE(2+($K$10&gt;$J$10)-($K$10&lt;$J$10),"▼","►","▲"),"")</f>
        <v/>
      </c>
      <c r="R10" s="18">
        <f>IF(AND(ISNUMBER($K$10),ISNUMBER(AVERAGE($B$10:$K$10))),CHOOSE(2+($K$10&gt;AVERAGE($B$10:$K$10)*(1+0.05))-($K$10&lt;AVERAGE($B$10:$K$10)*(1-0.05)),"Falling","Stable","Rising"),"")</f>
        <v/>
      </c>
    </row>
    <row r="11">
      <c r="A11" s="4" t="inlineStr">
        <is>
          <t>Dividend per share growth</t>
        </is>
      </c>
      <c r="B11" s="23" t="n"/>
      <c r="C11" s="23">
        <f>IFERROR('Inputs'!$C$56/'Inputs'!$B$56-1,"")</f>
        <v/>
      </c>
      <c r="D11" s="23">
        <f>IFERROR('Inputs'!$D$56/'Inputs'!$C$56-1,"")</f>
        <v/>
      </c>
      <c r="E11" s="23">
        <f>IFERROR('Inputs'!$E$56/'Inputs'!$D$56-1,"")</f>
        <v/>
      </c>
      <c r="F11" s="23">
        <f>IFERROR('Inputs'!$F$56/'Inputs'!$E$56-1,"")</f>
        <v/>
      </c>
      <c r="G11" s="23">
        <f>IFERROR('Inputs'!$G$56/'Inputs'!$F$56-1,"")</f>
        <v/>
      </c>
      <c r="H11" s="23">
        <f>IFERROR('Inputs'!$H$56/'Inputs'!$G$56-1,"")</f>
        <v/>
      </c>
      <c r="I11" s="23">
        <f>IFERROR('Inputs'!$I$56/'Inputs'!$H$56-1,"")</f>
        <v/>
      </c>
      <c r="J11" s="23">
        <f>IFERROR('Inputs'!$J$56/'Inputs'!$I$56-1,"")</f>
        <v/>
      </c>
      <c r="K11" s="23">
        <f>IFERROR('Inputs'!$K$56/'Inputs'!$J$56-1,"")</f>
        <v/>
      </c>
      <c r="L11" s="23">
        <f>IFERROR('Inputs'!$L$56/'Inputs'!$K$56-1,"")</f>
        <v/>
      </c>
      <c r="M11" s="23">
        <f>IFERROR('Inputs'!$M$56/'Inputs'!$L$56-1,"")</f>
        <v/>
      </c>
      <c r="N11" s="23">
        <f>IFERROR('Inputs'!$N$56/'Inputs'!$M$56-1,"")</f>
        <v/>
      </c>
      <c r="O11" s="23">
        <f>IFERROR('Inputs'!$O$56/'Inputs'!$N$56-1,"")</f>
        <v/>
      </c>
      <c r="P11" s="23">
        <f>IFERROR('Inputs'!$P$56/'Inputs'!$O$56-1,"")</f>
        <v/>
      </c>
      <c r="Q11" s="18">
        <f>IF(AND(ISNUMBER($K$11),ISNUMBER($J$11)),CHOOSE(2+($K$11&gt;$J$11)-($K$11&lt;$J$11),"▼","►","▲"),"")</f>
        <v/>
      </c>
      <c r="R11" s="18">
        <f>IF(AND(ISNUMBER($K$11),ISNUMBER(AVERAGE($B$11:$K$11))),CHOOSE(2+($K$11&gt;AVERAGE($B$11:$K$11)*(1+0.05))-($K$11&lt;AVERAGE($B$11:$K$11)*(1-0.05)),"Falling","Stable","Rising"),"")</f>
        <v/>
      </c>
    </row>
    <row r="12">
      <c r="A12" s="4" t="inlineStr">
        <is>
          <t>Share buybacks</t>
        </is>
      </c>
      <c r="B12" s="33">
        <f>'Inputs'!$B$50</f>
        <v/>
      </c>
      <c r="C12" s="33">
        <f>'Inputs'!$C$50</f>
        <v/>
      </c>
      <c r="D12" s="33">
        <f>'Inputs'!$D$50</f>
        <v/>
      </c>
      <c r="E12" s="33">
        <f>'Inputs'!$E$50</f>
        <v/>
      </c>
      <c r="F12" s="33">
        <f>'Inputs'!$F$50</f>
        <v/>
      </c>
      <c r="G12" s="33">
        <f>'Inputs'!$G$50</f>
        <v/>
      </c>
      <c r="H12" s="33">
        <f>'Inputs'!$H$50</f>
        <v/>
      </c>
      <c r="I12" s="33">
        <f>'Inputs'!$I$50</f>
        <v/>
      </c>
      <c r="J12" s="33">
        <f>'Inputs'!$J$50</f>
        <v/>
      </c>
      <c r="K12" s="33">
        <f>'Inputs'!$K$50</f>
        <v/>
      </c>
      <c r="L12" s="33">
        <f>'Inputs'!$L$50</f>
        <v/>
      </c>
      <c r="M12" s="33">
        <f>'Inputs'!$M$50</f>
        <v/>
      </c>
      <c r="N12" s="33">
        <f>'Inputs'!$N$50</f>
        <v/>
      </c>
      <c r="O12" s="33">
        <f>'Inputs'!$O$50</f>
        <v/>
      </c>
      <c r="P12" s="33">
        <f>'Inputs'!$P$50</f>
        <v/>
      </c>
      <c r="Q12" s="18">
        <f>IF(AND(ISNUMBER($K$12),ISNUMBER($J$12)),CHOOSE(2+($K$12&gt;$J$12)-($K$12&lt;$J$12),"▼","►","▲"),"")</f>
        <v/>
      </c>
      <c r="R12" s="18">
        <f>IF(AND(ISNUMBER($K$12),ISNUMBER(AVERAGE($B$12:$K$12))),CHOOSE(2+($K$12&gt;AVERAGE($B$12:$K$12)*(1+0.05))-($K$12&lt;AVERAGE($B$12:$K$12)*(1-0.05)),"Falling","Stable","Rising"),"")</f>
        <v/>
      </c>
    </row>
    <row r="13">
      <c r="A13" s="4" t="inlineStr">
        <is>
          <t>Share count change (− = buyback)</t>
        </is>
      </c>
      <c r="B13" s="23" t="n"/>
      <c r="C13" s="23">
        <f>IFERROR('Inputs'!$C$53/'Inputs'!$B$53-1,"")</f>
        <v/>
      </c>
      <c r="D13" s="23">
        <f>IFERROR('Inputs'!$D$53/'Inputs'!$C$53-1,"")</f>
        <v/>
      </c>
      <c r="E13" s="23">
        <f>IFERROR('Inputs'!$E$53/'Inputs'!$D$53-1,"")</f>
        <v/>
      </c>
      <c r="F13" s="23">
        <f>IFERROR('Inputs'!$F$53/'Inputs'!$E$53-1,"")</f>
        <v/>
      </c>
      <c r="G13" s="23">
        <f>IFERROR('Inputs'!$G$53/'Inputs'!$F$53-1,"")</f>
        <v/>
      </c>
      <c r="H13" s="23">
        <f>IFERROR('Inputs'!$H$53/'Inputs'!$G$53-1,"")</f>
        <v/>
      </c>
      <c r="I13" s="23">
        <f>IFERROR('Inputs'!$I$53/'Inputs'!$H$53-1,"")</f>
        <v/>
      </c>
      <c r="J13" s="23">
        <f>IFERROR('Inputs'!$J$53/'Inputs'!$I$53-1,"")</f>
        <v/>
      </c>
      <c r="K13" s="23">
        <f>IFERROR('Inputs'!$K$53/'Inputs'!$J$53-1,"")</f>
        <v/>
      </c>
      <c r="L13" s="23">
        <f>IFERROR('Inputs'!$L$53/'Inputs'!$K$53-1,"")</f>
        <v/>
      </c>
      <c r="M13" s="23">
        <f>IFERROR('Inputs'!$M$53/'Inputs'!$L$53-1,"")</f>
        <v/>
      </c>
      <c r="N13" s="23">
        <f>IFERROR('Inputs'!$N$53/'Inputs'!$M$53-1,"")</f>
        <v/>
      </c>
      <c r="O13" s="23">
        <f>IFERROR('Inputs'!$O$53/'Inputs'!$N$53-1,"")</f>
        <v/>
      </c>
      <c r="P13" s="23">
        <f>IFERROR('Inputs'!$P$53/'Inputs'!$O$53-1,"")</f>
        <v/>
      </c>
      <c r="Q13" s="18">
        <f>IF(AND(ISNUMBER($K$13),ISNUMBER($J$13)),CHOOSE(2+($K$13&gt;$J$13)-($K$13&lt;$J$13),"▼","►","▲"),"")</f>
        <v/>
      </c>
      <c r="R13" s="18">
        <f>IF(ISNUMBER($K$13),CHOOSE(1+($K$13&gt;=0)+($K$13&gt;=1e-06),"Reducing","Flat","Diluting"),"")</f>
        <v/>
      </c>
    </row>
    <row r="14">
      <c r="A14" s="4" t="inlineStr">
        <is>
          <t>Total payout (div + buyback) / NI</t>
        </is>
      </c>
      <c r="B14" s="23">
        <f>IFERROR(('Inputs'!$B$49+'Inputs'!$B$50)/'Inputs'!$B$21,"")</f>
        <v/>
      </c>
      <c r="C14" s="23">
        <f>IFERROR(('Inputs'!$C$49+'Inputs'!$C$50)/'Inputs'!$C$21,"")</f>
        <v/>
      </c>
      <c r="D14" s="23">
        <f>IFERROR(('Inputs'!$D$49+'Inputs'!$D$50)/'Inputs'!$D$21,"")</f>
        <v/>
      </c>
      <c r="E14" s="23">
        <f>IFERROR(('Inputs'!$E$49+'Inputs'!$E$50)/'Inputs'!$E$21,"")</f>
        <v/>
      </c>
      <c r="F14" s="23">
        <f>IFERROR(('Inputs'!$F$49+'Inputs'!$F$50)/'Inputs'!$F$21,"")</f>
        <v/>
      </c>
      <c r="G14" s="23">
        <f>IFERROR(('Inputs'!$G$49+'Inputs'!$G$50)/'Inputs'!$G$21,"")</f>
        <v/>
      </c>
      <c r="H14" s="23">
        <f>IFERROR(('Inputs'!$H$49+'Inputs'!$H$50)/'Inputs'!$H$21,"")</f>
        <v/>
      </c>
      <c r="I14" s="23">
        <f>IFERROR(('Inputs'!$I$49+'Inputs'!$I$50)/'Inputs'!$I$21,"")</f>
        <v/>
      </c>
      <c r="J14" s="23">
        <f>IFERROR(('Inputs'!$J$49+'Inputs'!$J$50)/'Inputs'!$J$21,"")</f>
        <v/>
      </c>
      <c r="K14" s="23">
        <f>IFERROR(('Inputs'!$K$49+'Inputs'!$K$50)/'Inputs'!$K$21,"")</f>
        <v/>
      </c>
      <c r="L14" s="23">
        <f>IFERROR(('Inputs'!$L$49+'Inputs'!$L$50)/'Inputs'!$L$21,"")</f>
        <v/>
      </c>
      <c r="M14" s="23">
        <f>IFERROR(('Inputs'!$M$49+'Inputs'!$M$50)/'Inputs'!$M$21,"")</f>
        <v/>
      </c>
      <c r="N14" s="23">
        <f>IFERROR(('Inputs'!$N$49+'Inputs'!$N$50)/'Inputs'!$N$21,"")</f>
        <v/>
      </c>
      <c r="O14" s="23">
        <f>IFERROR(('Inputs'!$O$49+'Inputs'!$O$50)/'Inputs'!$O$21,"")</f>
        <v/>
      </c>
      <c r="P14" s="23">
        <f>IFERROR(('Inputs'!$P$49+'Inputs'!$P$50)/'Inputs'!$P$21,"")</f>
        <v/>
      </c>
      <c r="Q14" s="18">
        <f>IF(AND(ISNUMBER($K$14),ISNUMBER($J$14)),CHOOSE(2+($K$14&gt;$J$14)-($K$14&lt;$J$14),"▼","►","▲"),"")</f>
        <v/>
      </c>
      <c r="R14" s="18">
        <f>IF(AND(ISNUMBER($K$14),ISNUMBER(AVERAGE($B$14:$K$14))),CHOOSE(2+($K$14&gt;AVERAGE($B$14:$K$14)*(1+0.05))-($K$14&lt;AVERAGE($B$14:$K$14)*(1-0.05)),"Falling","Stable","Rising"),"")</f>
        <v/>
      </c>
    </row>
    <row r="16" ht="20" customHeight="1">
      <c r="A16" s="3" t="inlineStr">
        <is>
          <t>Reinvestment &amp; Conversion</t>
        </is>
      </c>
    </row>
    <row r="17">
      <c r="A17" s="4" t="inlineStr">
        <is>
          <t>Retention ratio (1 − payout)</t>
        </is>
      </c>
      <c r="B17" s="23">
        <f>IFERROR(1-'Inputs'!$B$49/'Inputs'!$B$21,"")</f>
        <v/>
      </c>
      <c r="C17" s="23">
        <f>IFERROR(1-'Inputs'!$C$49/'Inputs'!$C$21,"")</f>
        <v/>
      </c>
      <c r="D17" s="23">
        <f>IFERROR(1-'Inputs'!$D$49/'Inputs'!$D$21,"")</f>
        <v/>
      </c>
      <c r="E17" s="23">
        <f>IFERROR(1-'Inputs'!$E$49/'Inputs'!$E$21,"")</f>
        <v/>
      </c>
      <c r="F17" s="23">
        <f>IFERROR(1-'Inputs'!$F$49/'Inputs'!$F$21,"")</f>
        <v/>
      </c>
      <c r="G17" s="23">
        <f>IFERROR(1-'Inputs'!$G$49/'Inputs'!$G$21,"")</f>
        <v/>
      </c>
      <c r="H17" s="23">
        <f>IFERROR(1-'Inputs'!$H$49/'Inputs'!$H$21,"")</f>
        <v/>
      </c>
      <c r="I17" s="23">
        <f>IFERROR(1-'Inputs'!$I$49/'Inputs'!$I$21,"")</f>
        <v/>
      </c>
      <c r="J17" s="23">
        <f>IFERROR(1-'Inputs'!$J$49/'Inputs'!$J$21,"")</f>
        <v/>
      </c>
      <c r="K17" s="23">
        <f>IFERROR(1-'Inputs'!$K$49/'Inputs'!$K$21,"")</f>
        <v/>
      </c>
      <c r="L17" s="23">
        <f>IFERROR(1-'Inputs'!$L$49/'Inputs'!$L$21,"")</f>
        <v/>
      </c>
      <c r="M17" s="23">
        <f>IFERROR(1-'Inputs'!$M$49/'Inputs'!$M$21,"")</f>
        <v/>
      </c>
      <c r="N17" s="23">
        <f>IFERROR(1-'Inputs'!$N$49/'Inputs'!$N$21,"")</f>
        <v/>
      </c>
      <c r="O17" s="23">
        <f>IFERROR(1-'Inputs'!$O$49/'Inputs'!$O$21,"")</f>
        <v/>
      </c>
      <c r="P17" s="23">
        <f>IFERROR(1-'Inputs'!$P$49/'Inputs'!$P$21,"")</f>
        <v/>
      </c>
      <c r="Q17" s="18">
        <f>IF(AND(ISNUMBER($K$17),ISNUMBER($J$17)),CHOOSE(2+($K$17&gt;$J$17)-($K$17&lt;$J$17),"▼","►","▲"),"")</f>
        <v/>
      </c>
    </row>
    <row r="18">
      <c r="A18" s="4" t="inlineStr">
        <is>
          <t>FCF conversion (FCF / net income)</t>
        </is>
      </c>
      <c r="B18" s="23">
        <f>IFERROR('Inputs'!$B$48/'Inputs'!$B$21,"")</f>
        <v/>
      </c>
      <c r="C18" s="23">
        <f>IFERROR('Inputs'!$C$48/'Inputs'!$C$21,"")</f>
        <v/>
      </c>
      <c r="D18" s="23">
        <f>IFERROR('Inputs'!$D$48/'Inputs'!$D$21,"")</f>
        <v/>
      </c>
      <c r="E18" s="23">
        <f>IFERROR('Inputs'!$E$48/'Inputs'!$E$21,"")</f>
        <v/>
      </c>
      <c r="F18" s="23">
        <f>IFERROR('Inputs'!$F$48/'Inputs'!$F$21,"")</f>
        <v/>
      </c>
      <c r="G18" s="23">
        <f>IFERROR('Inputs'!$G$48/'Inputs'!$G$21,"")</f>
        <v/>
      </c>
      <c r="H18" s="23">
        <f>IFERROR('Inputs'!$H$48/'Inputs'!$H$21,"")</f>
        <v/>
      </c>
      <c r="I18" s="23">
        <f>IFERROR('Inputs'!$I$48/'Inputs'!$I$21,"")</f>
        <v/>
      </c>
      <c r="J18" s="23">
        <f>IFERROR('Inputs'!$J$48/'Inputs'!$J$21,"")</f>
        <v/>
      </c>
      <c r="K18" s="23">
        <f>IFERROR('Inputs'!$K$48/'Inputs'!$K$21,"")</f>
        <v/>
      </c>
      <c r="L18" s="23">
        <f>IFERROR('Inputs'!$L$48/'Inputs'!$L$21,"")</f>
        <v/>
      </c>
      <c r="M18" s="23">
        <f>IFERROR('Inputs'!$M$48/'Inputs'!$M$21,"")</f>
        <v/>
      </c>
      <c r="N18" s="23">
        <f>IFERROR('Inputs'!$N$48/'Inputs'!$N$21,"")</f>
        <v/>
      </c>
      <c r="O18" s="23">
        <f>IFERROR('Inputs'!$O$48/'Inputs'!$O$21,"")</f>
        <v/>
      </c>
      <c r="P18" s="23">
        <f>IFERROR('Inputs'!$P$48/'Inputs'!$P$21,"")</f>
        <v/>
      </c>
      <c r="Q18" s="18">
        <f>IF(AND(ISNUMBER($K$18),ISNUMBER($J$18)),CHOOSE(2+($K$18&gt;$J$18)-($K$18&lt;$J$18),"▼","►","▲"),"")</f>
        <v/>
      </c>
      <c r="R18" s="18">
        <f>IF(AND(ISNUMBER($K$18),ISNUMBER(AVERAGE($B$18:$K$18))),CHOOSE(2+($K$18&gt;AVERAGE($B$18:$K$18)*(1+0.05))-($K$18&lt;AVERAGE($B$18:$K$18)*(1-0.05)),"Weak","Stable","Strong"),"")</f>
        <v/>
      </c>
    </row>
    <row r="20" ht="20" customHeight="1">
      <c r="A20" s="3" t="inlineStr">
        <is>
          <t>Capital Allocation Score  (latest year, 0–5)</t>
        </is>
      </c>
    </row>
    <row r="21">
      <c r="A21" s="41" t="inlineStr">
        <is>
          <t xml:space="preserve">  Converts ≥80% of profit to FCF</t>
        </is>
      </c>
      <c r="B21" s="42">
        <f>('Capital Allocation'!$K$18&gt;=0.8)*1</f>
        <v/>
      </c>
    </row>
    <row r="22">
      <c r="A22" s="41" t="inlineStr">
        <is>
          <t xml:space="preserve">  Reducing share count</t>
        </is>
      </c>
      <c r="B22" s="42">
        <f>('Inputs'!$K$53&lt;'Inputs'!$J$53)*1</f>
        <v/>
      </c>
    </row>
    <row r="23">
      <c r="A23" s="41" t="inlineStr">
        <is>
          <t xml:space="preserve">  ROIC above WACC</t>
        </is>
      </c>
      <c r="B23" s="42">
        <f>('Profitability'!$K$20&gt;'Inputs'!$B$82)*1</f>
        <v/>
      </c>
    </row>
    <row r="24">
      <c r="A24" s="41" t="inlineStr">
        <is>
          <t xml:space="preserve">  Dividend per share rising</t>
        </is>
      </c>
      <c r="B24" s="42">
        <f>('Inputs'!$K$56&gt;'Inputs'!$J$56)*1</f>
        <v/>
      </c>
    </row>
    <row r="25">
      <c r="A25" s="41" t="inlineStr">
        <is>
          <t xml:space="preserve">  Disciplined payout (20–100%)</t>
        </is>
      </c>
      <c r="B25" s="42">
        <f>AND('Capital Allocation'!$K$14&gt;=0.2,'Capital Allocation'!$K$14&lt;=1)*1</f>
        <v/>
      </c>
    </row>
    <row r="26">
      <c r="A26" s="12" t="inlineStr">
        <is>
          <t>Capital Allocation Score (/5)</t>
        </is>
      </c>
      <c r="B26" s="22">
        <f>SUM(B21:B25)</f>
        <v/>
      </c>
      <c r="C26" s="18">
        <f>IF(ISNUMBER($B$26),CHOOSE(1+($B$26&gt;=2)+($B$26&gt;=4),"Weak","Adequate","Strong"),"")</f>
        <v/>
      </c>
    </row>
    <row r="28" ht="20" customHeight="1">
      <c r="A28" s="3" t="inlineStr">
        <is>
          <t>Automated Observations</t>
        </is>
      </c>
    </row>
    <row r="29" ht="20" customHeight="1">
      <c r="A29" s="29">
        <f>IFERROR("» Capital allocation scores "&amp;TEXT('Capital Allocation'!$B$26,"0")&amp;"/5 — "&amp;'Capital Allocation'!$C$26&amp;". Total payout is "&amp;TEXT('Capital Allocation'!$K$14,"0%")&amp;" of net income.","(insufficient data — populate inputs)")</f>
        <v/>
      </c>
    </row>
    <row r="30" ht="20" customHeight="1">
      <c r="A30" s="29">
        <f>IFERROR("» Share count "&amp;IF('Inputs'!$K$53&lt;'Inputs'!$B$53,"fell from ","rose from ")&amp;TEXT('Inputs'!$B$53,"#,##0")&amp;" to "&amp;TEXT('Inputs'!$K$53,"#,##0")&amp;"m over the period.","(insufficient data — populate inputs)")</f>
        <v/>
      </c>
    </row>
  </sheetData>
  <mergeCells count="10">
    <mergeCell ref="A3:R3"/>
    <mergeCell ref="A20:R20"/>
    <mergeCell ref="A30:R30"/>
    <mergeCell ref="A29:R29"/>
    <mergeCell ref="A7:R7"/>
    <mergeCell ref="A2:R2"/>
    <mergeCell ref="A16:R16"/>
    <mergeCell ref="A28:R28"/>
    <mergeCell ref="A1:R1"/>
    <mergeCell ref="A9:R9"/>
  </mergeCells>
  <conditionalFormatting sqref="B10:P10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P11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P12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P13">
    <cfRule type="colorScale" priority="4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4:P14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7:P17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P18">
    <cfRule type="colorScale" priority="7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0:R26">
    <cfRule type="expression" priority="8" dxfId="0" stopIfTrue="1">
      <formula>OR(ISNUMBER(SEARCH("Strong",R10)),ISNUMBER(SEARCH("Improving",R10)),ISNUMBER(SEARCH("Low Risk",R10)),ISNUMBER(SEARCH("Excellent",R10)),ISNUMBER(SEARCH("Healthy",R10)),ISNUMBER(SEARCH("Safe",R10)),ISNUMBER(SEARCH("Undervalued",R10)),ISNUMBER(SEARCH("Value-creating",R10)),ISNUMBER(SEARCH("Expanding",R10)),ISNUMBER(SEARCH("Accelerating",R10)),ISNUMBER(SEARCH("High",R10)),ISNUMBER(SEARCH("Best-in-Class",R10)),ISNUMBER(SEARCH("Above",R10)),ISNUMBER(SEARCH("Robust",R10)),ISNUMBER(SEARCH("PASS",R10)),ISNUMBER(SEARCH("OK",R10)),ISNUMBER(SEARCH("Conservative",R10)),ISNUMBER(SEARCH("Reducing",R10)),ISNUMBER(SEARCH("Accretive",R10)),ISNUMBER(SEARCH("Cheap",R10)),ISNUMBER(SEARCH("Rising",R10)),ISNUMBER(SEARCH("Disciplined",R10)))</formula>
    </cfRule>
    <cfRule type="expression" priority="9" dxfId="1" stopIfTrue="1">
      <formula>OR(ISNUMBER(SEARCH("Moderate",R10)),ISNUMBER(SEARCH("Stable",R10)),ISNUMBER(SEARCH("Average",R10)),ISNUMBER(SEARCH("Adequate",R10)),ISNUMBER(SEARCH("Watch",R10)),ISNUMBER(SEARCH("Grey",R10)),ISNUMBER(SEARCH("Fair",R10)),ISNUMBER(SEARCH("Neutral",R10)),ISNUMBER(SEARCH("In-line",R10)),ISNUMBER(SEARCH("Flat",R10)),ISNUMBER(SEARCH("REVIEW",R10)),ISNUMBER(SEARCH("Caution",R10)),ISNUMBER(SEARCH("Decelerating",R10)))</formula>
    </cfRule>
    <cfRule type="expression" priority="10" dxfId="2" stopIfTrue="1">
      <formula>OR(ISNUMBER(SEARCH("Weak",R10)),ISNUMBER(SEARCH("Deteriorating",R10)),ISNUMBER(SEARCH("High Risk",R10)),ISNUMBER(SEARCH("Poor",R10)),ISNUMBER(SEARCH("Distress",R10)),ISNUMBER(SEARCH("Overvalued",R10)),ISNUMBER(SEARCH("Value-destroying",R10)),ISNUMBER(SEARCH("Compressing",R10)),ISNUMBER(SEARCH("Low",R10)),ISNUMBER(SEARCH("Worst",R10)),ISNUMBER(SEARCH("Below",R10)),ISNUMBER(SEARCH("FAIL",R10)),ISNUMBER(SEARCH("Elevated",R10)),ISNUMBER(SEARCH("Stretched",R10)),ISNUMBER(SEARCH("Manipulation",R10)),ISNUMBER(SEARCH("Negative",R10)),ISNUMBER(SEARCH("Diluting",R10)),ISNUMBER(SEARCH("Dilutive",R10)),ISNUMBER(SEARCH("Expensive",R10)),ISNUMBER(SEARCH("Falling",R10)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2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R5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15" customWidth="1" min="18" max="18"/>
  </cols>
  <sheetData>
    <row r="1" ht="30" customHeight="1">
      <c r="A1" s="1" t="inlineStr">
        <is>
          <t>QUALITY ANALYSIS</t>
        </is>
      </c>
    </row>
    <row r="2">
      <c r="A2" s="2" t="inlineStr">
        <is>
          <t>Piotroski F · Altman Z · Beneish M · economic profit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All figures in USD millions unless stated; (F) = forecast year.</t>
        </is>
      </c>
    </row>
    <row r="8" ht="22" customHeight="1">
      <c r="A8" s="20" t="inlineStr">
        <is>
          <t>Quality metric</t>
        </is>
      </c>
      <c r="B8" s="21" t="inlineStr">
        <is>
          <t>FY2015</t>
        </is>
      </c>
      <c r="C8" s="21" t="inlineStr">
        <is>
          <t>FY2016</t>
        </is>
      </c>
      <c r="D8" s="21" t="inlineStr">
        <is>
          <t>FY2017</t>
        </is>
      </c>
      <c r="E8" s="21" t="inlineStr">
        <is>
          <t>FY2018</t>
        </is>
      </c>
      <c r="F8" s="21" t="inlineStr">
        <is>
          <t>FY2019</t>
        </is>
      </c>
      <c r="G8" s="21" t="inlineStr">
        <is>
          <t>FY2020</t>
        </is>
      </c>
      <c r="H8" s="21" t="inlineStr">
        <is>
          <t>FY2021</t>
        </is>
      </c>
      <c r="I8" s="21" t="inlineStr">
        <is>
          <t>FY2022</t>
        </is>
      </c>
      <c r="J8" s="21" t="inlineStr">
        <is>
          <t>FY2023</t>
        </is>
      </c>
      <c r="K8" s="21" t="inlineStr">
        <is>
          <t>FY2024</t>
        </is>
      </c>
      <c r="L8" s="30" t="inlineStr">
        <is>
          <t>FY2025  (F)</t>
        </is>
      </c>
      <c r="M8" s="30" t="inlineStr">
        <is>
          <t>FY2026  (F)</t>
        </is>
      </c>
      <c r="N8" s="30" t="inlineStr">
        <is>
          <t>FY2027  (F)</t>
        </is>
      </c>
      <c r="O8" s="30" t="inlineStr">
        <is>
          <t>FY2028  (F)</t>
        </is>
      </c>
      <c r="P8" s="30" t="inlineStr">
        <is>
          <t>FY2029  (F)</t>
        </is>
      </c>
      <c r="Q8" s="20" t="inlineStr">
        <is>
          <t>Trend</t>
        </is>
      </c>
      <c r="R8" s="20" t="inlineStr">
        <is>
          <t>Assessment</t>
        </is>
      </c>
    </row>
    <row r="9" ht="20" customHeight="1">
      <c r="A9" s="3" t="inlineStr">
        <is>
          <t>Altman Z-Score  (bankruptcy/distress risk)</t>
        </is>
      </c>
    </row>
    <row r="10">
      <c r="A10" s="41" t="inlineStr">
        <is>
          <t xml:space="preserve">  X1 = working capital / assets</t>
        </is>
      </c>
      <c r="B10" s="43">
        <f>IFERROR('Inputs'!$B$68/'Inputs'!$B$32,"")</f>
        <v/>
      </c>
      <c r="C10" s="43">
        <f>IFERROR('Inputs'!$C$68/'Inputs'!$C$32,"")</f>
        <v/>
      </c>
      <c r="D10" s="43">
        <f>IFERROR('Inputs'!$D$68/'Inputs'!$D$32,"")</f>
        <v/>
      </c>
      <c r="E10" s="43">
        <f>IFERROR('Inputs'!$E$68/'Inputs'!$E$32,"")</f>
        <v/>
      </c>
      <c r="F10" s="43">
        <f>IFERROR('Inputs'!$F$68/'Inputs'!$F$32,"")</f>
        <v/>
      </c>
      <c r="G10" s="43">
        <f>IFERROR('Inputs'!$G$68/'Inputs'!$G$32,"")</f>
        <v/>
      </c>
      <c r="H10" s="43">
        <f>IFERROR('Inputs'!$H$68/'Inputs'!$H$32,"")</f>
        <v/>
      </c>
      <c r="I10" s="43">
        <f>IFERROR('Inputs'!$I$68/'Inputs'!$I$32,"")</f>
        <v/>
      </c>
      <c r="J10" s="43">
        <f>IFERROR('Inputs'!$J$68/'Inputs'!$J$32,"")</f>
        <v/>
      </c>
      <c r="K10" s="43">
        <f>IFERROR('Inputs'!$K$68/'Inputs'!$K$32,"")</f>
        <v/>
      </c>
      <c r="L10" s="43">
        <f>IFERROR('Inputs'!$L$68/'Inputs'!$L$32,"")</f>
        <v/>
      </c>
      <c r="M10" s="43">
        <f>IFERROR('Inputs'!$M$68/'Inputs'!$M$32,"")</f>
        <v/>
      </c>
      <c r="N10" s="43">
        <f>IFERROR('Inputs'!$N$68/'Inputs'!$N$32,"")</f>
        <v/>
      </c>
      <c r="O10" s="43">
        <f>IFERROR('Inputs'!$O$68/'Inputs'!$O$32,"")</f>
        <v/>
      </c>
      <c r="P10" s="43">
        <f>IFERROR('Inputs'!$P$68/'Inputs'!$P$32,"")</f>
        <v/>
      </c>
    </row>
    <row r="11">
      <c r="A11" s="41" t="inlineStr">
        <is>
          <t xml:space="preserve">  X2 = retained earnings / assets</t>
        </is>
      </c>
      <c r="B11" s="43">
        <f>IFERROR('Inputs'!$B$43/'Inputs'!$B$32,"")</f>
        <v/>
      </c>
      <c r="C11" s="43">
        <f>IFERROR('Inputs'!$C$43/'Inputs'!$C$32,"")</f>
        <v/>
      </c>
      <c r="D11" s="43">
        <f>IFERROR('Inputs'!$D$43/'Inputs'!$D$32,"")</f>
        <v/>
      </c>
      <c r="E11" s="43">
        <f>IFERROR('Inputs'!$E$43/'Inputs'!$E$32,"")</f>
        <v/>
      </c>
      <c r="F11" s="43">
        <f>IFERROR('Inputs'!$F$43/'Inputs'!$F$32,"")</f>
        <v/>
      </c>
      <c r="G11" s="43">
        <f>IFERROR('Inputs'!$G$43/'Inputs'!$G$32,"")</f>
        <v/>
      </c>
      <c r="H11" s="43">
        <f>IFERROR('Inputs'!$H$43/'Inputs'!$H$32,"")</f>
        <v/>
      </c>
      <c r="I11" s="43">
        <f>IFERROR('Inputs'!$I$43/'Inputs'!$I$32,"")</f>
        <v/>
      </c>
      <c r="J11" s="43">
        <f>IFERROR('Inputs'!$J$43/'Inputs'!$J$32,"")</f>
        <v/>
      </c>
      <c r="K11" s="43">
        <f>IFERROR('Inputs'!$K$43/'Inputs'!$K$32,"")</f>
        <v/>
      </c>
      <c r="L11" s="43">
        <f>IFERROR('Inputs'!$L$43/'Inputs'!$L$32,"")</f>
        <v/>
      </c>
      <c r="M11" s="43">
        <f>IFERROR('Inputs'!$M$43/'Inputs'!$M$32,"")</f>
        <v/>
      </c>
      <c r="N11" s="43">
        <f>IFERROR('Inputs'!$N$43/'Inputs'!$N$32,"")</f>
        <v/>
      </c>
      <c r="O11" s="43">
        <f>IFERROR('Inputs'!$O$43/'Inputs'!$O$32,"")</f>
        <v/>
      </c>
      <c r="P11" s="43">
        <f>IFERROR('Inputs'!$P$43/'Inputs'!$P$32,"")</f>
        <v/>
      </c>
    </row>
    <row r="12">
      <c r="A12" s="41" t="inlineStr">
        <is>
          <t xml:space="preserve">  X3 = EBIT / assets</t>
        </is>
      </c>
      <c r="B12" s="43">
        <f>IFERROR('Inputs'!$B$16/'Inputs'!$B$32,"")</f>
        <v/>
      </c>
      <c r="C12" s="43">
        <f>IFERROR('Inputs'!$C$16/'Inputs'!$C$32,"")</f>
        <v/>
      </c>
      <c r="D12" s="43">
        <f>IFERROR('Inputs'!$D$16/'Inputs'!$D$32,"")</f>
        <v/>
      </c>
      <c r="E12" s="43">
        <f>IFERROR('Inputs'!$E$16/'Inputs'!$E$32,"")</f>
        <v/>
      </c>
      <c r="F12" s="43">
        <f>IFERROR('Inputs'!$F$16/'Inputs'!$F$32,"")</f>
        <v/>
      </c>
      <c r="G12" s="43">
        <f>IFERROR('Inputs'!$G$16/'Inputs'!$G$32,"")</f>
        <v/>
      </c>
      <c r="H12" s="43">
        <f>IFERROR('Inputs'!$H$16/'Inputs'!$H$32,"")</f>
        <v/>
      </c>
      <c r="I12" s="43">
        <f>IFERROR('Inputs'!$I$16/'Inputs'!$I$32,"")</f>
        <v/>
      </c>
      <c r="J12" s="43">
        <f>IFERROR('Inputs'!$J$16/'Inputs'!$J$32,"")</f>
        <v/>
      </c>
      <c r="K12" s="43">
        <f>IFERROR('Inputs'!$K$16/'Inputs'!$K$32,"")</f>
        <v/>
      </c>
      <c r="L12" s="43">
        <f>IFERROR('Inputs'!$L$16/'Inputs'!$L$32,"")</f>
        <v/>
      </c>
      <c r="M12" s="43">
        <f>IFERROR('Inputs'!$M$16/'Inputs'!$M$32,"")</f>
        <v/>
      </c>
      <c r="N12" s="43">
        <f>IFERROR('Inputs'!$N$16/'Inputs'!$N$32,"")</f>
        <v/>
      </c>
      <c r="O12" s="43">
        <f>IFERROR('Inputs'!$O$16/'Inputs'!$O$32,"")</f>
        <v/>
      </c>
      <c r="P12" s="43">
        <f>IFERROR('Inputs'!$P$16/'Inputs'!$P$32,"")</f>
        <v/>
      </c>
    </row>
    <row r="13">
      <c r="A13" s="41" t="inlineStr">
        <is>
          <t xml:space="preserve">  X4 = market cap / total liabilities</t>
        </is>
      </c>
      <c r="B13" s="43">
        <f>IFERROR('Inputs'!$B$54/'Inputs'!$B$41,"")</f>
        <v/>
      </c>
      <c r="C13" s="43">
        <f>IFERROR('Inputs'!$C$54/'Inputs'!$C$41,"")</f>
        <v/>
      </c>
      <c r="D13" s="43">
        <f>IFERROR('Inputs'!$D$54/'Inputs'!$D$41,"")</f>
        <v/>
      </c>
      <c r="E13" s="43">
        <f>IFERROR('Inputs'!$E$54/'Inputs'!$E$41,"")</f>
        <v/>
      </c>
      <c r="F13" s="43">
        <f>IFERROR('Inputs'!$F$54/'Inputs'!$F$41,"")</f>
        <v/>
      </c>
      <c r="G13" s="43">
        <f>IFERROR('Inputs'!$G$54/'Inputs'!$G$41,"")</f>
        <v/>
      </c>
      <c r="H13" s="43">
        <f>IFERROR('Inputs'!$H$54/'Inputs'!$H$41,"")</f>
        <v/>
      </c>
      <c r="I13" s="43">
        <f>IFERROR('Inputs'!$I$54/'Inputs'!$I$41,"")</f>
        <v/>
      </c>
      <c r="J13" s="43">
        <f>IFERROR('Inputs'!$J$54/'Inputs'!$J$41,"")</f>
        <v/>
      </c>
      <c r="K13" s="43">
        <f>IFERROR('Inputs'!$K$54/'Inputs'!$K$41,"")</f>
        <v/>
      </c>
      <c r="L13" s="43">
        <f>IFERROR('Inputs'!$L$54/'Inputs'!$L$41,"")</f>
        <v/>
      </c>
      <c r="M13" s="43">
        <f>IFERROR('Inputs'!$M$54/'Inputs'!$M$41,"")</f>
        <v/>
      </c>
      <c r="N13" s="43">
        <f>IFERROR('Inputs'!$N$54/'Inputs'!$N$41,"")</f>
        <v/>
      </c>
      <c r="O13" s="43">
        <f>IFERROR('Inputs'!$O$54/'Inputs'!$O$41,"")</f>
        <v/>
      </c>
      <c r="P13" s="43">
        <f>IFERROR('Inputs'!$P$54/'Inputs'!$P$41,"")</f>
        <v/>
      </c>
    </row>
    <row r="14">
      <c r="A14" s="41" t="inlineStr">
        <is>
          <t xml:space="preserve">  X5 = revenue / assets</t>
        </is>
      </c>
      <c r="B14" s="43">
        <f>IFERROR('Inputs'!$B$10/'Inputs'!$B$32,"")</f>
        <v/>
      </c>
      <c r="C14" s="43">
        <f>IFERROR('Inputs'!$C$10/'Inputs'!$C$32,"")</f>
        <v/>
      </c>
      <c r="D14" s="43">
        <f>IFERROR('Inputs'!$D$10/'Inputs'!$D$32,"")</f>
        <v/>
      </c>
      <c r="E14" s="43">
        <f>IFERROR('Inputs'!$E$10/'Inputs'!$E$32,"")</f>
        <v/>
      </c>
      <c r="F14" s="43">
        <f>IFERROR('Inputs'!$F$10/'Inputs'!$F$32,"")</f>
        <v/>
      </c>
      <c r="G14" s="43">
        <f>IFERROR('Inputs'!$G$10/'Inputs'!$G$32,"")</f>
        <v/>
      </c>
      <c r="H14" s="43">
        <f>IFERROR('Inputs'!$H$10/'Inputs'!$H$32,"")</f>
        <v/>
      </c>
      <c r="I14" s="43">
        <f>IFERROR('Inputs'!$I$10/'Inputs'!$I$32,"")</f>
        <v/>
      </c>
      <c r="J14" s="43">
        <f>IFERROR('Inputs'!$J$10/'Inputs'!$J$32,"")</f>
        <v/>
      </c>
      <c r="K14" s="43">
        <f>IFERROR('Inputs'!$K$10/'Inputs'!$K$32,"")</f>
        <v/>
      </c>
      <c r="L14" s="43">
        <f>IFERROR('Inputs'!$L$10/'Inputs'!$L$32,"")</f>
        <v/>
      </c>
      <c r="M14" s="43">
        <f>IFERROR('Inputs'!$M$10/'Inputs'!$M$32,"")</f>
        <v/>
      </c>
      <c r="N14" s="43">
        <f>IFERROR('Inputs'!$N$10/'Inputs'!$N$32,"")</f>
        <v/>
      </c>
      <c r="O14" s="43">
        <f>IFERROR('Inputs'!$O$10/'Inputs'!$O$32,"")</f>
        <v/>
      </c>
      <c r="P14" s="43">
        <f>IFERROR('Inputs'!$P$10/'Inputs'!$P$32,"")</f>
        <v/>
      </c>
    </row>
    <row r="15">
      <c r="A15" s="12" t="inlineStr">
        <is>
          <t>Altman Z-Score</t>
        </is>
      </c>
      <c r="B15" s="44">
        <f>IFERROR(1.2*'Quality'!$B$10+1.4*'Quality'!$B$11+3.3*'Quality'!$B$12+0.6*'Quality'!$B$13+1.0*'Quality'!$B$14,"")</f>
        <v/>
      </c>
      <c r="C15" s="44">
        <f>IFERROR(1.2*'Quality'!$C$10+1.4*'Quality'!$C$11+3.3*'Quality'!$C$12+0.6*'Quality'!$C$13+1.0*'Quality'!$C$14,"")</f>
        <v/>
      </c>
      <c r="D15" s="44">
        <f>IFERROR(1.2*'Quality'!$D$10+1.4*'Quality'!$D$11+3.3*'Quality'!$D$12+0.6*'Quality'!$D$13+1.0*'Quality'!$D$14,"")</f>
        <v/>
      </c>
      <c r="E15" s="44">
        <f>IFERROR(1.2*'Quality'!$E$10+1.4*'Quality'!$E$11+3.3*'Quality'!$E$12+0.6*'Quality'!$E$13+1.0*'Quality'!$E$14,"")</f>
        <v/>
      </c>
      <c r="F15" s="44">
        <f>IFERROR(1.2*'Quality'!$F$10+1.4*'Quality'!$F$11+3.3*'Quality'!$F$12+0.6*'Quality'!$F$13+1.0*'Quality'!$F$14,"")</f>
        <v/>
      </c>
      <c r="G15" s="44">
        <f>IFERROR(1.2*'Quality'!$G$10+1.4*'Quality'!$G$11+3.3*'Quality'!$G$12+0.6*'Quality'!$G$13+1.0*'Quality'!$G$14,"")</f>
        <v/>
      </c>
      <c r="H15" s="44">
        <f>IFERROR(1.2*'Quality'!$H$10+1.4*'Quality'!$H$11+3.3*'Quality'!$H$12+0.6*'Quality'!$H$13+1.0*'Quality'!$H$14,"")</f>
        <v/>
      </c>
      <c r="I15" s="44">
        <f>IFERROR(1.2*'Quality'!$I$10+1.4*'Quality'!$I$11+3.3*'Quality'!$I$12+0.6*'Quality'!$I$13+1.0*'Quality'!$I$14,"")</f>
        <v/>
      </c>
      <c r="J15" s="44">
        <f>IFERROR(1.2*'Quality'!$J$10+1.4*'Quality'!$J$11+3.3*'Quality'!$J$12+0.6*'Quality'!$J$13+1.0*'Quality'!$J$14,"")</f>
        <v/>
      </c>
      <c r="K15" s="44">
        <f>IFERROR(1.2*'Quality'!$K$10+1.4*'Quality'!$K$11+3.3*'Quality'!$K$12+0.6*'Quality'!$K$13+1.0*'Quality'!$K$14,"")</f>
        <v/>
      </c>
      <c r="L15" s="44">
        <f>IFERROR(1.2*'Quality'!$L$10+1.4*'Quality'!$L$11+3.3*'Quality'!$L$12+0.6*'Quality'!$L$13+1.0*'Quality'!$L$14,"")</f>
        <v/>
      </c>
      <c r="M15" s="44">
        <f>IFERROR(1.2*'Quality'!$M$10+1.4*'Quality'!$M$11+3.3*'Quality'!$M$12+0.6*'Quality'!$M$13+1.0*'Quality'!$M$14,"")</f>
        <v/>
      </c>
      <c r="N15" s="44">
        <f>IFERROR(1.2*'Quality'!$N$10+1.4*'Quality'!$N$11+3.3*'Quality'!$N$12+0.6*'Quality'!$N$13+1.0*'Quality'!$N$14,"")</f>
        <v/>
      </c>
      <c r="O15" s="44">
        <f>IFERROR(1.2*'Quality'!$O$10+1.4*'Quality'!$O$11+3.3*'Quality'!$O$12+0.6*'Quality'!$O$13+1.0*'Quality'!$O$14,"")</f>
        <v/>
      </c>
      <c r="P15" s="44">
        <f>IFERROR(1.2*'Quality'!$P$10+1.4*'Quality'!$P$11+3.3*'Quality'!$P$12+0.6*'Quality'!$P$13+1.0*'Quality'!$P$14,"")</f>
        <v/>
      </c>
      <c r="Q15" s="18">
        <f>IF(AND(ISNUMBER($K$15),ISNUMBER($J$15)),CHOOSE(2+($K$15&gt;$J$15)-($K$15&lt;$J$15),"▼","►","▲"),"")</f>
        <v/>
      </c>
      <c r="R15" s="18">
        <f>IF(ISNUMBER($K$15),CHOOSE(1+($K$15&gt;=1.81)+($K$15&gt;=2.99),"Distress","Grey","Safe"),"")</f>
        <v/>
      </c>
    </row>
    <row r="16">
      <c r="A16" s="19" t="inlineStr">
        <is>
          <t>Z &gt; 2.99 = safe zone · 1.81–2.99 = grey zone · &lt; 1.81 = distress zone.</t>
        </is>
      </c>
    </row>
    <row r="18" ht="20" customHeight="1">
      <c r="A18" s="3" t="inlineStr">
        <is>
          <t>Piotroski F-Score  (fundamental strength, 0–9)</t>
        </is>
      </c>
    </row>
    <row r="19">
      <c r="A19" s="41" t="inlineStr">
        <is>
          <t xml:space="preserve">  ROA = net income / assets</t>
        </is>
      </c>
      <c r="B19" s="43">
        <f>IFERROR('Inputs'!$B$21/'Inputs'!$B$32,"")</f>
        <v/>
      </c>
      <c r="C19" s="43">
        <f>IFERROR('Inputs'!$C$21/'Inputs'!$C$32,"")</f>
        <v/>
      </c>
      <c r="D19" s="43">
        <f>IFERROR('Inputs'!$D$21/'Inputs'!$D$32,"")</f>
        <v/>
      </c>
      <c r="E19" s="43">
        <f>IFERROR('Inputs'!$E$21/'Inputs'!$E$32,"")</f>
        <v/>
      </c>
      <c r="F19" s="43">
        <f>IFERROR('Inputs'!$F$21/'Inputs'!$F$32,"")</f>
        <v/>
      </c>
      <c r="G19" s="43">
        <f>IFERROR('Inputs'!$G$21/'Inputs'!$G$32,"")</f>
        <v/>
      </c>
      <c r="H19" s="43">
        <f>IFERROR('Inputs'!$H$21/'Inputs'!$H$32,"")</f>
        <v/>
      </c>
      <c r="I19" s="43">
        <f>IFERROR('Inputs'!$I$21/'Inputs'!$I$32,"")</f>
        <v/>
      </c>
      <c r="J19" s="43">
        <f>IFERROR('Inputs'!$J$21/'Inputs'!$J$32,"")</f>
        <v/>
      </c>
      <c r="K19" s="43">
        <f>IFERROR('Inputs'!$K$21/'Inputs'!$K$32,"")</f>
        <v/>
      </c>
      <c r="L19" s="43">
        <f>IFERROR('Inputs'!$L$21/'Inputs'!$L$32,"")</f>
        <v/>
      </c>
      <c r="M19" s="43">
        <f>IFERROR('Inputs'!$M$21/'Inputs'!$M$32,"")</f>
        <v/>
      </c>
      <c r="N19" s="43">
        <f>IFERROR('Inputs'!$N$21/'Inputs'!$N$32,"")</f>
        <v/>
      </c>
      <c r="O19" s="43">
        <f>IFERROR('Inputs'!$O$21/'Inputs'!$O$32,"")</f>
        <v/>
      </c>
      <c r="P19" s="43">
        <f>IFERROR('Inputs'!$P$21/'Inputs'!$P$32,"")</f>
        <v/>
      </c>
    </row>
    <row r="20">
      <c r="A20" s="41" t="inlineStr">
        <is>
          <t xml:space="preserve">  Current ratio</t>
        </is>
      </c>
      <c r="B20" s="43">
        <f>IFERROR('Inputs'!$B$27/'Inputs'!$B$37,"")</f>
        <v/>
      </c>
      <c r="C20" s="43">
        <f>IFERROR('Inputs'!$C$27/'Inputs'!$C$37,"")</f>
        <v/>
      </c>
      <c r="D20" s="43">
        <f>IFERROR('Inputs'!$D$27/'Inputs'!$D$37,"")</f>
        <v/>
      </c>
      <c r="E20" s="43">
        <f>IFERROR('Inputs'!$E$27/'Inputs'!$E$37,"")</f>
        <v/>
      </c>
      <c r="F20" s="43">
        <f>IFERROR('Inputs'!$F$27/'Inputs'!$F$37,"")</f>
        <v/>
      </c>
      <c r="G20" s="43">
        <f>IFERROR('Inputs'!$G$27/'Inputs'!$G$37,"")</f>
        <v/>
      </c>
      <c r="H20" s="43">
        <f>IFERROR('Inputs'!$H$27/'Inputs'!$H$37,"")</f>
        <v/>
      </c>
      <c r="I20" s="43">
        <f>IFERROR('Inputs'!$I$27/'Inputs'!$I$37,"")</f>
        <v/>
      </c>
      <c r="J20" s="43">
        <f>IFERROR('Inputs'!$J$27/'Inputs'!$J$37,"")</f>
        <v/>
      </c>
      <c r="K20" s="43">
        <f>IFERROR('Inputs'!$K$27/'Inputs'!$K$37,"")</f>
        <v/>
      </c>
      <c r="L20" s="43">
        <f>IFERROR('Inputs'!$L$27/'Inputs'!$L$37,"")</f>
        <v/>
      </c>
      <c r="M20" s="43">
        <f>IFERROR('Inputs'!$M$27/'Inputs'!$M$37,"")</f>
        <v/>
      </c>
      <c r="N20" s="43">
        <f>IFERROR('Inputs'!$N$27/'Inputs'!$N$37,"")</f>
        <v/>
      </c>
      <c r="O20" s="43">
        <f>IFERROR('Inputs'!$O$27/'Inputs'!$O$37,"")</f>
        <v/>
      </c>
      <c r="P20" s="43">
        <f>IFERROR('Inputs'!$P$27/'Inputs'!$P$37,"")</f>
        <v/>
      </c>
    </row>
    <row r="21">
      <c r="A21" s="41" t="inlineStr">
        <is>
          <t xml:space="preserve">  Gross margin</t>
        </is>
      </c>
      <c r="B21" s="43">
        <f>IFERROR('Inputs'!$B$12/'Inputs'!$B$10,"")</f>
        <v/>
      </c>
      <c r="C21" s="43">
        <f>IFERROR('Inputs'!$C$12/'Inputs'!$C$10,"")</f>
        <v/>
      </c>
      <c r="D21" s="43">
        <f>IFERROR('Inputs'!$D$12/'Inputs'!$D$10,"")</f>
        <v/>
      </c>
      <c r="E21" s="43">
        <f>IFERROR('Inputs'!$E$12/'Inputs'!$E$10,"")</f>
        <v/>
      </c>
      <c r="F21" s="43">
        <f>IFERROR('Inputs'!$F$12/'Inputs'!$F$10,"")</f>
        <v/>
      </c>
      <c r="G21" s="43">
        <f>IFERROR('Inputs'!$G$12/'Inputs'!$G$10,"")</f>
        <v/>
      </c>
      <c r="H21" s="43">
        <f>IFERROR('Inputs'!$H$12/'Inputs'!$H$10,"")</f>
        <v/>
      </c>
      <c r="I21" s="43">
        <f>IFERROR('Inputs'!$I$12/'Inputs'!$I$10,"")</f>
        <v/>
      </c>
      <c r="J21" s="43">
        <f>IFERROR('Inputs'!$J$12/'Inputs'!$J$10,"")</f>
        <v/>
      </c>
      <c r="K21" s="43">
        <f>IFERROR('Inputs'!$K$12/'Inputs'!$K$10,"")</f>
        <v/>
      </c>
      <c r="L21" s="43">
        <f>IFERROR('Inputs'!$L$12/'Inputs'!$L$10,"")</f>
        <v/>
      </c>
      <c r="M21" s="43">
        <f>IFERROR('Inputs'!$M$12/'Inputs'!$M$10,"")</f>
        <v/>
      </c>
      <c r="N21" s="43">
        <f>IFERROR('Inputs'!$N$12/'Inputs'!$N$10,"")</f>
        <v/>
      </c>
      <c r="O21" s="43">
        <f>IFERROR('Inputs'!$O$12/'Inputs'!$O$10,"")</f>
        <v/>
      </c>
      <c r="P21" s="43">
        <f>IFERROR('Inputs'!$P$12/'Inputs'!$P$10,"")</f>
        <v/>
      </c>
    </row>
    <row r="22">
      <c r="A22" s="41" t="inlineStr">
        <is>
          <t xml:space="preserve">  Asset turnover</t>
        </is>
      </c>
      <c r="B22" s="43">
        <f>IFERROR('Inputs'!$B$10/'Inputs'!$B$32,"")</f>
        <v/>
      </c>
      <c r="C22" s="43">
        <f>IFERROR('Inputs'!$C$10/'Inputs'!$C$32,"")</f>
        <v/>
      </c>
      <c r="D22" s="43">
        <f>IFERROR('Inputs'!$D$10/'Inputs'!$D$32,"")</f>
        <v/>
      </c>
      <c r="E22" s="43">
        <f>IFERROR('Inputs'!$E$10/'Inputs'!$E$32,"")</f>
        <v/>
      </c>
      <c r="F22" s="43">
        <f>IFERROR('Inputs'!$F$10/'Inputs'!$F$32,"")</f>
        <v/>
      </c>
      <c r="G22" s="43">
        <f>IFERROR('Inputs'!$G$10/'Inputs'!$G$32,"")</f>
        <v/>
      </c>
      <c r="H22" s="43">
        <f>IFERROR('Inputs'!$H$10/'Inputs'!$H$32,"")</f>
        <v/>
      </c>
      <c r="I22" s="43">
        <f>IFERROR('Inputs'!$I$10/'Inputs'!$I$32,"")</f>
        <v/>
      </c>
      <c r="J22" s="43">
        <f>IFERROR('Inputs'!$J$10/'Inputs'!$J$32,"")</f>
        <v/>
      </c>
      <c r="K22" s="43">
        <f>IFERROR('Inputs'!$K$10/'Inputs'!$K$32,"")</f>
        <v/>
      </c>
      <c r="L22" s="43">
        <f>IFERROR('Inputs'!$L$10/'Inputs'!$L$32,"")</f>
        <v/>
      </c>
      <c r="M22" s="43">
        <f>IFERROR('Inputs'!$M$10/'Inputs'!$M$32,"")</f>
        <v/>
      </c>
      <c r="N22" s="43">
        <f>IFERROR('Inputs'!$N$10/'Inputs'!$N$32,"")</f>
        <v/>
      </c>
      <c r="O22" s="43">
        <f>IFERROR('Inputs'!$O$10/'Inputs'!$O$32,"")</f>
        <v/>
      </c>
      <c r="P22" s="43">
        <f>IFERROR('Inputs'!$P$10/'Inputs'!$P$32,"")</f>
        <v/>
      </c>
    </row>
    <row r="23">
      <c r="A23" s="41" t="inlineStr">
        <is>
          <t xml:space="preserve">  LT debt / assets</t>
        </is>
      </c>
      <c r="B23" s="43">
        <f>IFERROR('Inputs'!$B$38/'Inputs'!$B$32,"")</f>
        <v/>
      </c>
      <c r="C23" s="43">
        <f>IFERROR('Inputs'!$C$38/'Inputs'!$C$32,"")</f>
        <v/>
      </c>
      <c r="D23" s="43">
        <f>IFERROR('Inputs'!$D$38/'Inputs'!$D$32,"")</f>
        <v/>
      </c>
      <c r="E23" s="43">
        <f>IFERROR('Inputs'!$E$38/'Inputs'!$E$32,"")</f>
        <v/>
      </c>
      <c r="F23" s="43">
        <f>IFERROR('Inputs'!$F$38/'Inputs'!$F$32,"")</f>
        <v/>
      </c>
      <c r="G23" s="43">
        <f>IFERROR('Inputs'!$G$38/'Inputs'!$G$32,"")</f>
        <v/>
      </c>
      <c r="H23" s="43">
        <f>IFERROR('Inputs'!$H$38/'Inputs'!$H$32,"")</f>
        <v/>
      </c>
      <c r="I23" s="43">
        <f>IFERROR('Inputs'!$I$38/'Inputs'!$I$32,"")</f>
        <v/>
      </c>
      <c r="J23" s="43">
        <f>IFERROR('Inputs'!$J$38/'Inputs'!$J$32,"")</f>
        <v/>
      </c>
      <c r="K23" s="43">
        <f>IFERROR('Inputs'!$K$38/'Inputs'!$K$32,"")</f>
        <v/>
      </c>
      <c r="L23" s="43">
        <f>IFERROR('Inputs'!$L$38/'Inputs'!$L$32,"")</f>
        <v/>
      </c>
      <c r="M23" s="43">
        <f>IFERROR('Inputs'!$M$38/'Inputs'!$M$32,"")</f>
        <v/>
      </c>
      <c r="N23" s="43">
        <f>IFERROR('Inputs'!$N$38/'Inputs'!$N$32,"")</f>
        <v/>
      </c>
      <c r="O23" s="43">
        <f>IFERROR('Inputs'!$O$38/'Inputs'!$O$32,"")</f>
        <v/>
      </c>
      <c r="P23" s="43">
        <f>IFERROR('Inputs'!$P$38/'Inputs'!$P$32,"")</f>
        <v/>
      </c>
    </row>
    <row r="24">
      <c r="A24" s="41" t="inlineStr">
        <is>
          <t xml:space="preserve">  1. ROA &gt; 0</t>
        </is>
      </c>
      <c r="B24" s="42" t="n"/>
      <c r="C24" s="42">
        <f>('Inputs'!$C$21&gt;0)*1</f>
        <v/>
      </c>
      <c r="D24" s="42">
        <f>('Inputs'!$D$21&gt;0)*1</f>
        <v/>
      </c>
      <c r="E24" s="42">
        <f>('Inputs'!$E$21&gt;0)*1</f>
        <v/>
      </c>
      <c r="F24" s="42">
        <f>('Inputs'!$F$21&gt;0)*1</f>
        <v/>
      </c>
      <c r="G24" s="42">
        <f>('Inputs'!$G$21&gt;0)*1</f>
        <v/>
      </c>
      <c r="H24" s="42">
        <f>('Inputs'!$H$21&gt;0)*1</f>
        <v/>
      </c>
      <c r="I24" s="42">
        <f>('Inputs'!$I$21&gt;0)*1</f>
        <v/>
      </c>
      <c r="J24" s="42">
        <f>('Inputs'!$J$21&gt;0)*1</f>
        <v/>
      </c>
      <c r="K24" s="42">
        <f>('Inputs'!$K$21&gt;0)*1</f>
        <v/>
      </c>
      <c r="L24" s="42">
        <f>('Inputs'!$L$21&gt;0)*1</f>
        <v/>
      </c>
      <c r="M24" s="42">
        <f>('Inputs'!$M$21&gt;0)*1</f>
        <v/>
      </c>
      <c r="N24" s="42">
        <f>('Inputs'!$N$21&gt;0)*1</f>
        <v/>
      </c>
      <c r="O24" s="42">
        <f>('Inputs'!$O$21&gt;0)*1</f>
        <v/>
      </c>
      <c r="P24" s="42">
        <f>('Inputs'!$P$21&gt;0)*1</f>
        <v/>
      </c>
    </row>
    <row r="25">
      <c r="A25" s="41" t="inlineStr">
        <is>
          <t xml:space="preserve">  2. Operating cash flow &gt; 0</t>
        </is>
      </c>
      <c r="B25" s="42" t="n"/>
      <c r="C25" s="42">
        <f>('Inputs'!$C$46&gt;0)*1</f>
        <v/>
      </c>
      <c r="D25" s="42">
        <f>('Inputs'!$D$46&gt;0)*1</f>
        <v/>
      </c>
      <c r="E25" s="42">
        <f>('Inputs'!$E$46&gt;0)*1</f>
        <v/>
      </c>
      <c r="F25" s="42">
        <f>('Inputs'!$F$46&gt;0)*1</f>
        <v/>
      </c>
      <c r="G25" s="42">
        <f>('Inputs'!$G$46&gt;0)*1</f>
        <v/>
      </c>
      <c r="H25" s="42">
        <f>('Inputs'!$H$46&gt;0)*1</f>
        <v/>
      </c>
      <c r="I25" s="42">
        <f>('Inputs'!$I$46&gt;0)*1</f>
        <v/>
      </c>
      <c r="J25" s="42">
        <f>('Inputs'!$J$46&gt;0)*1</f>
        <v/>
      </c>
      <c r="K25" s="42">
        <f>('Inputs'!$K$46&gt;0)*1</f>
        <v/>
      </c>
      <c r="L25" s="42">
        <f>('Inputs'!$L$46&gt;0)*1</f>
        <v/>
      </c>
      <c r="M25" s="42">
        <f>('Inputs'!$M$46&gt;0)*1</f>
        <v/>
      </c>
      <c r="N25" s="42">
        <f>('Inputs'!$N$46&gt;0)*1</f>
        <v/>
      </c>
      <c r="O25" s="42">
        <f>('Inputs'!$O$46&gt;0)*1</f>
        <v/>
      </c>
      <c r="P25" s="42">
        <f>('Inputs'!$P$46&gt;0)*1</f>
        <v/>
      </c>
    </row>
    <row r="26">
      <c r="A26" s="41" t="inlineStr">
        <is>
          <t xml:space="preserve">  3. ROA improved</t>
        </is>
      </c>
      <c r="B26" s="42" t="n"/>
      <c r="C26" s="42">
        <f>('Quality'!$C$19&gt;'Quality'!$B$19)*1</f>
        <v/>
      </c>
      <c r="D26" s="42">
        <f>('Quality'!$D$19&gt;'Quality'!$C$19)*1</f>
        <v/>
      </c>
      <c r="E26" s="42">
        <f>('Quality'!$E$19&gt;'Quality'!$D$19)*1</f>
        <v/>
      </c>
      <c r="F26" s="42">
        <f>('Quality'!$F$19&gt;'Quality'!$E$19)*1</f>
        <v/>
      </c>
      <c r="G26" s="42">
        <f>('Quality'!$G$19&gt;'Quality'!$F$19)*1</f>
        <v/>
      </c>
      <c r="H26" s="42">
        <f>('Quality'!$H$19&gt;'Quality'!$G$19)*1</f>
        <v/>
      </c>
      <c r="I26" s="42">
        <f>('Quality'!$I$19&gt;'Quality'!$H$19)*1</f>
        <v/>
      </c>
      <c r="J26" s="42">
        <f>('Quality'!$J$19&gt;'Quality'!$I$19)*1</f>
        <v/>
      </c>
      <c r="K26" s="42">
        <f>('Quality'!$K$19&gt;'Quality'!$J$19)*1</f>
        <v/>
      </c>
      <c r="L26" s="42">
        <f>('Quality'!$L$19&gt;'Quality'!$K$19)*1</f>
        <v/>
      </c>
      <c r="M26" s="42">
        <f>('Quality'!$M$19&gt;'Quality'!$L$19)*1</f>
        <v/>
      </c>
      <c r="N26" s="42">
        <f>('Quality'!$N$19&gt;'Quality'!$M$19)*1</f>
        <v/>
      </c>
      <c r="O26" s="42">
        <f>('Quality'!$O$19&gt;'Quality'!$N$19)*1</f>
        <v/>
      </c>
      <c r="P26" s="42">
        <f>('Quality'!$P$19&gt;'Quality'!$O$19)*1</f>
        <v/>
      </c>
    </row>
    <row r="27">
      <c r="A27" s="41" t="inlineStr">
        <is>
          <t xml:space="preserve">  4. CFO &gt; net income (accruals)</t>
        </is>
      </c>
      <c r="B27" s="42" t="n"/>
      <c r="C27" s="42">
        <f>('Inputs'!$C$46&gt;'Inputs'!$C$21)*1</f>
        <v/>
      </c>
      <c r="D27" s="42">
        <f>('Inputs'!$D$46&gt;'Inputs'!$D$21)*1</f>
        <v/>
      </c>
      <c r="E27" s="42">
        <f>('Inputs'!$E$46&gt;'Inputs'!$E$21)*1</f>
        <v/>
      </c>
      <c r="F27" s="42">
        <f>('Inputs'!$F$46&gt;'Inputs'!$F$21)*1</f>
        <v/>
      </c>
      <c r="G27" s="42">
        <f>('Inputs'!$G$46&gt;'Inputs'!$G$21)*1</f>
        <v/>
      </c>
      <c r="H27" s="42">
        <f>('Inputs'!$H$46&gt;'Inputs'!$H$21)*1</f>
        <v/>
      </c>
      <c r="I27" s="42">
        <f>('Inputs'!$I$46&gt;'Inputs'!$I$21)*1</f>
        <v/>
      </c>
      <c r="J27" s="42">
        <f>('Inputs'!$J$46&gt;'Inputs'!$J$21)*1</f>
        <v/>
      </c>
      <c r="K27" s="42">
        <f>('Inputs'!$K$46&gt;'Inputs'!$K$21)*1</f>
        <v/>
      </c>
      <c r="L27" s="42">
        <f>('Inputs'!$L$46&gt;'Inputs'!$L$21)*1</f>
        <v/>
      </c>
      <c r="M27" s="42">
        <f>('Inputs'!$M$46&gt;'Inputs'!$M$21)*1</f>
        <v/>
      </c>
      <c r="N27" s="42">
        <f>('Inputs'!$N$46&gt;'Inputs'!$N$21)*1</f>
        <v/>
      </c>
      <c r="O27" s="42">
        <f>('Inputs'!$O$46&gt;'Inputs'!$O$21)*1</f>
        <v/>
      </c>
      <c r="P27" s="42">
        <f>('Inputs'!$P$46&gt;'Inputs'!$P$21)*1</f>
        <v/>
      </c>
    </row>
    <row r="28">
      <c r="A28" s="41" t="inlineStr">
        <is>
          <t xml:space="preserve">  5. Lower leverage</t>
        </is>
      </c>
      <c r="B28" s="42" t="n"/>
      <c r="C28" s="42">
        <f>('Quality'!$C$23&lt;'Quality'!$B$23)*1</f>
        <v/>
      </c>
      <c r="D28" s="42">
        <f>('Quality'!$D$23&lt;'Quality'!$C$23)*1</f>
        <v/>
      </c>
      <c r="E28" s="42">
        <f>('Quality'!$E$23&lt;'Quality'!$D$23)*1</f>
        <v/>
      </c>
      <c r="F28" s="42">
        <f>('Quality'!$F$23&lt;'Quality'!$E$23)*1</f>
        <v/>
      </c>
      <c r="G28" s="42">
        <f>('Quality'!$G$23&lt;'Quality'!$F$23)*1</f>
        <v/>
      </c>
      <c r="H28" s="42">
        <f>('Quality'!$H$23&lt;'Quality'!$G$23)*1</f>
        <v/>
      </c>
      <c r="I28" s="42">
        <f>('Quality'!$I$23&lt;'Quality'!$H$23)*1</f>
        <v/>
      </c>
      <c r="J28" s="42">
        <f>('Quality'!$J$23&lt;'Quality'!$I$23)*1</f>
        <v/>
      </c>
      <c r="K28" s="42">
        <f>('Quality'!$K$23&lt;'Quality'!$J$23)*1</f>
        <v/>
      </c>
      <c r="L28" s="42">
        <f>('Quality'!$L$23&lt;'Quality'!$K$23)*1</f>
        <v/>
      </c>
      <c r="M28" s="42">
        <f>('Quality'!$M$23&lt;'Quality'!$L$23)*1</f>
        <v/>
      </c>
      <c r="N28" s="42">
        <f>('Quality'!$N$23&lt;'Quality'!$M$23)*1</f>
        <v/>
      </c>
      <c r="O28" s="42">
        <f>('Quality'!$O$23&lt;'Quality'!$N$23)*1</f>
        <v/>
      </c>
      <c r="P28" s="42">
        <f>('Quality'!$P$23&lt;'Quality'!$O$23)*1</f>
        <v/>
      </c>
    </row>
    <row r="29">
      <c r="A29" s="41" t="inlineStr">
        <is>
          <t xml:space="preserve">  6. Higher current ratio</t>
        </is>
      </c>
      <c r="B29" s="42" t="n"/>
      <c r="C29" s="42">
        <f>('Quality'!$C$20&gt;'Quality'!$B$20)*1</f>
        <v/>
      </c>
      <c r="D29" s="42">
        <f>('Quality'!$D$20&gt;'Quality'!$C$20)*1</f>
        <v/>
      </c>
      <c r="E29" s="42">
        <f>('Quality'!$E$20&gt;'Quality'!$D$20)*1</f>
        <v/>
      </c>
      <c r="F29" s="42">
        <f>('Quality'!$F$20&gt;'Quality'!$E$20)*1</f>
        <v/>
      </c>
      <c r="G29" s="42">
        <f>('Quality'!$G$20&gt;'Quality'!$F$20)*1</f>
        <v/>
      </c>
      <c r="H29" s="42">
        <f>('Quality'!$H$20&gt;'Quality'!$G$20)*1</f>
        <v/>
      </c>
      <c r="I29" s="42">
        <f>('Quality'!$I$20&gt;'Quality'!$H$20)*1</f>
        <v/>
      </c>
      <c r="J29" s="42">
        <f>('Quality'!$J$20&gt;'Quality'!$I$20)*1</f>
        <v/>
      </c>
      <c r="K29" s="42">
        <f>('Quality'!$K$20&gt;'Quality'!$J$20)*1</f>
        <v/>
      </c>
      <c r="L29" s="42">
        <f>('Quality'!$L$20&gt;'Quality'!$K$20)*1</f>
        <v/>
      </c>
      <c r="M29" s="42">
        <f>('Quality'!$M$20&gt;'Quality'!$L$20)*1</f>
        <v/>
      </c>
      <c r="N29" s="42">
        <f>('Quality'!$N$20&gt;'Quality'!$M$20)*1</f>
        <v/>
      </c>
      <c r="O29" s="42">
        <f>('Quality'!$O$20&gt;'Quality'!$N$20)*1</f>
        <v/>
      </c>
      <c r="P29" s="42">
        <f>('Quality'!$P$20&gt;'Quality'!$O$20)*1</f>
        <v/>
      </c>
    </row>
    <row r="30">
      <c r="A30" s="41" t="inlineStr">
        <is>
          <t xml:space="preserve">  7. No new shares</t>
        </is>
      </c>
      <c r="B30" s="42" t="n"/>
      <c r="C30" s="42">
        <f>('Inputs'!$C$53&lt;='Inputs'!$B$53)*1</f>
        <v/>
      </c>
      <c r="D30" s="42">
        <f>('Inputs'!$D$53&lt;='Inputs'!$C$53)*1</f>
        <v/>
      </c>
      <c r="E30" s="42">
        <f>('Inputs'!$E$53&lt;='Inputs'!$D$53)*1</f>
        <v/>
      </c>
      <c r="F30" s="42">
        <f>('Inputs'!$F$53&lt;='Inputs'!$E$53)*1</f>
        <v/>
      </c>
      <c r="G30" s="42">
        <f>('Inputs'!$G$53&lt;='Inputs'!$F$53)*1</f>
        <v/>
      </c>
      <c r="H30" s="42">
        <f>('Inputs'!$H$53&lt;='Inputs'!$G$53)*1</f>
        <v/>
      </c>
      <c r="I30" s="42">
        <f>('Inputs'!$I$53&lt;='Inputs'!$H$53)*1</f>
        <v/>
      </c>
      <c r="J30" s="42">
        <f>('Inputs'!$J$53&lt;='Inputs'!$I$53)*1</f>
        <v/>
      </c>
      <c r="K30" s="42">
        <f>('Inputs'!$K$53&lt;='Inputs'!$J$53)*1</f>
        <v/>
      </c>
      <c r="L30" s="42">
        <f>('Inputs'!$L$53&lt;='Inputs'!$K$53)*1</f>
        <v/>
      </c>
      <c r="M30" s="42">
        <f>('Inputs'!$M$53&lt;='Inputs'!$L$53)*1</f>
        <v/>
      </c>
      <c r="N30" s="42">
        <f>('Inputs'!$N$53&lt;='Inputs'!$M$53)*1</f>
        <v/>
      </c>
      <c r="O30" s="42">
        <f>('Inputs'!$O$53&lt;='Inputs'!$N$53)*1</f>
        <v/>
      </c>
      <c r="P30" s="42">
        <f>('Inputs'!$P$53&lt;='Inputs'!$O$53)*1</f>
        <v/>
      </c>
    </row>
    <row r="31">
      <c r="A31" s="41" t="inlineStr">
        <is>
          <t xml:space="preserve">  8. Higher gross margin</t>
        </is>
      </c>
      <c r="B31" s="42" t="n"/>
      <c r="C31" s="42">
        <f>('Quality'!$C$21&gt;'Quality'!$B$21)*1</f>
        <v/>
      </c>
      <c r="D31" s="42">
        <f>('Quality'!$D$21&gt;'Quality'!$C$21)*1</f>
        <v/>
      </c>
      <c r="E31" s="42">
        <f>('Quality'!$E$21&gt;'Quality'!$D$21)*1</f>
        <v/>
      </c>
      <c r="F31" s="42">
        <f>('Quality'!$F$21&gt;'Quality'!$E$21)*1</f>
        <v/>
      </c>
      <c r="G31" s="42">
        <f>('Quality'!$G$21&gt;'Quality'!$F$21)*1</f>
        <v/>
      </c>
      <c r="H31" s="42">
        <f>('Quality'!$H$21&gt;'Quality'!$G$21)*1</f>
        <v/>
      </c>
      <c r="I31" s="42">
        <f>('Quality'!$I$21&gt;'Quality'!$H$21)*1</f>
        <v/>
      </c>
      <c r="J31" s="42">
        <f>('Quality'!$J$21&gt;'Quality'!$I$21)*1</f>
        <v/>
      </c>
      <c r="K31" s="42">
        <f>('Quality'!$K$21&gt;'Quality'!$J$21)*1</f>
        <v/>
      </c>
      <c r="L31" s="42">
        <f>('Quality'!$L$21&gt;'Quality'!$K$21)*1</f>
        <v/>
      </c>
      <c r="M31" s="42">
        <f>('Quality'!$M$21&gt;'Quality'!$L$21)*1</f>
        <v/>
      </c>
      <c r="N31" s="42">
        <f>('Quality'!$N$21&gt;'Quality'!$M$21)*1</f>
        <v/>
      </c>
      <c r="O31" s="42">
        <f>('Quality'!$O$21&gt;'Quality'!$N$21)*1</f>
        <v/>
      </c>
      <c r="P31" s="42">
        <f>('Quality'!$P$21&gt;'Quality'!$O$21)*1</f>
        <v/>
      </c>
    </row>
    <row r="32">
      <c r="A32" s="41" t="inlineStr">
        <is>
          <t xml:space="preserve">  9. Higher asset turnover</t>
        </is>
      </c>
      <c r="B32" s="42" t="n"/>
      <c r="C32" s="42">
        <f>('Quality'!$C$22&gt;'Quality'!$B$22)*1</f>
        <v/>
      </c>
      <c r="D32" s="42">
        <f>('Quality'!$D$22&gt;'Quality'!$C$22)*1</f>
        <v/>
      </c>
      <c r="E32" s="42">
        <f>('Quality'!$E$22&gt;'Quality'!$D$22)*1</f>
        <v/>
      </c>
      <c r="F32" s="42">
        <f>('Quality'!$F$22&gt;'Quality'!$E$22)*1</f>
        <v/>
      </c>
      <c r="G32" s="42">
        <f>('Quality'!$G$22&gt;'Quality'!$F$22)*1</f>
        <v/>
      </c>
      <c r="H32" s="42">
        <f>('Quality'!$H$22&gt;'Quality'!$G$22)*1</f>
        <v/>
      </c>
      <c r="I32" s="42">
        <f>('Quality'!$I$22&gt;'Quality'!$H$22)*1</f>
        <v/>
      </c>
      <c r="J32" s="42">
        <f>('Quality'!$J$22&gt;'Quality'!$I$22)*1</f>
        <v/>
      </c>
      <c r="K32" s="42">
        <f>('Quality'!$K$22&gt;'Quality'!$J$22)*1</f>
        <v/>
      </c>
      <c r="L32" s="42">
        <f>('Quality'!$L$22&gt;'Quality'!$K$22)*1</f>
        <v/>
      </c>
      <c r="M32" s="42">
        <f>('Quality'!$M$22&gt;'Quality'!$L$22)*1</f>
        <v/>
      </c>
      <c r="N32" s="42">
        <f>('Quality'!$N$22&gt;'Quality'!$M$22)*1</f>
        <v/>
      </c>
      <c r="O32" s="42">
        <f>('Quality'!$O$22&gt;'Quality'!$N$22)*1</f>
        <v/>
      </c>
      <c r="P32" s="42">
        <f>('Quality'!$P$22&gt;'Quality'!$O$22)*1</f>
        <v/>
      </c>
    </row>
    <row r="33">
      <c r="A33" s="12" t="inlineStr">
        <is>
          <t>Piotroski F-Score (/9)</t>
        </is>
      </c>
      <c r="B33" s="22" t="n"/>
      <c r="C33" s="22">
        <f>SUM('Quality'!$C$24,'Quality'!$C$25,'Quality'!$C$26,'Quality'!$C$27,'Quality'!$C$28,'Quality'!$C$29,'Quality'!$C$30,'Quality'!$C$31,'Quality'!$C$32)</f>
        <v/>
      </c>
      <c r="D33" s="22">
        <f>SUM('Quality'!$D$24,'Quality'!$D$25,'Quality'!$D$26,'Quality'!$D$27,'Quality'!$D$28,'Quality'!$D$29,'Quality'!$D$30,'Quality'!$D$31,'Quality'!$D$32)</f>
        <v/>
      </c>
      <c r="E33" s="22">
        <f>SUM('Quality'!$E$24,'Quality'!$E$25,'Quality'!$E$26,'Quality'!$E$27,'Quality'!$E$28,'Quality'!$E$29,'Quality'!$E$30,'Quality'!$E$31,'Quality'!$E$32)</f>
        <v/>
      </c>
      <c r="F33" s="22">
        <f>SUM('Quality'!$F$24,'Quality'!$F$25,'Quality'!$F$26,'Quality'!$F$27,'Quality'!$F$28,'Quality'!$F$29,'Quality'!$F$30,'Quality'!$F$31,'Quality'!$F$32)</f>
        <v/>
      </c>
      <c r="G33" s="22">
        <f>SUM('Quality'!$G$24,'Quality'!$G$25,'Quality'!$G$26,'Quality'!$G$27,'Quality'!$G$28,'Quality'!$G$29,'Quality'!$G$30,'Quality'!$G$31,'Quality'!$G$32)</f>
        <v/>
      </c>
      <c r="H33" s="22">
        <f>SUM('Quality'!$H$24,'Quality'!$H$25,'Quality'!$H$26,'Quality'!$H$27,'Quality'!$H$28,'Quality'!$H$29,'Quality'!$H$30,'Quality'!$H$31,'Quality'!$H$32)</f>
        <v/>
      </c>
      <c r="I33" s="22">
        <f>SUM('Quality'!$I$24,'Quality'!$I$25,'Quality'!$I$26,'Quality'!$I$27,'Quality'!$I$28,'Quality'!$I$29,'Quality'!$I$30,'Quality'!$I$31,'Quality'!$I$32)</f>
        <v/>
      </c>
      <c r="J33" s="22">
        <f>SUM('Quality'!$J$24,'Quality'!$J$25,'Quality'!$J$26,'Quality'!$J$27,'Quality'!$J$28,'Quality'!$J$29,'Quality'!$J$30,'Quality'!$J$31,'Quality'!$J$32)</f>
        <v/>
      </c>
      <c r="K33" s="22">
        <f>SUM('Quality'!$K$24,'Quality'!$K$25,'Quality'!$K$26,'Quality'!$K$27,'Quality'!$K$28,'Quality'!$K$29,'Quality'!$K$30,'Quality'!$K$31,'Quality'!$K$32)</f>
        <v/>
      </c>
      <c r="L33" s="22">
        <f>SUM('Quality'!$L$24,'Quality'!$L$25,'Quality'!$L$26,'Quality'!$L$27,'Quality'!$L$28,'Quality'!$L$29,'Quality'!$L$30,'Quality'!$L$31,'Quality'!$L$32)</f>
        <v/>
      </c>
      <c r="M33" s="22">
        <f>SUM('Quality'!$M$24,'Quality'!$M$25,'Quality'!$M$26,'Quality'!$M$27,'Quality'!$M$28,'Quality'!$M$29,'Quality'!$M$30,'Quality'!$M$31,'Quality'!$M$32)</f>
        <v/>
      </c>
      <c r="N33" s="22">
        <f>SUM('Quality'!$N$24,'Quality'!$N$25,'Quality'!$N$26,'Quality'!$N$27,'Quality'!$N$28,'Quality'!$N$29,'Quality'!$N$30,'Quality'!$N$31,'Quality'!$N$32)</f>
        <v/>
      </c>
      <c r="O33" s="22">
        <f>SUM('Quality'!$O$24,'Quality'!$O$25,'Quality'!$O$26,'Quality'!$O$27,'Quality'!$O$28,'Quality'!$O$29,'Quality'!$O$30,'Quality'!$O$31,'Quality'!$O$32)</f>
        <v/>
      </c>
      <c r="P33" s="22">
        <f>SUM('Quality'!$P$24,'Quality'!$P$25,'Quality'!$P$26,'Quality'!$P$27,'Quality'!$P$28,'Quality'!$P$29,'Quality'!$P$30,'Quality'!$P$31,'Quality'!$P$32)</f>
        <v/>
      </c>
      <c r="Q33" s="18">
        <f>IF(AND(ISNUMBER($K$33),ISNUMBER($J$33)),CHOOSE(2+($K$33&gt;$J$33)-($K$33&lt;$J$33),"▼","►","▲"),"")</f>
        <v/>
      </c>
      <c r="R33" s="18">
        <f>IF(ISNUMBER($K$33),CHOOSE(1+($K$33&gt;=3)+($K$33&gt;=7),"Weak","Average","Strong"),"")</f>
        <v/>
      </c>
    </row>
    <row r="35" ht="20" customHeight="1">
      <c r="A35" s="3" t="inlineStr">
        <is>
          <t>Beneish M-Score  (earnings-manipulation risk)</t>
        </is>
      </c>
    </row>
    <row r="36">
      <c r="A36" s="41" t="inlineStr">
        <is>
          <t xml:space="preserve">  DSRI (receivables/sales index)</t>
        </is>
      </c>
      <c r="B36" s="43" t="n"/>
      <c r="C36" s="43">
        <f>IFERROR(('Inputs'!$C$24/'Inputs'!$C$10)/('Inputs'!$B$24/'Inputs'!$B$10),"")</f>
        <v/>
      </c>
      <c r="D36" s="43">
        <f>IFERROR(('Inputs'!$D$24/'Inputs'!$D$10)/('Inputs'!$C$24/'Inputs'!$C$10),"")</f>
        <v/>
      </c>
      <c r="E36" s="43">
        <f>IFERROR(('Inputs'!$E$24/'Inputs'!$E$10)/('Inputs'!$D$24/'Inputs'!$D$10),"")</f>
        <v/>
      </c>
      <c r="F36" s="43">
        <f>IFERROR(('Inputs'!$F$24/'Inputs'!$F$10)/('Inputs'!$E$24/'Inputs'!$E$10),"")</f>
        <v/>
      </c>
      <c r="G36" s="43">
        <f>IFERROR(('Inputs'!$G$24/'Inputs'!$G$10)/('Inputs'!$F$24/'Inputs'!$F$10),"")</f>
        <v/>
      </c>
      <c r="H36" s="43">
        <f>IFERROR(('Inputs'!$H$24/'Inputs'!$H$10)/('Inputs'!$G$24/'Inputs'!$G$10),"")</f>
        <v/>
      </c>
      <c r="I36" s="43">
        <f>IFERROR(('Inputs'!$I$24/'Inputs'!$I$10)/('Inputs'!$H$24/'Inputs'!$H$10),"")</f>
        <v/>
      </c>
      <c r="J36" s="43">
        <f>IFERROR(('Inputs'!$J$24/'Inputs'!$J$10)/('Inputs'!$I$24/'Inputs'!$I$10),"")</f>
        <v/>
      </c>
      <c r="K36" s="43">
        <f>IFERROR(('Inputs'!$K$24/'Inputs'!$K$10)/('Inputs'!$J$24/'Inputs'!$J$10),"")</f>
        <v/>
      </c>
      <c r="L36" s="43">
        <f>IFERROR(('Inputs'!$L$24/'Inputs'!$L$10)/('Inputs'!$K$24/'Inputs'!$K$10),"")</f>
        <v/>
      </c>
      <c r="M36" s="43">
        <f>IFERROR(('Inputs'!$M$24/'Inputs'!$M$10)/('Inputs'!$L$24/'Inputs'!$L$10),"")</f>
        <v/>
      </c>
      <c r="N36" s="43">
        <f>IFERROR(('Inputs'!$N$24/'Inputs'!$N$10)/('Inputs'!$M$24/'Inputs'!$M$10),"")</f>
        <v/>
      </c>
      <c r="O36" s="43">
        <f>IFERROR(('Inputs'!$O$24/'Inputs'!$O$10)/('Inputs'!$N$24/'Inputs'!$N$10),"")</f>
        <v/>
      </c>
      <c r="P36" s="43">
        <f>IFERROR(('Inputs'!$P$24/'Inputs'!$P$10)/('Inputs'!$O$24/'Inputs'!$O$10),"")</f>
        <v/>
      </c>
    </row>
    <row r="37">
      <c r="A37" s="41" t="inlineStr">
        <is>
          <t xml:space="preserve">  GMI (gross-margin index)</t>
        </is>
      </c>
      <c r="B37" s="43" t="n"/>
      <c r="C37" s="43">
        <f>IFERROR(('Inputs'!$B$12/'Inputs'!$B$10)/('Inputs'!$C$12/'Inputs'!$C$10),"")</f>
        <v/>
      </c>
      <c r="D37" s="43">
        <f>IFERROR(('Inputs'!$C$12/'Inputs'!$C$10)/('Inputs'!$D$12/'Inputs'!$D$10),"")</f>
        <v/>
      </c>
      <c r="E37" s="43">
        <f>IFERROR(('Inputs'!$D$12/'Inputs'!$D$10)/('Inputs'!$E$12/'Inputs'!$E$10),"")</f>
        <v/>
      </c>
      <c r="F37" s="43">
        <f>IFERROR(('Inputs'!$E$12/'Inputs'!$E$10)/('Inputs'!$F$12/'Inputs'!$F$10),"")</f>
        <v/>
      </c>
      <c r="G37" s="43">
        <f>IFERROR(('Inputs'!$F$12/'Inputs'!$F$10)/('Inputs'!$G$12/'Inputs'!$G$10),"")</f>
        <v/>
      </c>
      <c r="H37" s="43">
        <f>IFERROR(('Inputs'!$G$12/'Inputs'!$G$10)/('Inputs'!$H$12/'Inputs'!$H$10),"")</f>
        <v/>
      </c>
      <c r="I37" s="43">
        <f>IFERROR(('Inputs'!$H$12/'Inputs'!$H$10)/('Inputs'!$I$12/'Inputs'!$I$10),"")</f>
        <v/>
      </c>
      <c r="J37" s="43">
        <f>IFERROR(('Inputs'!$I$12/'Inputs'!$I$10)/('Inputs'!$J$12/'Inputs'!$J$10),"")</f>
        <v/>
      </c>
      <c r="K37" s="43">
        <f>IFERROR(('Inputs'!$J$12/'Inputs'!$J$10)/('Inputs'!$K$12/'Inputs'!$K$10),"")</f>
        <v/>
      </c>
      <c r="L37" s="43">
        <f>IFERROR(('Inputs'!$K$12/'Inputs'!$K$10)/('Inputs'!$L$12/'Inputs'!$L$10),"")</f>
        <v/>
      </c>
      <c r="M37" s="43">
        <f>IFERROR(('Inputs'!$L$12/'Inputs'!$L$10)/('Inputs'!$M$12/'Inputs'!$M$10),"")</f>
        <v/>
      </c>
      <c r="N37" s="43">
        <f>IFERROR(('Inputs'!$M$12/'Inputs'!$M$10)/('Inputs'!$N$12/'Inputs'!$N$10),"")</f>
        <v/>
      </c>
      <c r="O37" s="43">
        <f>IFERROR(('Inputs'!$N$12/'Inputs'!$N$10)/('Inputs'!$O$12/'Inputs'!$O$10),"")</f>
        <v/>
      </c>
      <c r="P37" s="43">
        <f>IFERROR(('Inputs'!$O$12/'Inputs'!$O$10)/('Inputs'!$P$12/'Inputs'!$P$10),"")</f>
        <v/>
      </c>
    </row>
    <row r="38">
      <c r="A38" s="41" t="inlineStr">
        <is>
          <t xml:space="preserve">  AQI (asset-quality index)</t>
        </is>
      </c>
      <c r="B38" s="43" t="n"/>
      <c r="C38" s="43">
        <f>IFERROR((1-('Inputs'!$C$27+'Inputs'!$C$28)/'Inputs'!$C$32)/(1-('Inputs'!$B$27+'Inputs'!$B$28)/'Inputs'!$B$32),"")</f>
        <v/>
      </c>
      <c r="D38" s="43">
        <f>IFERROR((1-('Inputs'!$D$27+'Inputs'!$D$28)/'Inputs'!$D$32)/(1-('Inputs'!$C$27+'Inputs'!$C$28)/'Inputs'!$C$32),"")</f>
        <v/>
      </c>
      <c r="E38" s="43">
        <f>IFERROR((1-('Inputs'!$E$27+'Inputs'!$E$28)/'Inputs'!$E$32)/(1-('Inputs'!$D$27+'Inputs'!$D$28)/'Inputs'!$D$32),"")</f>
        <v/>
      </c>
      <c r="F38" s="43">
        <f>IFERROR((1-('Inputs'!$F$27+'Inputs'!$F$28)/'Inputs'!$F$32)/(1-('Inputs'!$E$27+'Inputs'!$E$28)/'Inputs'!$E$32),"")</f>
        <v/>
      </c>
      <c r="G38" s="43">
        <f>IFERROR((1-('Inputs'!$G$27+'Inputs'!$G$28)/'Inputs'!$G$32)/(1-('Inputs'!$F$27+'Inputs'!$F$28)/'Inputs'!$F$32),"")</f>
        <v/>
      </c>
      <c r="H38" s="43">
        <f>IFERROR((1-('Inputs'!$H$27+'Inputs'!$H$28)/'Inputs'!$H$32)/(1-('Inputs'!$G$27+'Inputs'!$G$28)/'Inputs'!$G$32),"")</f>
        <v/>
      </c>
      <c r="I38" s="43">
        <f>IFERROR((1-('Inputs'!$I$27+'Inputs'!$I$28)/'Inputs'!$I$32)/(1-('Inputs'!$H$27+'Inputs'!$H$28)/'Inputs'!$H$32),"")</f>
        <v/>
      </c>
      <c r="J38" s="43">
        <f>IFERROR((1-('Inputs'!$J$27+'Inputs'!$J$28)/'Inputs'!$J$32)/(1-('Inputs'!$I$27+'Inputs'!$I$28)/'Inputs'!$I$32),"")</f>
        <v/>
      </c>
      <c r="K38" s="43">
        <f>IFERROR((1-('Inputs'!$K$27+'Inputs'!$K$28)/'Inputs'!$K$32)/(1-('Inputs'!$J$27+'Inputs'!$J$28)/'Inputs'!$J$32),"")</f>
        <v/>
      </c>
      <c r="L38" s="43">
        <f>IFERROR((1-('Inputs'!$L$27+'Inputs'!$L$28)/'Inputs'!$L$32)/(1-('Inputs'!$K$27+'Inputs'!$K$28)/'Inputs'!$K$32),"")</f>
        <v/>
      </c>
      <c r="M38" s="43">
        <f>IFERROR((1-('Inputs'!$M$27+'Inputs'!$M$28)/'Inputs'!$M$32)/(1-('Inputs'!$L$27+'Inputs'!$L$28)/'Inputs'!$L$32),"")</f>
        <v/>
      </c>
      <c r="N38" s="43">
        <f>IFERROR((1-('Inputs'!$N$27+'Inputs'!$N$28)/'Inputs'!$N$32)/(1-('Inputs'!$M$27+'Inputs'!$M$28)/'Inputs'!$M$32),"")</f>
        <v/>
      </c>
      <c r="O38" s="43">
        <f>IFERROR((1-('Inputs'!$O$27+'Inputs'!$O$28)/'Inputs'!$O$32)/(1-('Inputs'!$N$27+'Inputs'!$N$28)/'Inputs'!$N$32),"")</f>
        <v/>
      </c>
      <c r="P38" s="43">
        <f>IFERROR((1-('Inputs'!$P$27+'Inputs'!$P$28)/'Inputs'!$P$32)/(1-('Inputs'!$O$27+'Inputs'!$O$28)/'Inputs'!$O$32),"")</f>
        <v/>
      </c>
    </row>
    <row r="39">
      <c r="A39" s="41" t="inlineStr">
        <is>
          <t xml:space="preserve">  SGI (sales-growth index)</t>
        </is>
      </c>
      <c r="B39" s="43" t="n"/>
      <c r="C39" s="43">
        <f>IFERROR('Inputs'!$C$10/'Inputs'!$B$10,"")</f>
        <v/>
      </c>
      <c r="D39" s="43">
        <f>IFERROR('Inputs'!$D$10/'Inputs'!$C$10,"")</f>
        <v/>
      </c>
      <c r="E39" s="43">
        <f>IFERROR('Inputs'!$E$10/'Inputs'!$D$10,"")</f>
        <v/>
      </c>
      <c r="F39" s="43">
        <f>IFERROR('Inputs'!$F$10/'Inputs'!$E$10,"")</f>
        <v/>
      </c>
      <c r="G39" s="43">
        <f>IFERROR('Inputs'!$G$10/'Inputs'!$F$10,"")</f>
        <v/>
      </c>
      <c r="H39" s="43">
        <f>IFERROR('Inputs'!$H$10/'Inputs'!$G$10,"")</f>
        <v/>
      </c>
      <c r="I39" s="43">
        <f>IFERROR('Inputs'!$I$10/'Inputs'!$H$10,"")</f>
        <v/>
      </c>
      <c r="J39" s="43">
        <f>IFERROR('Inputs'!$J$10/'Inputs'!$I$10,"")</f>
        <v/>
      </c>
      <c r="K39" s="43">
        <f>IFERROR('Inputs'!$K$10/'Inputs'!$J$10,"")</f>
        <v/>
      </c>
      <c r="L39" s="43">
        <f>IFERROR('Inputs'!$L$10/'Inputs'!$K$10,"")</f>
        <v/>
      </c>
      <c r="M39" s="43">
        <f>IFERROR('Inputs'!$M$10/'Inputs'!$L$10,"")</f>
        <v/>
      </c>
      <c r="N39" s="43">
        <f>IFERROR('Inputs'!$N$10/'Inputs'!$M$10,"")</f>
        <v/>
      </c>
      <c r="O39" s="43">
        <f>IFERROR('Inputs'!$O$10/'Inputs'!$N$10,"")</f>
        <v/>
      </c>
      <c r="P39" s="43">
        <f>IFERROR('Inputs'!$P$10/'Inputs'!$O$10,"")</f>
        <v/>
      </c>
    </row>
    <row r="40">
      <c r="A40" s="41" t="inlineStr">
        <is>
          <t xml:space="preserve">  DEPI (depreciation index)</t>
        </is>
      </c>
      <c r="B40" s="43" t="n"/>
      <c r="C40" s="43">
        <f>IFERROR(('Inputs'!$B$15/('Inputs'!$B$15+'Inputs'!$B$28))/('Inputs'!$C$15/('Inputs'!$C$15+'Inputs'!$C$28)),"")</f>
        <v/>
      </c>
      <c r="D40" s="43">
        <f>IFERROR(('Inputs'!$C$15/('Inputs'!$C$15+'Inputs'!$C$28))/('Inputs'!$D$15/('Inputs'!$D$15+'Inputs'!$D$28)),"")</f>
        <v/>
      </c>
      <c r="E40" s="43">
        <f>IFERROR(('Inputs'!$D$15/('Inputs'!$D$15+'Inputs'!$D$28))/('Inputs'!$E$15/('Inputs'!$E$15+'Inputs'!$E$28)),"")</f>
        <v/>
      </c>
      <c r="F40" s="43">
        <f>IFERROR(('Inputs'!$E$15/('Inputs'!$E$15+'Inputs'!$E$28))/('Inputs'!$F$15/('Inputs'!$F$15+'Inputs'!$F$28)),"")</f>
        <v/>
      </c>
      <c r="G40" s="43">
        <f>IFERROR(('Inputs'!$F$15/('Inputs'!$F$15+'Inputs'!$F$28))/('Inputs'!$G$15/('Inputs'!$G$15+'Inputs'!$G$28)),"")</f>
        <v/>
      </c>
      <c r="H40" s="43">
        <f>IFERROR(('Inputs'!$G$15/('Inputs'!$G$15+'Inputs'!$G$28))/('Inputs'!$H$15/('Inputs'!$H$15+'Inputs'!$H$28)),"")</f>
        <v/>
      </c>
      <c r="I40" s="43">
        <f>IFERROR(('Inputs'!$H$15/('Inputs'!$H$15+'Inputs'!$H$28))/('Inputs'!$I$15/('Inputs'!$I$15+'Inputs'!$I$28)),"")</f>
        <v/>
      </c>
      <c r="J40" s="43">
        <f>IFERROR(('Inputs'!$I$15/('Inputs'!$I$15+'Inputs'!$I$28))/('Inputs'!$J$15/('Inputs'!$J$15+'Inputs'!$J$28)),"")</f>
        <v/>
      </c>
      <c r="K40" s="43">
        <f>IFERROR(('Inputs'!$J$15/('Inputs'!$J$15+'Inputs'!$J$28))/('Inputs'!$K$15/('Inputs'!$K$15+'Inputs'!$K$28)),"")</f>
        <v/>
      </c>
      <c r="L40" s="43">
        <f>IFERROR(('Inputs'!$K$15/('Inputs'!$K$15+'Inputs'!$K$28))/('Inputs'!$L$15/('Inputs'!$L$15+'Inputs'!$L$28)),"")</f>
        <v/>
      </c>
      <c r="M40" s="43">
        <f>IFERROR(('Inputs'!$L$15/('Inputs'!$L$15+'Inputs'!$L$28))/('Inputs'!$M$15/('Inputs'!$M$15+'Inputs'!$M$28)),"")</f>
        <v/>
      </c>
      <c r="N40" s="43">
        <f>IFERROR(('Inputs'!$M$15/('Inputs'!$M$15+'Inputs'!$M$28))/('Inputs'!$N$15/('Inputs'!$N$15+'Inputs'!$N$28)),"")</f>
        <v/>
      </c>
      <c r="O40" s="43">
        <f>IFERROR(('Inputs'!$N$15/('Inputs'!$N$15+'Inputs'!$N$28))/('Inputs'!$O$15/('Inputs'!$O$15+'Inputs'!$O$28)),"")</f>
        <v/>
      </c>
      <c r="P40" s="43">
        <f>IFERROR(('Inputs'!$O$15/('Inputs'!$O$15+'Inputs'!$O$28))/('Inputs'!$P$15/('Inputs'!$P$15+'Inputs'!$P$28)),"")</f>
        <v/>
      </c>
    </row>
    <row r="41">
      <c r="A41" s="41" t="inlineStr">
        <is>
          <t xml:space="preserve">  SGAI (SG&amp;A index)</t>
        </is>
      </c>
      <c r="B41" s="43" t="n"/>
      <c r="C41" s="43">
        <f>IFERROR(('Inputs'!$C$13/'Inputs'!$C$10)/('Inputs'!$B$13/'Inputs'!$B$10),"")</f>
        <v/>
      </c>
      <c r="D41" s="43">
        <f>IFERROR(('Inputs'!$D$13/'Inputs'!$D$10)/('Inputs'!$C$13/'Inputs'!$C$10),"")</f>
        <v/>
      </c>
      <c r="E41" s="43">
        <f>IFERROR(('Inputs'!$E$13/'Inputs'!$E$10)/('Inputs'!$D$13/'Inputs'!$D$10),"")</f>
        <v/>
      </c>
      <c r="F41" s="43">
        <f>IFERROR(('Inputs'!$F$13/'Inputs'!$F$10)/('Inputs'!$E$13/'Inputs'!$E$10),"")</f>
        <v/>
      </c>
      <c r="G41" s="43">
        <f>IFERROR(('Inputs'!$G$13/'Inputs'!$G$10)/('Inputs'!$F$13/'Inputs'!$F$10),"")</f>
        <v/>
      </c>
      <c r="H41" s="43">
        <f>IFERROR(('Inputs'!$H$13/'Inputs'!$H$10)/('Inputs'!$G$13/'Inputs'!$G$10),"")</f>
        <v/>
      </c>
      <c r="I41" s="43">
        <f>IFERROR(('Inputs'!$I$13/'Inputs'!$I$10)/('Inputs'!$H$13/'Inputs'!$H$10),"")</f>
        <v/>
      </c>
      <c r="J41" s="43">
        <f>IFERROR(('Inputs'!$J$13/'Inputs'!$J$10)/('Inputs'!$I$13/'Inputs'!$I$10),"")</f>
        <v/>
      </c>
      <c r="K41" s="43">
        <f>IFERROR(('Inputs'!$K$13/'Inputs'!$K$10)/('Inputs'!$J$13/'Inputs'!$J$10),"")</f>
        <v/>
      </c>
      <c r="L41" s="43">
        <f>IFERROR(('Inputs'!$L$13/'Inputs'!$L$10)/('Inputs'!$K$13/'Inputs'!$K$10),"")</f>
        <v/>
      </c>
      <c r="M41" s="43">
        <f>IFERROR(('Inputs'!$M$13/'Inputs'!$M$10)/('Inputs'!$L$13/'Inputs'!$L$10),"")</f>
        <v/>
      </c>
      <c r="N41" s="43">
        <f>IFERROR(('Inputs'!$N$13/'Inputs'!$N$10)/('Inputs'!$M$13/'Inputs'!$M$10),"")</f>
        <v/>
      </c>
      <c r="O41" s="43">
        <f>IFERROR(('Inputs'!$O$13/'Inputs'!$O$10)/('Inputs'!$N$13/'Inputs'!$N$10),"")</f>
        <v/>
      </c>
      <c r="P41" s="43">
        <f>IFERROR(('Inputs'!$P$13/'Inputs'!$P$10)/('Inputs'!$O$13/'Inputs'!$O$10),"")</f>
        <v/>
      </c>
    </row>
    <row r="42">
      <c r="A42" s="41" t="inlineStr">
        <is>
          <t xml:space="preserve">  LVGI (leverage index)</t>
        </is>
      </c>
      <c r="B42" s="43" t="n"/>
      <c r="C42" s="43">
        <f>IFERROR(('Inputs'!$C$41/'Inputs'!$C$32)/('Inputs'!$B$41/'Inputs'!$B$32),"")</f>
        <v/>
      </c>
      <c r="D42" s="43">
        <f>IFERROR(('Inputs'!$D$41/'Inputs'!$D$32)/('Inputs'!$C$41/'Inputs'!$C$32),"")</f>
        <v/>
      </c>
      <c r="E42" s="43">
        <f>IFERROR(('Inputs'!$E$41/'Inputs'!$E$32)/('Inputs'!$D$41/'Inputs'!$D$32),"")</f>
        <v/>
      </c>
      <c r="F42" s="43">
        <f>IFERROR(('Inputs'!$F$41/'Inputs'!$F$32)/('Inputs'!$E$41/'Inputs'!$E$32),"")</f>
        <v/>
      </c>
      <c r="G42" s="43">
        <f>IFERROR(('Inputs'!$G$41/'Inputs'!$G$32)/('Inputs'!$F$41/'Inputs'!$F$32),"")</f>
        <v/>
      </c>
      <c r="H42" s="43">
        <f>IFERROR(('Inputs'!$H$41/'Inputs'!$H$32)/('Inputs'!$G$41/'Inputs'!$G$32),"")</f>
        <v/>
      </c>
      <c r="I42" s="43">
        <f>IFERROR(('Inputs'!$I$41/'Inputs'!$I$32)/('Inputs'!$H$41/'Inputs'!$H$32),"")</f>
        <v/>
      </c>
      <c r="J42" s="43">
        <f>IFERROR(('Inputs'!$J$41/'Inputs'!$J$32)/('Inputs'!$I$41/'Inputs'!$I$32),"")</f>
        <v/>
      </c>
      <c r="K42" s="43">
        <f>IFERROR(('Inputs'!$K$41/'Inputs'!$K$32)/('Inputs'!$J$41/'Inputs'!$J$32),"")</f>
        <v/>
      </c>
      <c r="L42" s="43">
        <f>IFERROR(('Inputs'!$L$41/'Inputs'!$L$32)/('Inputs'!$K$41/'Inputs'!$K$32),"")</f>
        <v/>
      </c>
      <c r="M42" s="43">
        <f>IFERROR(('Inputs'!$M$41/'Inputs'!$M$32)/('Inputs'!$L$41/'Inputs'!$L$32),"")</f>
        <v/>
      </c>
      <c r="N42" s="43">
        <f>IFERROR(('Inputs'!$N$41/'Inputs'!$N$32)/('Inputs'!$M$41/'Inputs'!$M$32),"")</f>
        <v/>
      </c>
      <c r="O42" s="43">
        <f>IFERROR(('Inputs'!$O$41/'Inputs'!$O$32)/('Inputs'!$N$41/'Inputs'!$N$32),"")</f>
        <v/>
      </c>
      <c r="P42" s="43">
        <f>IFERROR(('Inputs'!$P$41/'Inputs'!$P$32)/('Inputs'!$O$41/'Inputs'!$O$32),"")</f>
        <v/>
      </c>
    </row>
    <row r="43">
      <c r="A43" s="41" t="inlineStr">
        <is>
          <t xml:space="preserve">  TATA (total accruals / assets)</t>
        </is>
      </c>
      <c r="B43" s="43" t="n"/>
      <c r="C43" s="43">
        <f>IFERROR(('Inputs'!$C$21-'Inputs'!$C$46)/'Inputs'!$C$32,"")</f>
        <v/>
      </c>
      <c r="D43" s="43">
        <f>IFERROR(('Inputs'!$D$21-'Inputs'!$D$46)/'Inputs'!$D$32,"")</f>
        <v/>
      </c>
      <c r="E43" s="43">
        <f>IFERROR(('Inputs'!$E$21-'Inputs'!$E$46)/'Inputs'!$E$32,"")</f>
        <v/>
      </c>
      <c r="F43" s="43">
        <f>IFERROR(('Inputs'!$F$21-'Inputs'!$F$46)/'Inputs'!$F$32,"")</f>
        <v/>
      </c>
      <c r="G43" s="43">
        <f>IFERROR(('Inputs'!$G$21-'Inputs'!$G$46)/'Inputs'!$G$32,"")</f>
        <v/>
      </c>
      <c r="H43" s="43">
        <f>IFERROR(('Inputs'!$H$21-'Inputs'!$H$46)/'Inputs'!$H$32,"")</f>
        <v/>
      </c>
      <c r="I43" s="43">
        <f>IFERROR(('Inputs'!$I$21-'Inputs'!$I$46)/'Inputs'!$I$32,"")</f>
        <v/>
      </c>
      <c r="J43" s="43">
        <f>IFERROR(('Inputs'!$J$21-'Inputs'!$J$46)/'Inputs'!$J$32,"")</f>
        <v/>
      </c>
      <c r="K43" s="43">
        <f>IFERROR(('Inputs'!$K$21-'Inputs'!$K$46)/'Inputs'!$K$32,"")</f>
        <v/>
      </c>
      <c r="L43" s="43">
        <f>IFERROR(('Inputs'!$L$21-'Inputs'!$L$46)/'Inputs'!$L$32,"")</f>
        <v/>
      </c>
      <c r="M43" s="43">
        <f>IFERROR(('Inputs'!$M$21-'Inputs'!$M$46)/'Inputs'!$M$32,"")</f>
        <v/>
      </c>
      <c r="N43" s="43">
        <f>IFERROR(('Inputs'!$N$21-'Inputs'!$N$46)/'Inputs'!$N$32,"")</f>
        <v/>
      </c>
      <c r="O43" s="43">
        <f>IFERROR(('Inputs'!$O$21-'Inputs'!$O$46)/'Inputs'!$O$32,"")</f>
        <v/>
      </c>
      <c r="P43" s="43">
        <f>IFERROR(('Inputs'!$P$21-'Inputs'!$P$46)/'Inputs'!$P$32,"")</f>
        <v/>
      </c>
    </row>
    <row r="44">
      <c r="A44" s="12" t="inlineStr">
        <is>
          <t>Beneish M-Score</t>
        </is>
      </c>
      <c r="B44" s="44" t="n"/>
      <c r="C44" s="44">
        <f>IFERROR(-4.84+0.92*'Quality'!$C$36+0.528*'Quality'!$C$37+0.404*'Quality'!$C$38+0.892*'Quality'!$C$39+0.115*'Quality'!$C$40-0.172*'Quality'!$C$41+4.679*'Quality'!$C$43-0.327*'Quality'!$C$42,"")</f>
        <v/>
      </c>
      <c r="D44" s="44">
        <f>IFERROR(-4.84+0.92*'Quality'!$D$36+0.528*'Quality'!$D$37+0.404*'Quality'!$D$38+0.892*'Quality'!$D$39+0.115*'Quality'!$D$40-0.172*'Quality'!$D$41+4.679*'Quality'!$D$43-0.327*'Quality'!$D$42,"")</f>
        <v/>
      </c>
      <c r="E44" s="44">
        <f>IFERROR(-4.84+0.92*'Quality'!$E$36+0.528*'Quality'!$E$37+0.404*'Quality'!$E$38+0.892*'Quality'!$E$39+0.115*'Quality'!$E$40-0.172*'Quality'!$E$41+4.679*'Quality'!$E$43-0.327*'Quality'!$E$42,"")</f>
        <v/>
      </c>
      <c r="F44" s="44">
        <f>IFERROR(-4.84+0.92*'Quality'!$F$36+0.528*'Quality'!$F$37+0.404*'Quality'!$F$38+0.892*'Quality'!$F$39+0.115*'Quality'!$F$40-0.172*'Quality'!$F$41+4.679*'Quality'!$F$43-0.327*'Quality'!$F$42,"")</f>
        <v/>
      </c>
      <c r="G44" s="44">
        <f>IFERROR(-4.84+0.92*'Quality'!$G$36+0.528*'Quality'!$G$37+0.404*'Quality'!$G$38+0.892*'Quality'!$G$39+0.115*'Quality'!$G$40-0.172*'Quality'!$G$41+4.679*'Quality'!$G$43-0.327*'Quality'!$G$42,"")</f>
        <v/>
      </c>
      <c r="H44" s="44">
        <f>IFERROR(-4.84+0.92*'Quality'!$H$36+0.528*'Quality'!$H$37+0.404*'Quality'!$H$38+0.892*'Quality'!$H$39+0.115*'Quality'!$H$40-0.172*'Quality'!$H$41+4.679*'Quality'!$H$43-0.327*'Quality'!$H$42,"")</f>
        <v/>
      </c>
      <c r="I44" s="44">
        <f>IFERROR(-4.84+0.92*'Quality'!$I$36+0.528*'Quality'!$I$37+0.404*'Quality'!$I$38+0.892*'Quality'!$I$39+0.115*'Quality'!$I$40-0.172*'Quality'!$I$41+4.679*'Quality'!$I$43-0.327*'Quality'!$I$42,"")</f>
        <v/>
      </c>
      <c r="J44" s="44">
        <f>IFERROR(-4.84+0.92*'Quality'!$J$36+0.528*'Quality'!$J$37+0.404*'Quality'!$J$38+0.892*'Quality'!$J$39+0.115*'Quality'!$J$40-0.172*'Quality'!$J$41+4.679*'Quality'!$J$43-0.327*'Quality'!$J$42,"")</f>
        <v/>
      </c>
      <c r="K44" s="44">
        <f>IFERROR(-4.84+0.92*'Quality'!$K$36+0.528*'Quality'!$K$37+0.404*'Quality'!$K$38+0.892*'Quality'!$K$39+0.115*'Quality'!$K$40-0.172*'Quality'!$K$41+4.679*'Quality'!$K$43-0.327*'Quality'!$K$42,"")</f>
        <v/>
      </c>
      <c r="L44" s="44">
        <f>IFERROR(-4.84+0.92*'Quality'!$L$36+0.528*'Quality'!$L$37+0.404*'Quality'!$L$38+0.892*'Quality'!$L$39+0.115*'Quality'!$L$40-0.172*'Quality'!$L$41+4.679*'Quality'!$L$43-0.327*'Quality'!$L$42,"")</f>
        <v/>
      </c>
      <c r="M44" s="44">
        <f>IFERROR(-4.84+0.92*'Quality'!$M$36+0.528*'Quality'!$M$37+0.404*'Quality'!$M$38+0.892*'Quality'!$M$39+0.115*'Quality'!$M$40-0.172*'Quality'!$M$41+4.679*'Quality'!$M$43-0.327*'Quality'!$M$42,"")</f>
        <v/>
      </c>
      <c r="N44" s="44">
        <f>IFERROR(-4.84+0.92*'Quality'!$N$36+0.528*'Quality'!$N$37+0.404*'Quality'!$N$38+0.892*'Quality'!$N$39+0.115*'Quality'!$N$40-0.172*'Quality'!$N$41+4.679*'Quality'!$N$43-0.327*'Quality'!$N$42,"")</f>
        <v/>
      </c>
      <c r="O44" s="44">
        <f>IFERROR(-4.84+0.92*'Quality'!$O$36+0.528*'Quality'!$O$37+0.404*'Quality'!$O$38+0.892*'Quality'!$O$39+0.115*'Quality'!$O$40-0.172*'Quality'!$O$41+4.679*'Quality'!$O$43-0.327*'Quality'!$O$42,"")</f>
        <v/>
      </c>
      <c r="P44" s="44">
        <f>IFERROR(-4.84+0.92*'Quality'!$P$36+0.528*'Quality'!$P$37+0.404*'Quality'!$P$38+0.892*'Quality'!$P$39+0.115*'Quality'!$P$40-0.172*'Quality'!$P$41+4.679*'Quality'!$P$43-0.327*'Quality'!$P$42,"")</f>
        <v/>
      </c>
      <c r="Q44" s="18">
        <f>IF(AND(ISNUMBER($K$44),ISNUMBER($J$44)),CHOOSE(2+($K$44&gt;$J$44)-($K$44&lt;$J$44),"▼","►","▲"),"")</f>
        <v/>
      </c>
      <c r="R44" s="18">
        <f>IF(ISNUMBER($K$44),CHOOSE(1+($K$44&gt;=-2.22)+($K$44&gt;=-1.78),"Low Risk","Watch","Manipulation"),"")</f>
        <v/>
      </c>
    </row>
    <row r="45">
      <c r="A45" s="19" t="inlineStr">
        <is>
          <t>M &lt; −2.22 = unlikely manipulator · −2.22 to −1.78 = watch · &gt; −1.78 = elevated risk.</t>
        </is>
      </c>
    </row>
    <row r="47" ht="20" customHeight="1">
      <c r="A47" s="3" t="inlineStr">
        <is>
          <t>Value Creation  (ROIC vs WACC)</t>
        </is>
      </c>
    </row>
    <row r="48">
      <c r="A48" s="4" t="inlineStr">
        <is>
          <t>ROIC</t>
        </is>
      </c>
      <c r="B48" s="23" t="n"/>
      <c r="C48" s="23">
        <f>IFERROR('Inputs'!$C$71/'Inputs'!$C$80,"")</f>
        <v/>
      </c>
      <c r="D48" s="23">
        <f>IFERROR('Inputs'!$D$71/'Inputs'!$D$80,"")</f>
        <v/>
      </c>
      <c r="E48" s="23">
        <f>IFERROR('Inputs'!$E$71/'Inputs'!$E$80,"")</f>
        <v/>
      </c>
      <c r="F48" s="23">
        <f>IFERROR('Inputs'!$F$71/'Inputs'!$F$80,"")</f>
        <v/>
      </c>
      <c r="G48" s="23">
        <f>IFERROR('Inputs'!$G$71/'Inputs'!$G$80,"")</f>
        <v/>
      </c>
      <c r="H48" s="23">
        <f>IFERROR('Inputs'!$H$71/'Inputs'!$H$80,"")</f>
        <v/>
      </c>
      <c r="I48" s="23">
        <f>IFERROR('Inputs'!$I$71/'Inputs'!$I$80,"")</f>
        <v/>
      </c>
      <c r="J48" s="23">
        <f>IFERROR('Inputs'!$J$71/'Inputs'!$J$80,"")</f>
        <v/>
      </c>
      <c r="K48" s="23">
        <f>IFERROR('Inputs'!$K$71/'Inputs'!$K$80,"")</f>
        <v/>
      </c>
      <c r="L48" s="23">
        <f>IFERROR('Inputs'!$L$71/'Inputs'!$L$80,"")</f>
        <v/>
      </c>
      <c r="M48" s="23">
        <f>IFERROR('Inputs'!$M$71/'Inputs'!$M$80,"")</f>
        <v/>
      </c>
      <c r="N48" s="23">
        <f>IFERROR('Inputs'!$N$71/'Inputs'!$N$80,"")</f>
        <v/>
      </c>
      <c r="O48" s="23">
        <f>IFERROR('Inputs'!$O$71/'Inputs'!$O$80,"")</f>
        <v/>
      </c>
      <c r="P48" s="23">
        <f>IFERROR('Inputs'!$P$71/'Inputs'!$P$80,"")</f>
        <v/>
      </c>
      <c r="Q48" s="18">
        <f>IF(AND(ISNUMBER($K$48),ISNUMBER($J$48)),CHOOSE(2+($K$48&gt;$J$48)-($K$48&lt;$J$48),"▼","►","▲"),"")</f>
        <v/>
      </c>
    </row>
    <row r="49">
      <c r="A49" s="4" t="inlineStr">
        <is>
          <t>WACC</t>
        </is>
      </c>
      <c r="B49" s="23">
        <f>'Inputs'!$B$82</f>
        <v/>
      </c>
      <c r="C49" s="23">
        <f>'Inputs'!$B$82</f>
        <v/>
      </c>
      <c r="D49" s="23">
        <f>'Inputs'!$B$82</f>
        <v/>
      </c>
      <c r="E49" s="23">
        <f>'Inputs'!$B$82</f>
        <v/>
      </c>
      <c r="F49" s="23">
        <f>'Inputs'!$B$82</f>
        <v/>
      </c>
      <c r="G49" s="23">
        <f>'Inputs'!$B$82</f>
        <v/>
      </c>
      <c r="H49" s="23">
        <f>'Inputs'!$B$82</f>
        <v/>
      </c>
      <c r="I49" s="23">
        <f>'Inputs'!$B$82</f>
        <v/>
      </c>
      <c r="J49" s="23">
        <f>'Inputs'!$B$82</f>
        <v/>
      </c>
      <c r="K49" s="23">
        <f>'Inputs'!$B$82</f>
        <v/>
      </c>
      <c r="L49" s="23">
        <f>'Inputs'!$B$82</f>
        <v/>
      </c>
      <c r="M49" s="23">
        <f>'Inputs'!$B$82</f>
        <v/>
      </c>
      <c r="N49" s="23">
        <f>'Inputs'!$B$82</f>
        <v/>
      </c>
      <c r="O49" s="23">
        <f>'Inputs'!$B$82</f>
        <v/>
      </c>
      <c r="P49" s="23">
        <f>'Inputs'!$B$82</f>
        <v/>
      </c>
    </row>
    <row r="50">
      <c r="A50" s="12" t="inlineStr">
        <is>
          <t>ROIC − WACC spread</t>
        </is>
      </c>
      <c r="B50" s="23" t="n"/>
      <c r="C50" s="23">
        <f>IFERROR('Quality'!$C$48-'Inputs'!$B$82,"")</f>
        <v/>
      </c>
      <c r="D50" s="23">
        <f>IFERROR('Quality'!$D$48-'Inputs'!$B$82,"")</f>
        <v/>
      </c>
      <c r="E50" s="23">
        <f>IFERROR('Quality'!$E$48-'Inputs'!$B$82,"")</f>
        <v/>
      </c>
      <c r="F50" s="23">
        <f>IFERROR('Quality'!$F$48-'Inputs'!$B$82,"")</f>
        <v/>
      </c>
      <c r="G50" s="23">
        <f>IFERROR('Quality'!$G$48-'Inputs'!$B$82,"")</f>
        <v/>
      </c>
      <c r="H50" s="23">
        <f>IFERROR('Quality'!$H$48-'Inputs'!$B$82,"")</f>
        <v/>
      </c>
      <c r="I50" s="23">
        <f>IFERROR('Quality'!$I$48-'Inputs'!$B$82,"")</f>
        <v/>
      </c>
      <c r="J50" s="23">
        <f>IFERROR('Quality'!$J$48-'Inputs'!$B$82,"")</f>
        <v/>
      </c>
      <c r="K50" s="23">
        <f>IFERROR('Quality'!$K$48-'Inputs'!$B$82,"")</f>
        <v/>
      </c>
      <c r="L50" s="23">
        <f>IFERROR('Quality'!$L$48-'Inputs'!$B$82,"")</f>
        <v/>
      </c>
      <c r="M50" s="23">
        <f>IFERROR('Quality'!$M$48-'Inputs'!$B$82,"")</f>
        <v/>
      </c>
      <c r="N50" s="23">
        <f>IFERROR('Quality'!$N$48-'Inputs'!$B$82,"")</f>
        <v/>
      </c>
      <c r="O50" s="23">
        <f>IFERROR('Quality'!$O$48-'Inputs'!$B$82,"")</f>
        <v/>
      </c>
      <c r="P50" s="23">
        <f>IFERROR('Quality'!$P$48-'Inputs'!$B$82,"")</f>
        <v/>
      </c>
      <c r="Q50" s="18">
        <f>IF(AND(ISNUMBER($K$50),ISNUMBER($J$50)),CHOOSE(2+($K$50&gt;$J$50)-($K$50&lt;$J$50),"▼","►","▲"),"")</f>
        <v/>
      </c>
      <c r="R50" s="18">
        <f>IF(ISNUMBER($K$50),CHOOSE(1+($K$50&gt;=0)+($K$50&gt;=0.03),"Value-destroying","Roughly neutral","Value-creating"),"")</f>
        <v/>
      </c>
    </row>
    <row r="51">
      <c r="A51" s="4" t="inlineStr">
        <is>
          <t>Economic profit = spread × invested capital</t>
        </is>
      </c>
      <c r="B51" s="33" t="n"/>
      <c r="C51" s="33">
        <f>IFERROR(('Quality'!$C$48-'Inputs'!$B$82)*'Inputs'!$C$80,"")</f>
        <v/>
      </c>
      <c r="D51" s="33">
        <f>IFERROR(('Quality'!$D$48-'Inputs'!$B$82)*'Inputs'!$D$80,"")</f>
        <v/>
      </c>
      <c r="E51" s="33">
        <f>IFERROR(('Quality'!$E$48-'Inputs'!$B$82)*'Inputs'!$E$80,"")</f>
        <v/>
      </c>
      <c r="F51" s="33">
        <f>IFERROR(('Quality'!$F$48-'Inputs'!$B$82)*'Inputs'!$F$80,"")</f>
        <v/>
      </c>
      <c r="G51" s="33">
        <f>IFERROR(('Quality'!$G$48-'Inputs'!$B$82)*'Inputs'!$G$80,"")</f>
        <v/>
      </c>
      <c r="H51" s="33">
        <f>IFERROR(('Quality'!$H$48-'Inputs'!$B$82)*'Inputs'!$H$80,"")</f>
        <v/>
      </c>
      <c r="I51" s="33">
        <f>IFERROR(('Quality'!$I$48-'Inputs'!$B$82)*'Inputs'!$I$80,"")</f>
        <v/>
      </c>
      <c r="J51" s="33">
        <f>IFERROR(('Quality'!$J$48-'Inputs'!$B$82)*'Inputs'!$J$80,"")</f>
        <v/>
      </c>
      <c r="K51" s="33">
        <f>IFERROR(('Quality'!$K$48-'Inputs'!$B$82)*'Inputs'!$K$80,"")</f>
        <v/>
      </c>
      <c r="L51" s="33">
        <f>IFERROR(('Quality'!$L$48-'Inputs'!$B$82)*'Inputs'!$L$80,"")</f>
        <v/>
      </c>
      <c r="M51" s="33">
        <f>IFERROR(('Quality'!$M$48-'Inputs'!$B$82)*'Inputs'!$M$80,"")</f>
        <v/>
      </c>
      <c r="N51" s="33">
        <f>IFERROR(('Quality'!$N$48-'Inputs'!$B$82)*'Inputs'!$N$80,"")</f>
        <v/>
      </c>
      <c r="O51" s="33">
        <f>IFERROR(('Quality'!$O$48-'Inputs'!$B$82)*'Inputs'!$O$80,"")</f>
        <v/>
      </c>
      <c r="P51" s="33">
        <f>IFERROR(('Quality'!$P$48-'Inputs'!$B$82)*'Inputs'!$P$80,"")</f>
        <v/>
      </c>
      <c r="Q51" s="18">
        <f>IF(AND(ISNUMBER($K$51),ISNUMBER($J$51)),CHOOSE(2+($K$51&gt;$J$51)-($K$51&lt;$J$51),"▼","►","▲"),"")</f>
        <v/>
      </c>
    </row>
    <row r="53" ht="20" customHeight="1">
      <c r="A53" s="3" t="inlineStr">
        <is>
          <t>Automated Observations</t>
        </is>
      </c>
    </row>
    <row r="54" ht="20" customHeight="1">
      <c r="A54" s="29">
        <f>IFERROR("» Altman Z of "&amp;TEXT('Quality'!$K$15,"0.0")&amp;" places the company in the "&amp;'Quality'!$R$15&amp;" zone; Piotroski F is "&amp;TEXT('Quality'!$K$33,"0")&amp;"/9 ("&amp;'Quality'!$R$33&amp;").","(insufficient data — populate inputs)")</f>
        <v/>
      </c>
    </row>
    <row r="55" ht="20" customHeight="1">
      <c r="A55" s="29">
        <f>IFERROR("» Beneish M of "&amp;TEXT('Quality'!$K$44,"0.00")&amp;" implies "&amp;'Quality'!$R$44&amp;" for earnings manipulation.","(insufficient data — populate inputs)")</f>
        <v/>
      </c>
    </row>
    <row r="56" ht="20" customHeight="1">
      <c r="A56" s="29">
        <f>IFERROR("» ROIC exceeds WACC by "&amp;TEXT('Quality'!$K$50,"0.0%")&amp;", generating "&amp;TEXT('Quality'!$K$51,"#,##0")&amp;" of economic profit — "&amp;'Quality'!$R$50&amp;".","(insufficient data — populate inputs)")</f>
        <v/>
      </c>
    </row>
  </sheetData>
  <mergeCells count="14">
    <mergeCell ref="A3:R3"/>
    <mergeCell ref="A53:R53"/>
    <mergeCell ref="A55:R55"/>
    <mergeCell ref="A7:R7"/>
    <mergeCell ref="A2:R2"/>
    <mergeCell ref="A16:R16"/>
    <mergeCell ref="A54:R54"/>
    <mergeCell ref="A47:R47"/>
    <mergeCell ref="A1:R1"/>
    <mergeCell ref="A45:R45"/>
    <mergeCell ref="A9:R9"/>
    <mergeCell ref="A35:R35"/>
    <mergeCell ref="A56:R56"/>
    <mergeCell ref="A18:R18"/>
  </mergeCells>
  <conditionalFormatting sqref="B15:P15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33:P33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44:P44">
    <cfRule type="colorScale" priority="3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48:P48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50:P50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51:P51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R15:R50">
    <cfRule type="expression" priority="7" dxfId="0" stopIfTrue="1">
      <formula>OR(ISNUMBER(SEARCH("Strong",R15)),ISNUMBER(SEARCH("Improving",R15)),ISNUMBER(SEARCH("Low Risk",R15)),ISNUMBER(SEARCH("Excellent",R15)),ISNUMBER(SEARCH("Healthy",R15)),ISNUMBER(SEARCH("Safe",R15)),ISNUMBER(SEARCH("Undervalued",R15)),ISNUMBER(SEARCH("Value-creating",R15)),ISNUMBER(SEARCH("Expanding",R15)),ISNUMBER(SEARCH("Accelerating",R15)),ISNUMBER(SEARCH("High",R15)),ISNUMBER(SEARCH("Best-in-Class",R15)),ISNUMBER(SEARCH("Above",R15)),ISNUMBER(SEARCH("Robust",R15)),ISNUMBER(SEARCH("PASS",R15)),ISNUMBER(SEARCH("OK",R15)),ISNUMBER(SEARCH("Conservative",R15)),ISNUMBER(SEARCH("Reducing",R15)),ISNUMBER(SEARCH("Accretive",R15)),ISNUMBER(SEARCH("Cheap",R15)),ISNUMBER(SEARCH("Rising",R15)),ISNUMBER(SEARCH("Disciplined",R15)))</formula>
    </cfRule>
    <cfRule type="expression" priority="8" dxfId="1" stopIfTrue="1">
      <formula>OR(ISNUMBER(SEARCH("Moderate",R15)),ISNUMBER(SEARCH("Stable",R15)),ISNUMBER(SEARCH("Average",R15)),ISNUMBER(SEARCH("Adequate",R15)),ISNUMBER(SEARCH("Watch",R15)),ISNUMBER(SEARCH("Grey",R15)),ISNUMBER(SEARCH("Fair",R15)),ISNUMBER(SEARCH("Neutral",R15)),ISNUMBER(SEARCH("In-line",R15)),ISNUMBER(SEARCH("Flat",R15)),ISNUMBER(SEARCH("REVIEW",R15)),ISNUMBER(SEARCH("Caution",R15)),ISNUMBER(SEARCH("Decelerating",R15)))</formula>
    </cfRule>
    <cfRule type="expression" priority="9" dxfId="2" stopIfTrue="1">
      <formula>OR(ISNUMBER(SEARCH("Weak",R15)),ISNUMBER(SEARCH("Deteriorating",R15)),ISNUMBER(SEARCH("High Risk",R15)),ISNUMBER(SEARCH("Poor",R15)),ISNUMBER(SEARCH("Distress",R15)),ISNUMBER(SEARCH("Overvalued",R15)),ISNUMBER(SEARCH("Value-destroying",R15)),ISNUMBER(SEARCH("Compressing",R15)),ISNUMBER(SEARCH("Low",R15)),ISNUMBER(SEARCH("Worst",R15)),ISNUMBER(SEARCH("Below",R15)),ISNUMBER(SEARCH("FAIL",R15)),ISNUMBER(SEARCH("Elevated",R15)),ISNUMBER(SEARCH("Stretched",R15)),ISNUMBER(SEARCH("Manipulation",R15)),ISNUMBER(SEARCH("Negative",R15)),ISNUMBER(SEARCH("Diluting",R15)),ISNUMBER(SEARCH("Dilutive",R15)),ISNUMBER(SEARCH("Expensive",R15)),ISNUMBER(SEARCH("Falling",R15)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3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K4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INDUSTRY BENCHMARKING</t>
        </is>
      </c>
    </row>
    <row r="2">
      <c r="A2" s="2" t="inlineStr">
        <is>
          <t>Company vs peers — ranking, percentile and best-in-class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19" t="inlineStr">
        <is>
          <t>Company figures link to the latest reported year; peer cells are inputs.</t>
        </is>
      </c>
    </row>
    <row r="8">
      <c r="A8" s="20" t="inlineStr">
        <is>
          <t>Ratio (latest year)</t>
        </is>
      </c>
      <c r="B8" s="21" t="inlineStr">
        <is>
          <t>Company</t>
        </is>
      </c>
      <c r="C8" s="13" t="inlineStr">
        <is>
          <t>Peer A</t>
        </is>
      </c>
      <c r="D8" s="13" t="inlineStr">
        <is>
          <t>Peer B</t>
        </is>
      </c>
      <c r="E8" s="13" t="inlineStr">
        <is>
          <t>Peer C</t>
        </is>
      </c>
      <c r="F8" s="13" t="inlineStr">
        <is>
          <t>Peer D</t>
        </is>
      </c>
      <c r="G8" s="13" t="inlineStr">
        <is>
          <t>Peer E</t>
        </is>
      </c>
      <c r="H8" s="21" t="inlineStr">
        <is>
          <t>Median</t>
        </is>
      </c>
      <c r="I8" s="21" t="inlineStr">
        <is>
          <t>Rank</t>
        </is>
      </c>
      <c r="J8" s="21" t="inlineStr">
        <is>
          <t>Pct'ile</t>
        </is>
      </c>
      <c r="K8" s="20" t="inlineStr">
        <is>
          <t>Flag</t>
        </is>
      </c>
    </row>
    <row r="9">
      <c r="A9" s="4" t="inlineStr">
        <is>
          <t>Gross margin</t>
        </is>
      </c>
      <c r="B9" s="23">
        <f>'Profitability'!$K$10</f>
        <v/>
      </c>
      <c r="C9" s="37" t="n"/>
      <c r="D9" s="37" t="n"/>
      <c r="E9" s="37" t="n"/>
      <c r="F9" s="37" t="n"/>
      <c r="G9" s="37" t="n"/>
      <c r="H9" s="39">
        <f>IFERROR(MEDIAN(B9:G9),"")</f>
        <v/>
      </c>
      <c r="I9" s="42">
        <f>IFERROR(RANK($B$9,B9:G9,0),"")</f>
        <v/>
      </c>
      <c r="J9" s="23">
        <f>IFERROR((6-$I$9)/5,"")</f>
        <v/>
      </c>
      <c r="K9" s="18">
        <f>IFERROR(IF($I$9=1,"Best-in-Class",""),"")</f>
        <v/>
      </c>
    </row>
    <row r="10">
      <c r="A10" s="4" t="inlineStr">
        <is>
          <t>Operating margin</t>
        </is>
      </c>
      <c r="B10" s="23">
        <f>'Profitability'!$K$12</f>
        <v/>
      </c>
      <c r="C10" s="37" t="n"/>
      <c r="D10" s="37" t="n"/>
      <c r="E10" s="37" t="n"/>
      <c r="F10" s="37" t="n"/>
      <c r="G10" s="37" t="n"/>
      <c r="H10" s="39">
        <f>IFERROR(MEDIAN(B10:G10),"")</f>
        <v/>
      </c>
      <c r="I10" s="42">
        <f>IFERROR(RANK($B$10,B10:G10,0),"")</f>
        <v/>
      </c>
      <c r="J10" s="23">
        <f>IFERROR((6-$I$10)/5,"")</f>
        <v/>
      </c>
      <c r="K10" s="18">
        <f>IFERROR(IF($I$10=1,"Best-in-Class",""),"")</f>
        <v/>
      </c>
    </row>
    <row r="11">
      <c r="A11" s="4" t="inlineStr">
        <is>
          <t>Net margin</t>
        </is>
      </c>
      <c r="B11" s="23">
        <f>'Profitability'!$K$14</f>
        <v/>
      </c>
      <c r="C11" s="37" t="n"/>
      <c r="D11" s="37" t="n"/>
      <c r="E11" s="37" t="n"/>
      <c r="F11" s="37" t="n"/>
      <c r="G11" s="37" t="n"/>
      <c r="H11" s="39">
        <f>IFERROR(MEDIAN(B11:G11),"")</f>
        <v/>
      </c>
      <c r="I11" s="42">
        <f>IFERROR(RANK($B$11,B11:G11,0),"")</f>
        <v/>
      </c>
      <c r="J11" s="23">
        <f>IFERROR((6-$I$11)/5,"")</f>
        <v/>
      </c>
      <c r="K11" s="18">
        <f>IFERROR(IF($I$11=1,"Best-in-Class",""),"")</f>
        <v/>
      </c>
    </row>
    <row r="12">
      <c r="A12" s="4" t="inlineStr">
        <is>
          <t>ROE</t>
        </is>
      </c>
      <c r="B12" s="23">
        <f>'Profitability'!$K$18</f>
        <v/>
      </c>
      <c r="C12" s="37" t="n"/>
      <c r="D12" s="37" t="n"/>
      <c r="E12" s="37" t="n"/>
      <c r="F12" s="37" t="n"/>
      <c r="G12" s="37" t="n"/>
      <c r="H12" s="39">
        <f>IFERROR(MEDIAN(B12:G12),"")</f>
        <v/>
      </c>
      <c r="I12" s="42">
        <f>IFERROR(RANK($B$12,B12:G12,0),"")</f>
        <v/>
      </c>
      <c r="J12" s="23">
        <f>IFERROR((6-$I$12)/5,"")</f>
        <v/>
      </c>
      <c r="K12" s="18">
        <f>IFERROR(IF($I$12=1,"Best-in-Class",""),"")</f>
        <v/>
      </c>
    </row>
    <row r="13">
      <c r="A13" s="4" t="inlineStr">
        <is>
          <t>ROIC</t>
        </is>
      </c>
      <c r="B13" s="23">
        <f>'Profitability'!$K$20</f>
        <v/>
      </c>
      <c r="C13" s="37" t="n"/>
      <c r="D13" s="37" t="n"/>
      <c r="E13" s="37" t="n"/>
      <c r="F13" s="37" t="n"/>
      <c r="G13" s="37" t="n"/>
      <c r="H13" s="39">
        <f>IFERROR(MEDIAN(B13:G13),"")</f>
        <v/>
      </c>
      <c r="I13" s="42">
        <f>IFERROR(RANK($B$13,B13:G13,0),"")</f>
        <v/>
      </c>
      <c r="J13" s="23">
        <f>IFERROR((6-$I$13)/5,"")</f>
        <v/>
      </c>
      <c r="K13" s="18">
        <f>IFERROR(IF($I$13=1,"Best-in-Class",""),"")</f>
        <v/>
      </c>
    </row>
    <row r="14">
      <c r="A14" s="4" t="inlineStr">
        <is>
          <t>Current ratio</t>
        </is>
      </c>
      <c r="B14" s="24">
        <f>'Liquidity'!$K$10</f>
        <v/>
      </c>
      <c r="C14" s="45" t="n"/>
      <c r="D14" s="45" t="n"/>
      <c r="E14" s="45" t="n"/>
      <c r="F14" s="45" t="n"/>
      <c r="G14" s="45" t="n"/>
      <c r="H14" s="46">
        <f>IFERROR(MEDIAN(B14:G14),"")</f>
        <v/>
      </c>
      <c r="I14" s="42">
        <f>IFERROR(RANK($B$14,B14:G14,0),"")</f>
        <v/>
      </c>
      <c r="J14" s="23">
        <f>IFERROR((6-$I$14)/5,"")</f>
        <v/>
      </c>
      <c r="K14" s="18">
        <f>IFERROR(IF($I$14=1,"Best-in-Class",""),"")</f>
        <v/>
      </c>
    </row>
    <row r="15">
      <c r="A15" s="4" t="inlineStr">
        <is>
          <t>Net debt / EBITDA</t>
        </is>
      </c>
      <c r="B15" s="24">
        <f>'Solvency'!$K$18</f>
        <v/>
      </c>
      <c r="C15" s="45" t="n"/>
      <c r="D15" s="45" t="n"/>
      <c r="E15" s="45" t="n"/>
      <c r="F15" s="45" t="n"/>
      <c r="G15" s="45" t="n"/>
      <c r="H15" s="46">
        <f>IFERROR(MEDIAN(B15:G15),"")</f>
        <v/>
      </c>
      <c r="I15" s="42">
        <f>IFERROR(RANK($B$15,B15:G15,1),"")</f>
        <v/>
      </c>
      <c r="J15" s="23">
        <f>IFERROR((6-$I$15)/5,"")</f>
        <v/>
      </c>
      <c r="K15" s="18">
        <f>IFERROR(IF($I$15=1,"Best-in-Class",""),"")</f>
        <v/>
      </c>
    </row>
    <row r="16">
      <c r="A16" s="4" t="inlineStr">
        <is>
          <t>Revenue 5y CAGR</t>
        </is>
      </c>
      <c r="B16" s="23">
        <f>'Growth'!$C$20</f>
        <v/>
      </c>
      <c r="C16" s="37" t="n"/>
      <c r="D16" s="37" t="n"/>
      <c r="E16" s="37" t="n"/>
      <c r="F16" s="37" t="n"/>
      <c r="G16" s="37" t="n"/>
      <c r="H16" s="39">
        <f>IFERROR(MEDIAN(B16:G16),"")</f>
        <v/>
      </c>
      <c r="I16" s="42">
        <f>IFERROR(RANK($B$16,B16:G16,0),"")</f>
        <v/>
      </c>
      <c r="J16" s="23">
        <f>IFERROR((6-$I$16)/5,"")</f>
        <v/>
      </c>
      <c r="K16" s="18">
        <f>IFERROR(IF($I$16=1,"Best-in-Class",""),"")</f>
        <v/>
      </c>
    </row>
    <row r="17">
      <c r="A17" s="4" t="inlineStr">
        <is>
          <t>FCF margin</t>
        </is>
      </c>
      <c r="B17" s="23">
        <f>'Profitability'!$K$15</f>
        <v/>
      </c>
      <c r="C17" s="37" t="n"/>
      <c r="D17" s="37" t="n"/>
      <c r="E17" s="37" t="n"/>
      <c r="F17" s="37" t="n"/>
      <c r="G17" s="37" t="n"/>
      <c r="H17" s="39">
        <f>IFERROR(MEDIAN(B17:G17),"")</f>
        <v/>
      </c>
      <c r="I17" s="42">
        <f>IFERROR(RANK($B$17,B17:G17,0),"")</f>
        <v/>
      </c>
      <c r="J17" s="23">
        <f>IFERROR((6-$I$17)/5,"")</f>
        <v/>
      </c>
      <c r="K17" s="18">
        <f>IFERROR(IF($I$17=1,"Best-in-Class",""),"")</f>
        <v/>
      </c>
    </row>
    <row r="18">
      <c r="A18" s="4" t="inlineStr">
        <is>
          <t>EV / EBITDA</t>
        </is>
      </c>
      <c r="B18" s="24">
        <f>'Valuation'!$K$23</f>
        <v/>
      </c>
      <c r="C18" s="45" t="n"/>
      <c r="D18" s="45" t="n"/>
      <c r="E18" s="45" t="n"/>
      <c r="F18" s="45" t="n"/>
      <c r="G18" s="45" t="n"/>
      <c r="H18" s="46">
        <f>IFERROR(MEDIAN(B18:G18),"")</f>
        <v/>
      </c>
      <c r="I18" s="42">
        <f>IFERROR(RANK($B$18,B18:G18,1),"")</f>
        <v/>
      </c>
      <c r="J18" s="23">
        <f>IFERROR((6-$I$18)/5,"")</f>
        <v/>
      </c>
      <c r="K18" s="18">
        <f>IFERROR(IF($I$18=1,"Best-in-Class",""),"")</f>
        <v/>
      </c>
    </row>
    <row r="20" ht="20" customHeight="1">
      <c r="A20" s="3" t="inlineStr">
        <is>
          <t>Competitive Profile (vs peer median)</t>
        </is>
      </c>
    </row>
    <row r="21">
      <c r="A21" s="20" t="inlineStr">
        <is>
          <t>Entity</t>
        </is>
      </c>
      <c r="B21" s="21" t="inlineStr">
        <is>
          <t>Gross</t>
        </is>
      </c>
      <c r="C21" s="21" t="inlineStr">
        <is>
          <t>Operating</t>
        </is>
      </c>
      <c r="D21" s="21" t="inlineStr">
        <is>
          <t>Net</t>
        </is>
      </c>
      <c r="E21" s="21" t="inlineStr">
        <is>
          <t>ROE</t>
        </is>
      </c>
      <c r="F21" s="21" t="inlineStr">
        <is>
          <t>ROIC</t>
        </is>
      </c>
      <c r="G21" s="21" t="inlineStr">
        <is>
          <t>FCF mgn</t>
        </is>
      </c>
    </row>
    <row r="22">
      <c r="A22" s="4" t="inlineStr">
        <is>
          <t>Company</t>
        </is>
      </c>
      <c r="B22" s="23">
        <f>$B$9</f>
        <v/>
      </c>
      <c r="C22" s="23">
        <f>$B$10</f>
        <v/>
      </c>
      <c r="D22" s="23">
        <f>$B$11</f>
        <v/>
      </c>
      <c r="E22" s="23">
        <f>$B$12</f>
        <v/>
      </c>
      <c r="F22" s="23">
        <f>$B$13</f>
        <v/>
      </c>
      <c r="G22" s="23">
        <f>$B$17</f>
        <v/>
      </c>
    </row>
    <row r="23">
      <c r="A23" s="4" t="inlineStr">
        <is>
          <t>Peer median</t>
        </is>
      </c>
      <c r="B23" s="39">
        <f>$H$9</f>
        <v/>
      </c>
      <c r="C23" s="39">
        <f>$H$10</f>
        <v/>
      </c>
      <c r="D23" s="39">
        <f>$H$11</f>
        <v/>
      </c>
      <c r="E23" s="39">
        <f>$H$12</f>
        <v/>
      </c>
      <c r="F23" s="39">
        <f>$H$13</f>
        <v/>
      </c>
      <c r="G23" s="39">
        <f>$H$17</f>
        <v/>
      </c>
    </row>
    <row r="44" ht="20" customHeight="1">
      <c r="A44" s="3" t="inlineStr">
        <is>
          <t>Automated Observations</t>
        </is>
      </c>
    </row>
    <row r="45">
      <c r="A45" s="29">
        <f>IFERROR("» The company ranks best-in-class on "&amp;TEXT(COUNTIF(K9:K18,"Best-in-Class"),"0")&amp;" of "&amp;"10"&amp;" benchmarked metrics versus its peer set.","(insufficient data — populate inputs)")</f>
        <v/>
      </c>
    </row>
  </sheetData>
  <mergeCells count="7">
    <mergeCell ref="A20:K20"/>
    <mergeCell ref="A3:K3"/>
    <mergeCell ref="A7:K7"/>
    <mergeCell ref="A2:K2"/>
    <mergeCell ref="A45:K45"/>
    <mergeCell ref="A44:K44"/>
    <mergeCell ref="A1:K1"/>
  </mergeCells>
  <conditionalFormatting sqref="B9:G9">
    <cfRule type="colorScale" priority="1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0:G10">
    <cfRule type="colorScale" priority="2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1:G11">
    <cfRule type="colorScale" priority="3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2:G12">
    <cfRule type="colorScale" priority="4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3:G13">
    <cfRule type="colorScale" priority="5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4:G14">
    <cfRule type="colorScale" priority="6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5:G15">
    <cfRule type="colorScale" priority="7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B16:G16">
    <cfRule type="colorScale" priority="8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7:G17">
    <cfRule type="colorScale" priority="9">
      <colorScale>
        <cfvo type="min"/>
        <cfvo type="percentile" val="50"/>
        <cfvo type="max"/>
        <color rgb="00F8D2D2"/>
        <color rgb="00FFF6C8"/>
        <color rgb="00D4EDDA"/>
      </colorScale>
    </cfRule>
  </conditionalFormatting>
  <conditionalFormatting sqref="B18:G18">
    <cfRule type="colorScale" priority="10">
      <colorScale>
        <cfvo type="min"/>
        <cfvo type="percentile" val="50"/>
        <cfvo type="max"/>
        <color rgb="00D4EDDA"/>
        <color rgb="00FFF6C8"/>
        <color rgb="00F8D2D2"/>
      </colorScale>
    </cfRule>
  </conditionalFormatting>
  <conditionalFormatting sqref="K9:K18">
    <cfRule type="expression" priority="11" dxfId="0" stopIfTrue="1">
      <formula>OR(ISNUMBER(SEARCH("Strong",K9)),ISNUMBER(SEARCH("Improving",K9)),ISNUMBER(SEARCH("Low Risk",K9)),ISNUMBER(SEARCH("Excellent",K9)),ISNUMBER(SEARCH("Healthy",K9)),ISNUMBER(SEARCH("Safe",K9)),ISNUMBER(SEARCH("Undervalued",K9)),ISNUMBER(SEARCH("Value-creating",K9)),ISNUMBER(SEARCH("Expanding",K9)),ISNUMBER(SEARCH("Accelerating",K9)),ISNUMBER(SEARCH("High",K9)),ISNUMBER(SEARCH("Best-in-Class",K9)),ISNUMBER(SEARCH("Above",K9)),ISNUMBER(SEARCH("Robust",K9)),ISNUMBER(SEARCH("PASS",K9)),ISNUMBER(SEARCH("OK",K9)),ISNUMBER(SEARCH("Conservative",K9)),ISNUMBER(SEARCH("Reducing",K9)),ISNUMBER(SEARCH("Accretive",K9)),ISNUMBER(SEARCH("Cheap",K9)),ISNUMBER(SEARCH("Rising",K9)),ISNUMBER(SEARCH("Disciplined",K9)))</formula>
    </cfRule>
    <cfRule type="expression" priority="12" dxfId="1" stopIfTrue="1">
      <formula>OR(ISNUMBER(SEARCH("Moderate",K9)),ISNUMBER(SEARCH("Stable",K9)),ISNUMBER(SEARCH("Average",K9)),ISNUMBER(SEARCH("Adequate",K9)),ISNUMBER(SEARCH("Watch",K9)),ISNUMBER(SEARCH("Grey",K9)),ISNUMBER(SEARCH("Fair",K9)),ISNUMBER(SEARCH("Neutral",K9)),ISNUMBER(SEARCH("In-line",K9)),ISNUMBER(SEARCH("Flat",K9)),ISNUMBER(SEARCH("REVIEW",K9)),ISNUMBER(SEARCH("Caution",K9)),ISNUMBER(SEARCH("Decelerating",K9)))</formula>
    </cfRule>
    <cfRule type="expression" priority="13" dxfId="2" stopIfTrue="1">
      <formula>OR(ISNUMBER(SEARCH("Weak",K9)),ISNUMBER(SEARCH("Deteriorating",K9)),ISNUMBER(SEARCH("High Risk",K9)),ISNUMBER(SEARCH("Poor",K9)),ISNUMBER(SEARCH("Distress",K9)),ISNUMBER(SEARCH("Overvalued",K9)),ISNUMBER(SEARCH("Value-destroying",K9)),ISNUMBER(SEARCH("Compressing",K9)),ISNUMBER(SEARCH("Low",K9)),ISNUMBER(SEARCH("Worst",K9)),ISNUMBER(SEARCH("Below",K9)),ISNUMBER(SEARCH("FAIL",K9)),ISNUMBER(SEARCH("Elevated",K9)),ISNUMBER(SEARCH("Stretched",K9)),ISNUMBER(SEARCH("Manipulation",K9)),ISNUMBER(SEARCH("Negative",K9)),ISNUMBER(SEARCH("Diluting",K9)),ISNUMBER(SEARCH("Dilutive",K9)),ISNUMBER(SEARCH("Expensive",K9)),ISNUMBER(SEARCH("Falling",K9)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15"/>
</worksheet>
</file>

<file path=xl/worksheets/sheet14.xml><?xml version="1.0" encoding="utf-8"?>
<worksheet xmlns="http://schemas.openxmlformats.org/spreadsheetml/2006/main">
  <sheetPr>
    <tabColor rgb="0044719C"/>
    <outlinePr summaryBelow="1" summaryRight="1"/>
    <pageSetUpPr fitToPage="1"/>
  </sheetPr>
  <dimension ref="A1:H3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2" customWidth="1" min="4" max="4"/>
    <col width="12" customWidth="1" min="5" max="5"/>
    <col width="12" customWidth="1" min="6" max="6"/>
    <col width="50" customWidth="1" min="7" max="7"/>
    <col width="15" customWidth="1" min="8" max="8"/>
  </cols>
  <sheetData>
    <row r="1" ht="30" customHeight="1">
      <c r="A1" s="1" t="inlineStr">
        <is>
          <t>RATIO INTERPRETATION GUIDE</t>
        </is>
      </c>
    </row>
    <row r="2">
      <c r="A2" s="2" t="inlineStr">
        <is>
          <t>Definition, formula, ranges and investment meaning for every ratio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>
      <c r="A7" s="20" t="inlineStr">
        <is>
          <t>Ratio</t>
        </is>
      </c>
      <c r="B7" s="20" t="inlineStr">
        <is>
          <t>Formula</t>
        </is>
      </c>
      <c r="C7" s="20" t="inlineStr">
        <is>
          <t>What it measures</t>
        </is>
      </c>
      <c r="D7" s="20" t="inlineStr">
        <is>
          <t>Strong</t>
        </is>
      </c>
      <c r="E7" s="20" t="inlineStr">
        <is>
          <t>Average</t>
        </is>
      </c>
      <c r="F7" s="20" t="inlineStr">
        <is>
          <t>Weak</t>
        </is>
      </c>
      <c r="G7" s="20" t="inlineStr">
        <is>
          <t>Investment meaning</t>
        </is>
      </c>
    </row>
    <row r="8" ht="30" customHeight="1">
      <c r="A8" s="12" t="inlineStr">
        <is>
          <t>Gross Margin</t>
        </is>
      </c>
      <c r="B8" s="15" t="inlineStr">
        <is>
          <t>Gross Profit / Revenue</t>
        </is>
      </c>
      <c r="C8" s="14" t="inlineStr">
        <is>
          <t>Pricing power and production efficiency.</t>
        </is>
      </c>
      <c r="D8" s="47" t="inlineStr">
        <is>
          <t>&gt;40%</t>
        </is>
      </c>
      <c r="E8" s="48" t="inlineStr">
        <is>
          <t>20–40%</t>
        </is>
      </c>
      <c r="F8" s="49" t="inlineStr">
        <is>
          <t>&lt;20%</t>
        </is>
      </c>
      <c r="G8" s="19" t="inlineStr">
        <is>
          <t>High, stable gross margins signal a durable competitive advantage.</t>
        </is>
      </c>
    </row>
    <row r="9" ht="30" customHeight="1">
      <c r="A9" s="12" t="inlineStr">
        <is>
          <t>Operating Margin</t>
        </is>
      </c>
      <c r="B9" s="15" t="inlineStr">
        <is>
          <t>EBIT / Revenue</t>
        </is>
      </c>
      <c r="C9" s="14" t="inlineStr">
        <is>
          <t>Core profitability after operating costs.</t>
        </is>
      </c>
      <c r="D9" s="47" t="inlineStr">
        <is>
          <t>&gt;18%</t>
        </is>
      </c>
      <c r="E9" s="48" t="inlineStr">
        <is>
          <t>8–18%</t>
        </is>
      </c>
      <c r="F9" s="49" t="inlineStr">
        <is>
          <t>&lt;8%</t>
        </is>
      </c>
      <c r="G9" s="19" t="inlineStr">
        <is>
          <t>Expanding operating margin shows operating leverage and cost control.</t>
        </is>
      </c>
    </row>
    <row r="10" ht="30" customHeight="1">
      <c r="A10" s="12" t="inlineStr">
        <is>
          <t>Net Margin</t>
        </is>
      </c>
      <c r="B10" s="15" t="inlineStr">
        <is>
          <t>Net Income / Revenue</t>
        </is>
      </c>
      <c r="C10" s="14" t="inlineStr">
        <is>
          <t>Bottom-line profitability.</t>
        </is>
      </c>
      <c r="D10" s="47" t="inlineStr">
        <is>
          <t>&gt;12%</t>
        </is>
      </c>
      <c r="E10" s="48" t="inlineStr">
        <is>
          <t>5–12%</t>
        </is>
      </c>
      <c r="F10" s="49" t="inlineStr">
        <is>
          <t>&lt;5%</t>
        </is>
      </c>
      <c r="G10" s="19" t="inlineStr">
        <is>
          <t>Persistent net margins indicate quality earnings.</t>
        </is>
      </c>
    </row>
    <row r="11" ht="30" customHeight="1">
      <c r="A11" s="12" t="inlineStr">
        <is>
          <t>ROE</t>
        </is>
      </c>
      <c r="B11" s="15" t="inlineStr">
        <is>
          <t>Net Income / Average Equity</t>
        </is>
      </c>
      <c r="C11" s="14" t="inlineStr">
        <is>
          <t>Return generated on shareholders' capital.</t>
        </is>
      </c>
      <c r="D11" s="47" t="inlineStr">
        <is>
          <t>&gt;15%</t>
        </is>
      </c>
      <c r="E11" s="48" t="inlineStr">
        <is>
          <t>8–15%</t>
        </is>
      </c>
      <c r="F11" s="49" t="inlineStr">
        <is>
          <t>&lt;8%</t>
        </is>
      </c>
      <c r="G11" s="19" t="inlineStr">
        <is>
          <t>High ROE not driven by leverage is a hallmark of quality.</t>
        </is>
      </c>
    </row>
    <row r="12" ht="30" customHeight="1">
      <c r="A12" s="12" t="inlineStr">
        <is>
          <t>ROA</t>
        </is>
      </c>
      <c r="B12" s="15" t="inlineStr">
        <is>
          <t>Net Income / Average Assets</t>
        </is>
      </c>
      <c r="C12" s="14" t="inlineStr">
        <is>
          <t>Efficiency of the asset base.</t>
        </is>
      </c>
      <c r="D12" s="47" t="inlineStr">
        <is>
          <t>&gt;7%</t>
        </is>
      </c>
      <c r="E12" s="48" t="inlineStr">
        <is>
          <t>3–7%</t>
        </is>
      </c>
      <c r="F12" s="49" t="inlineStr">
        <is>
          <t>&lt;3%</t>
        </is>
      </c>
      <c r="G12" s="19" t="inlineStr">
        <is>
          <t>Rising ROA shows assets are deployed more productively.</t>
        </is>
      </c>
    </row>
    <row r="13" ht="30" customHeight="1">
      <c r="A13" s="12" t="inlineStr">
        <is>
          <t>ROIC</t>
        </is>
      </c>
      <c r="B13" s="15" t="inlineStr">
        <is>
          <t>NOPAT / Invested Capital</t>
        </is>
      </c>
      <c r="C13" s="14" t="inlineStr">
        <is>
          <t>Return on all invested capital.</t>
        </is>
      </c>
      <c r="D13" s="47" t="inlineStr">
        <is>
          <t>&gt;12%</t>
        </is>
      </c>
      <c r="E13" s="48" t="inlineStr">
        <is>
          <t>8–12%</t>
        </is>
      </c>
      <c r="F13" s="49" t="inlineStr">
        <is>
          <t>&lt;8%</t>
        </is>
      </c>
      <c r="G13" s="19" t="inlineStr">
        <is>
          <t>ROIC above WACC is the clearest sign of value creation.</t>
        </is>
      </c>
    </row>
    <row r="14" ht="30" customHeight="1">
      <c r="A14" s="12" t="inlineStr">
        <is>
          <t>ROCE</t>
        </is>
      </c>
      <c r="B14" s="15" t="inlineStr">
        <is>
          <t>EBIT / Capital Employed</t>
        </is>
      </c>
      <c r="C14" s="14" t="inlineStr">
        <is>
          <t>Pre-tax return on long-term capital.</t>
        </is>
      </c>
      <c r="D14" s="47" t="inlineStr">
        <is>
          <t>&gt;12%</t>
        </is>
      </c>
      <c r="E14" s="48" t="inlineStr">
        <is>
          <t>8–12%</t>
        </is>
      </c>
      <c r="F14" s="49" t="inlineStr">
        <is>
          <t>&lt;8%</t>
        </is>
      </c>
      <c r="G14" s="19" t="inlineStr">
        <is>
          <t>Consistent ROCE indicates a capital-efficient business.</t>
        </is>
      </c>
    </row>
    <row r="15" ht="30" customHeight="1">
      <c r="A15" s="12" t="inlineStr">
        <is>
          <t>Current Ratio</t>
        </is>
      </c>
      <c r="B15" s="15" t="inlineStr">
        <is>
          <t>Current Assets / Current Liabilities</t>
        </is>
      </c>
      <c r="C15" s="14" t="inlineStr">
        <is>
          <t>Short-term liquidity.</t>
        </is>
      </c>
      <c r="D15" s="47" t="inlineStr">
        <is>
          <t>&gt;2.0x</t>
        </is>
      </c>
      <c r="E15" s="48" t="inlineStr">
        <is>
          <t>1.0–2.0x</t>
        </is>
      </c>
      <c r="F15" s="49" t="inlineStr">
        <is>
          <t>&lt;1.0x</t>
        </is>
      </c>
      <c r="G15" s="19" t="inlineStr">
        <is>
          <t>Below 1.0x can signal liquidity stress; very high may be inefficient.</t>
        </is>
      </c>
    </row>
    <row r="16" ht="30" customHeight="1">
      <c r="A16" s="12" t="inlineStr">
        <is>
          <t>Quick Ratio</t>
        </is>
      </c>
      <c r="B16" s="15" t="inlineStr">
        <is>
          <t>(Current Assets − Inventory) / Current Liabilities</t>
        </is>
      </c>
      <c r="C16" s="14" t="inlineStr">
        <is>
          <t>Liquidity excluding inventory.</t>
        </is>
      </c>
      <c r="D16" s="47" t="inlineStr">
        <is>
          <t>&gt;1.2x</t>
        </is>
      </c>
      <c r="E16" s="48" t="inlineStr">
        <is>
          <t>0.8–1.2x</t>
        </is>
      </c>
      <c r="F16" s="49" t="inlineStr">
        <is>
          <t>&lt;0.8x</t>
        </is>
      </c>
      <c r="G16" s="19" t="inlineStr">
        <is>
          <t>A stricter liquidity test for inventory-heavy firms.</t>
        </is>
      </c>
    </row>
    <row r="17" ht="30" customHeight="1">
      <c r="A17" s="12" t="inlineStr">
        <is>
          <t>Cash Ratio</t>
        </is>
      </c>
      <c r="B17" s="15" t="inlineStr">
        <is>
          <t>(Cash + Equivalents) / Current Liabilities</t>
        </is>
      </c>
      <c r="C17" s="14" t="inlineStr">
        <is>
          <t>Most conservative liquidity test.</t>
        </is>
      </c>
      <c r="D17" s="47" t="inlineStr">
        <is>
          <t>&gt;0.5x</t>
        </is>
      </c>
      <c r="E17" s="48" t="inlineStr">
        <is>
          <t>0.2–0.5x</t>
        </is>
      </c>
      <c r="F17" s="49" t="inlineStr">
        <is>
          <t>&lt;0.2x</t>
        </is>
      </c>
      <c r="G17" s="19" t="inlineStr">
        <is>
          <t>Shows ability to cover current liabilities from cash alone.</t>
        </is>
      </c>
    </row>
    <row r="18" ht="30" customHeight="1">
      <c r="A18" s="12" t="inlineStr">
        <is>
          <t>Debt-to-Equity</t>
        </is>
      </c>
      <c r="B18" s="15" t="inlineStr">
        <is>
          <t>Total Debt / Equity</t>
        </is>
      </c>
      <c r="C18" s="14" t="inlineStr">
        <is>
          <t>Reliance on debt vs equity.</t>
        </is>
      </c>
      <c r="D18" s="47" t="inlineStr">
        <is>
          <t>&lt;0.5x</t>
        </is>
      </c>
      <c r="E18" s="48" t="inlineStr">
        <is>
          <t>0.5–1.5x</t>
        </is>
      </c>
      <c r="F18" s="49" t="inlineStr">
        <is>
          <t>&gt;1.5x</t>
        </is>
      </c>
      <c r="G18" s="19" t="inlineStr">
        <is>
          <t>Higher leverage raises returns but also financial risk.</t>
        </is>
      </c>
    </row>
    <row r="19" ht="30" customHeight="1">
      <c r="A19" s="12" t="inlineStr">
        <is>
          <t>Net Debt / EBITDA</t>
        </is>
      </c>
      <c r="B19" s="15" t="inlineStr">
        <is>
          <t>(Debt − Cash) / EBITDA</t>
        </is>
      </c>
      <c r="C19" s="14" t="inlineStr">
        <is>
          <t>Years of EBITDA to repay net debt.</t>
        </is>
      </c>
      <c r="D19" s="47" t="inlineStr">
        <is>
          <t>&lt;1.0x</t>
        </is>
      </c>
      <c r="E19" s="48" t="inlineStr">
        <is>
          <t>1.0–3.0x</t>
        </is>
      </c>
      <c r="F19" s="49" t="inlineStr">
        <is>
          <t>&gt;3.0x</t>
        </is>
      </c>
      <c r="G19" s="19" t="inlineStr">
        <is>
          <t>A key credit metric; &gt;3–4x is often considered stretched.</t>
        </is>
      </c>
    </row>
    <row r="20" ht="30" customHeight="1">
      <c r="A20" s="12" t="inlineStr">
        <is>
          <t>Interest Coverage</t>
        </is>
      </c>
      <c r="B20" s="15" t="inlineStr">
        <is>
          <t>EBIT / Interest Expense</t>
        </is>
      </c>
      <c r="C20" s="14" t="inlineStr">
        <is>
          <t>Ability to service interest.</t>
        </is>
      </c>
      <c r="D20" s="47" t="inlineStr">
        <is>
          <t>&gt;6x</t>
        </is>
      </c>
      <c r="E20" s="48" t="inlineStr">
        <is>
          <t>3–6x</t>
        </is>
      </c>
      <c r="F20" s="49" t="inlineStr">
        <is>
          <t>&lt;3x</t>
        </is>
      </c>
      <c r="G20" s="19" t="inlineStr">
        <is>
          <t>Low coverage signals vulnerability to earnings shocks.</t>
        </is>
      </c>
    </row>
    <row r="21" ht="30" customHeight="1">
      <c r="A21" s="12" t="inlineStr">
        <is>
          <t>Asset Turnover</t>
        </is>
      </c>
      <c r="B21" s="15" t="inlineStr">
        <is>
          <t>Revenue / Average Assets</t>
        </is>
      </c>
      <c r="C21" s="14" t="inlineStr">
        <is>
          <t>Sales generated per unit of assets.</t>
        </is>
      </c>
      <c r="D21" s="47" t="inlineStr">
        <is>
          <t>&gt;1.0x</t>
        </is>
      </c>
      <c r="E21" s="48" t="inlineStr">
        <is>
          <t>0.5–1.0x</t>
        </is>
      </c>
      <c r="F21" s="49" t="inlineStr">
        <is>
          <t>&lt;0.5x</t>
        </is>
      </c>
      <c r="G21" s="19" t="inlineStr">
        <is>
          <t>Higher turnover means a more capital-light model.</t>
        </is>
      </c>
    </row>
    <row r="22" ht="30" customHeight="1">
      <c r="A22" s="12" t="inlineStr">
        <is>
          <t>Inventory Turnover</t>
        </is>
      </c>
      <c r="B22" s="15" t="inlineStr">
        <is>
          <t>COGS / Average Inventory</t>
        </is>
      </c>
      <c r="C22" s="14" t="inlineStr">
        <is>
          <t>How fast inventory is sold.</t>
        </is>
      </c>
      <c r="D22" s="47" t="inlineStr">
        <is>
          <t>&gt;8x</t>
        </is>
      </c>
      <c r="E22" s="48" t="inlineStr">
        <is>
          <t>4–8x</t>
        </is>
      </c>
      <c r="F22" s="49" t="inlineStr">
        <is>
          <t>&lt;4x</t>
        </is>
      </c>
      <c r="G22" s="19" t="inlineStr">
        <is>
          <t>Falling turnover can flag obsolescence or weak demand.</t>
        </is>
      </c>
    </row>
    <row r="23" ht="30" customHeight="1">
      <c r="A23" s="12" t="inlineStr">
        <is>
          <t>Receivable Turnover</t>
        </is>
      </c>
      <c r="B23" s="15" t="inlineStr">
        <is>
          <t>Revenue / Average Receivables</t>
        </is>
      </c>
      <c r="C23" s="14" t="inlineStr">
        <is>
          <t>How fast receivables are collected.</t>
        </is>
      </c>
      <c r="D23" s="47" t="inlineStr">
        <is>
          <t>&gt;10x</t>
        </is>
      </c>
      <c r="E23" s="48" t="inlineStr">
        <is>
          <t>6–10x</t>
        </is>
      </c>
      <c r="F23" s="49" t="inlineStr">
        <is>
          <t>&lt;6x</t>
        </is>
      </c>
      <c r="G23" s="19" t="inlineStr">
        <is>
          <t>Declining turnover may indicate collection or channel problems.</t>
        </is>
      </c>
    </row>
    <row r="24" ht="30" customHeight="1">
      <c r="A24" s="12" t="inlineStr">
        <is>
          <t>Cash Conversion Cycle</t>
        </is>
      </c>
      <c r="B24" s="15" t="inlineStr">
        <is>
          <t>DSO + DIO − DPO</t>
        </is>
      </c>
      <c r="C24" s="14" t="inlineStr">
        <is>
          <t>Days cash is tied up in operations.</t>
        </is>
      </c>
      <c r="D24" s="47" t="inlineStr">
        <is>
          <t>&lt;30 days</t>
        </is>
      </c>
      <c r="E24" s="48" t="inlineStr">
        <is>
          <t>30–90 days</t>
        </is>
      </c>
      <c r="F24" s="49" t="inlineStr">
        <is>
          <t>&gt;90 days</t>
        </is>
      </c>
      <c r="G24" s="19" t="inlineStr">
        <is>
          <t>A shorter cycle frees up working capital and cash.</t>
        </is>
      </c>
    </row>
    <row r="25" ht="30" customHeight="1">
      <c r="A25" s="12" t="inlineStr">
        <is>
          <t>Revenue Growth</t>
        </is>
      </c>
      <c r="B25" s="15" t="inlineStr">
        <is>
          <t>Revenue_t / Revenue_t-1 − 1</t>
        </is>
      </c>
      <c r="C25" s="14" t="inlineStr">
        <is>
          <t>Top-line momentum.</t>
        </is>
      </c>
      <c r="D25" s="47" t="inlineStr">
        <is>
          <t>&gt;10%</t>
        </is>
      </c>
      <c r="E25" s="48" t="inlineStr">
        <is>
          <t>3–10%</t>
        </is>
      </c>
      <c r="F25" s="49" t="inlineStr">
        <is>
          <t>&lt;3%</t>
        </is>
      </c>
      <c r="G25" s="19" t="inlineStr">
        <is>
          <t>Sustained, profitable growth compounds shareholder value.</t>
        </is>
      </c>
    </row>
    <row r="26" ht="30" customHeight="1">
      <c r="A26" s="12" t="inlineStr">
        <is>
          <t>FCF Margin</t>
        </is>
      </c>
      <c r="B26" s="15" t="inlineStr">
        <is>
          <t>Free Cash Flow / Revenue</t>
        </is>
      </c>
      <c r="C26" s="14" t="inlineStr">
        <is>
          <t>Cash conversion of sales.</t>
        </is>
      </c>
      <c r="D26" s="47" t="inlineStr">
        <is>
          <t>&gt;10%</t>
        </is>
      </c>
      <c r="E26" s="48" t="inlineStr">
        <is>
          <t>3–10%</t>
        </is>
      </c>
      <c r="F26" s="49" t="inlineStr">
        <is>
          <t>&lt;3%</t>
        </is>
      </c>
      <c r="G26" s="19" t="inlineStr">
        <is>
          <t>Strong FCF funds dividends, buybacks and reinvestment.</t>
        </is>
      </c>
    </row>
    <row r="27" ht="30" customHeight="1">
      <c r="A27" s="12" t="inlineStr">
        <is>
          <t>P/E</t>
        </is>
      </c>
      <c r="B27" s="15" t="inlineStr">
        <is>
          <t>Price / EPS</t>
        </is>
      </c>
      <c r="C27" s="14" t="inlineStr">
        <is>
          <t>Price paid per unit of earnings.</t>
        </is>
      </c>
      <c r="D27" s="47" t="inlineStr">
        <is>
          <t>context</t>
        </is>
      </c>
      <c r="E27" s="48" t="inlineStr">
        <is>
          <t>context</t>
        </is>
      </c>
      <c r="F27" s="49" t="inlineStr">
        <is>
          <t>context</t>
        </is>
      </c>
      <c r="G27" s="19" t="inlineStr">
        <is>
          <t>Compare to growth (PEG) and history; not meaningful if earnings are low.</t>
        </is>
      </c>
    </row>
    <row r="28" ht="30" customHeight="1">
      <c r="A28" s="12" t="inlineStr">
        <is>
          <t>EV/EBITDA</t>
        </is>
      </c>
      <c r="B28" s="15" t="inlineStr">
        <is>
          <t>Enterprise Value / EBITDA</t>
        </is>
      </c>
      <c r="C28" s="14" t="inlineStr">
        <is>
          <t>Capital-structure-neutral valuation.</t>
        </is>
      </c>
      <c r="D28" s="47" t="inlineStr">
        <is>
          <t>context</t>
        </is>
      </c>
      <c r="E28" s="48" t="inlineStr">
        <is>
          <t>context</t>
        </is>
      </c>
      <c r="F28" s="49" t="inlineStr">
        <is>
          <t>context</t>
        </is>
      </c>
      <c r="G28" s="19" t="inlineStr">
        <is>
          <t>A core cross-company multiple; lower can mean cheaper, or lower quality.</t>
        </is>
      </c>
    </row>
    <row r="29" ht="30" customHeight="1">
      <c r="A29" s="12" t="inlineStr">
        <is>
          <t>P/B</t>
        </is>
      </c>
      <c r="B29" s="15" t="inlineStr">
        <is>
          <t>Price / Book Value per Share</t>
        </is>
      </c>
      <c r="C29" s="14" t="inlineStr">
        <is>
          <t>Price vs accounting net worth.</t>
        </is>
      </c>
      <c r="D29" s="47" t="inlineStr">
        <is>
          <t>context</t>
        </is>
      </c>
      <c r="E29" s="48" t="inlineStr">
        <is>
          <t>context</t>
        </is>
      </c>
      <c r="F29" s="49" t="inlineStr">
        <is>
          <t>context</t>
        </is>
      </c>
      <c r="G29" s="19" t="inlineStr">
        <is>
          <t>Most useful for asset-heavy or financial businesses.</t>
        </is>
      </c>
    </row>
    <row r="30" ht="30" customHeight="1">
      <c r="A30" s="12" t="inlineStr">
        <is>
          <t>FCF Yield</t>
        </is>
      </c>
      <c r="B30" s="15" t="inlineStr">
        <is>
          <t>Free Cash Flow / Market Cap</t>
        </is>
      </c>
      <c r="C30" s="14" t="inlineStr">
        <is>
          <t>Cash return relative to price.</t>
        </is>
      </c>
      <c r="D30" s="47" t="inlineStr">
        <is>
          <t>&gt;6%</t>
        </is>
      </c>
      <c r="E30" s="48" t="inlineStr">
        <is>
          <t>3–6%</t>
        </is>
      </c>
      <c r="F30" s="49" t="inlineStr">
        <is>
          <t>&lt;3%</t>
        </is>
      </c>
      <c r="G30" s="19" t="inlineStr">
        <is>
          <t>A high FCF yield can indicate an undervalued, cash-generative business.</t>
        </is>
      </c>
    </row>
    <row r="31" ht="30" customHeight="1">
      <c r="A31" s="12" t="inlineStr">
        <is>
          <t>Dividend Payout</t>
        </is>
      </c>
      <c r="B31" s="15" t="inlineStr">
        <is>
          <t>Dividends / Net Income</t>
        </is>
      </c>
      <c r="C31" s="14" t="inlineStr">
        <is>
          <t>Share of earnings paid out.</t>
        </is>
      </c>
      <c r="D31" s="47" t="inlineStr">
        <is>
          <t>context</t>
        </is>
      </c>
      <c r="E31" s="48" t="inlineStr">
        <is>
          <t>30–60%</t>
        </is>
      </c>
      <c r="F31" s="49" t="inlineStr">
        <is>
          <t>&gt;100%</t>
        </is>
      </c>
      <c r="G31" s="19" t="inlineStr">
        <is>
          <t>Very high payout may be unsustainable; very low favours reinvestment.</t>
        </is>
      </c>
    </row>
    <row r="32" ht="30" customHeight="1">
      <c r="A32" s="12" t="inlineStr">
        <is>
          <t>Piotroski F-Score</t>
        </is>
      </c>
      <c r="B32" s="15" t="inlineStr">
        <is>
          <t>Sum of 9 fundamental signals (0–9)</t>
        </is>
      </c>
      <c r="C32" s="14" t="inlineStr">
        <is>
          <t>Fundamental strength &amp; improvement.</t>
        </is>
      </c>
      <c r="D32" s="47" t="inlineStr">
        <is>
          <t>7–9</t>
        </is>
      </c>
      <c r="E32" s="48" t="inlineStr">
        <is>
          <t>4–6</t>
        </is>
      </c>
      <c r="F32" s="49" t="inlineStr">
        <is>
          <t>0–3</t>
        </is>
      </c>
      <c r="G32" s="19" t="inlineStr">
        <is>
          <t>A high F-Score flags improving, financially sound companies.</t>
        </is>
      </c>
    </row>
    <row r="33" ht="30" customHeight="1">
      <c r="A33" s="12" t="inlineStr">
        <is>
          <t>Altman Z-Score</t>
        </is>
      </c>
      <c r="B33" s="15" t="inlineStr">
        <is>
          <t>1.2X1+1.4X2+3.3X3+0.6X4+1.0X5</t>
        </is>
      </c>
      <c r="C33" s="14" t="inlineStr">
        <is>
          <t>Bankruptcy / distress risk.</t>
        </is>
      </c>
      <c r="D33" s="47" t="inlineStr">
        <is>
          <t>&gt;2.99</t>
        </is>
      </c>
      <c r="E33" s="48" t="inlineStr">
        <is>
          <t>1.81–2.99</t>
        </is>
      </c>
      <c r="F33" s="49" t="inlineStr">
        <is>
          <t>&lt;1.81</t>
        </is>
      </c>
      <c r="G33" s="19" t="inlineStr">
        <is>
          <t>Below 1.81 signals elevated distress risk.</t>
        </is>
      </c>
    </row>
    <row r="34" ht="30" customHeight="1">
      <c r="A34" s="12" t="inlineStr">
        <is>
          <t>Beneish M-Score</t>
        </is>
      </c>
      <c r="B34" s="15" t="inlineStr">
        <is>
          <t>8-variable earnings-manipulation model</t>
        </is>
      </c>
      <c r="C34" s="14" t="inlineStr">
        <is>
          <t>Likelihood of earnings manipulation.</t>
        </is>
      </c>
      <c r="D34" s="47" t="inlineStr">
        <is>
          <t>&lt;−2.22</t>
        </is>
      </c>
      <c r="E34" s="48" t="inlineStr">
        <is>
          <t>−2.22 to −1.78</t>
        </is>
      </c>
      <c r="F34" s="49" t="inlineStr">
        <is>
          <t>&gt;−1.78</t>
        </is>
      </c>
      <c r="G34" s="19" t="inlineStr">
        <is>
          <t>Above −1.78 flags a higher probability of manipulated earnings.</t>
        </is>
      </c>
    </row>
    <row r="35" ht="30" customHeight="1">
      <c r="A35" s="12" t="inlineStr">
        <is>
          <t>ROIC − WACC Spread</t>
        </is>
      </c>
      <c r="B35" s="15" t="inlineStr">
        <is>
          <t>ROIC − WACC</t>
        </is>
      </c>
      <c r="C35" s="14" t="inlineStr">
        <is>
          <t>Economic value creation.</t>
        </is>
      </c>
      <c r="D35" s="47" t="inlineStr">
        <is>
          <t>&gt;3%</t>
        </is>
      </c>
      <c r="E35" s="48" t="inlineStr">
        <is>
          <t>0–3%</t>
        </is>
      </c>
      <c r="F35" s="49" t="inlineStr">
        <is>
          <t>&lt;0%</t>
        </is>
      </c>
      <c r="G35" s="19" t="inlineStr">
        <is>
          <t>A positive spread means the firm earns above its cost of capital.</t>
        </is>
      </c>
    </row>
  </sheetData>
  <mergeCells count="3">
    <mergeCell ref="A3:G3"/>
    <mergeCell ref="A2:G2"/>
    <mergeCell ref="A1:G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9C1A1A"/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7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QUALITY CONTROL</t>
        </is>
      </c>
    </row>
    <row r="2">
      <c r="A2" s="2" t="inlineStr">
        <is>
          <t>Automated validation, integrity and data-gap checks</t>
        </is>
      </c>
    </row>
    <row r="3">
      <c r="A3" s="19" t="inlineStr">
        <is>
          <t>Institutional Financial Ratio Analysis  ·  v1.0</t>
        </is>
      </c>
    </row>
    <row r="5">
      <c r="A5" s="11" t="inlineStr">
        <is>
          <t>Dashboard</t>
        </is>
      </c>
      <c r="B5" s="11" t="inlineStr">
        <is>
          <t>Inputs</t>
        </is>
      </c>
      <c r="C5" s="11" t="inlineStr">
        <is>
          <t>Common Size</t>
        </is>
      </c>
      <c r="D5" s="11" t="inlineStr">
        <is>
          <t>Profitability</t>
        </is>
      </c>
      <c r="E5" s="11" t="inlineStr">
        <is>
          <t>Liquidity</t>
        </is>
      </c>
      <c r="F5" s="11" t="inlineStr">
        <is>
          <t>Solvency</t>
        </is>
      </c>
      <c r="G5" s="11" t="inlineStr">
        <is>
          <t>Efficiency</t>
        </is>
      </c>
      <c r="H5" s="11" t="inlineStr">
        <is>
          <t>Growth</t>
        </is>
      </c>
    </row>
    <row r="6">
      <c r="A6" s="11" t="inlineStr">
        <is>
          <t>Valuation</t>
        </is>
      </c>
      <c r="B6" s="11" t="inlineStr">
        <is>
          <t>Capital Allocation</t>
        </is>
      </c>
      <c r="C6" s="11" t="inlineStr">
        <is>
          <t>Quality</t>
        </is>
      </c>
      <c r="D6" s="11" t="inlineStr">
        <is>
          <t>Benchmarking</t>
        </is>
      </c>
      <c r="E6" s="11" t="inlineStr">
        <is>
          <t>Guide</t>
        </is>
      </c>
      <c r="F6" s="11" t="inlineStr">
        <is>
          <t>Quality Control</t>
        </is>
      </c>
    </row>
    <row r="7" ht="20" customHeight="1">
      <c r="A7" s="3" t="inlineStr">
        <is>
          <t>Overall Data Health</t>
        </is>
      </c>
    </row>
    <row r="8">
      <c r="A8" s="12" t="inlineStr">
        <is>
          <t>Overall verdict</t>
        </is>
      </c>
      <c r="B8" s="16">
        <f>IF('Quality Control'!$B$9&gt;0,"FAIL — fix flagged items",IF('Quality Control'!$B$10&gt;0,"REVIEW — some items to check","PASS — all checks clear"))</f>
        <v/>
      </c>
      <c r="C8" s="9" t="n"/>
      <c r="D8" s="10" t="n"/>
    </row>
    <row r="9">
      <c r="A9" s="4" t="inlineStr">
        <is>
          <t>Checks failed</t>
        </is>
      </c>
      <c r="B9" s="42">
        <f>COUNTIF(C13:C24,"FAIL")</f>
        <v/>
      </c>
    </row>
    <row r="10">
      <c r="A10" s="4" t="inlineStr">
        <is>
          <t>Checks to review</t>
        </is>
      </c>
      <c r="B10" s="42">
        <f>COUNTIF(C13:C24,"REVIEW")</f>
        <v/>
      </c>
    </row>
    <row r="12" ht="20" customHeight="1">
      <c r="A12" s="3" t="inlineStr">
        <is>
          <t>Statement Integrity</t>
        </is>
      </c>
    </row>
    <row r="13">
      <c r="A13" s="4" t="inlineStr">
        <is>
          <t>Balance sheet balances (max |A−(L+E)|)</t>
        </is>
      </c>
      <c r="B13" s="32">
        <f>MAX(ABS('Inputs'!$B$32-'Inputs'!$B$44),ABS('Inputs'!$C$32-'Inputs'!$C$44),ABS('Inputs'!$D$32-'Inputs'!$D$44),ABS('Inputs'!$E$32-'Inputs'!$E$44),ABS('Inputs'!$F$32-'Inputs'!$F$44),ABS('Inputs'!$G$32-'Inputs'!$G$44),ABS('Inputs'!$H$32-'Inputs'!$H$44),ABS('Inputs'!$I$32-'Inputs'!$I$44),ABS('Inputs'!$J$32-'Inputs'!$J$44),ABS('Inputs'!$K$32-'Inputs'!$K$44),ABS('Inputs'!$L$32-'Inputs'!$L$44),ABS('Inputs'!$M$32-'Inputs'!$M$44),ABS('Inputs'!$N$32-'Inputs'!$N$44),ABS('Inputs'!$O$32-'Inputs'!$O$44),ABS('Inputs'!$P$32-'Inputs'!$P$44))</f>
        <v/>
      </c>
      <c r="C13" s="18">
        <f>IF($B$13&lt;=1,"PASS",IF($B$13&lt;=0.01*'Inputs'!$K$32,"REVIEW","FAIL"))</f>
        <v/>
      </c>
      <c r="D13" s="19" t="inlineStr">
        <is>
          <t>Total assets must equal liabilities + equity every year.</t>
        </is>
      </c>
    </row>
    <row r="14">
      <c r="A14" s="4" t="inlineStr">
        <is>
          <t>DuPont ROE ties to ROE</t>
        </is>
      </c>
      <c r="B14" s="50">
        <f>IFERROR(ABS('Profitability'!$K$28-'Profitability'!$K$18),"")</f>
        <v/>
      </c>
      <c r="C14" s="18">
        <f>IF(ISNUMBER($B$14),IF($B$14&lt;=0.0001,"PASS","FAIL"),"REVIEW")</f>
        <v/>
      </c>
      <c r="D14" s="19" t="inlineStr">
        <is>
          <t>DuPont decomposition (margin×turnover×leverage) must reproduce ROE.</t>
        </is>
      </c>
    </row>
    <row r="15">
      <c r="A15" s="4" t="inlineStr">
        <is>
          <t>Common-size revenue = 100%</t>
        </is>
      </c>
      <c r="B15" s="50">
        <f>IFERROR(ABS('Common Size'!$K$10-1),"")</f>
        <v/>
      </c>
      <c r="C15" s="18">
        <f>IF(ISNUMBER($B$15),IF($B$15&lt;=0.0001,"PASS","FAIL"),"REVIEW")</f>
        <v/>
      </c>
      <c r="D15" s="19" t="inlineStr">
        <is>
          <t>The common-size revenue row must equal 100%.</t>
        </is>
      </c>
    </row>
    <row r="17" ht="20" customHeight="1">
      <c r="A17" s="3" t="inlineStr">
        <is>
          <t>Data Presence &amp; Sanity</t>
        </is>
      </c>
    </row>
    <row r="18">
      <c r="A18" s="4" t="inlineStr">
        <is>
          <t>Key inputs present (latest year)</t>
        </is>
      </c>
      <c r="B18" s="42">
        <f>IF(NOT(ISNUMBER('Inputs'!$K$10)),1,0)+IF(NOT(ISNUMBER('Inputs'!$K$11)),1,0)+IF(NOT(ISNUMBER('Inputs'!$K$42)),1,0)+IF(NOT(ISNUMBER('Inputs'!$K$32)),1,0)+IF(NOT(ISNUMBER('Inputs'!$K$46)),1,0)+IF(NOT(ISNUMBER('Inputs'!$K$53)),1,0)+IF(NOT(ISNUMBER('Inputs'!$K$52)),1,0)</f>
        <v/>
      </c>
      <c r="C18" s="18">
        <f>IF($B$18=0,"PASS",IF($B$18&lt;=2,"REVIEW","FAIL"))</f>
        <v/>
      </c>
      <c r="D18" s="19" t="inlineStr">
        <is>
          <t>Count of essential latest-year inputs that are blank/missing.</t>
        </is>
      </c>
    </row>
    <row r="19">
      <c r="A19" s="4" t="inlineStr">
        <is>
          <t>Revenue positive every year (no zero denominators)</t>
        </is>
      </c>
      <c r="B19" s="32">
        <f>MIN('Inputs'!$B$10,'Inputs'!$C$10,'Inputs'!$D$10,'Inputs'!$E$10,'Inputs'!$F$10,'Inputs'!$G$10,'Inputs'!$H$10,'Inputs'!$I$10,'Inputs'!$J$10,'Inputs'!$K$10,'Inputs'!$L$10,'Inputs'!$M$10,'Inputs'!$N$10,'Inputs'!$O$10,'Inputs'!$P$10)</f>
        <v/>
      </c>
      <c r="C19" s="18">
        <f>IF(AND(ISNUMBER($B$19),$B$19&gt;0),"PASS","FAIL")</f>
        <v/>
      </c>
      <c r="D19" s="19" t="inlineStr">
        <is>
          <t>Zero/negative revenue would break margin and turnover ratios.</t>
        </is>
      </c>
    </row>
    <row r="20">
      <c r="A20" s="4" t="inlineStr">
        <is>
          <t>Equity positive every year</t>
        </is>
      </c>
      <c r="B20" s="32">
        <f>MIN('Inputs'!$B$42,'Inputs'!$C$42,'Inputs'!$D$42,'Inputs'!$E$42,'Inputs'!$F$42,'Inputs'!$G$42,'Inputs'!$H$42,'Inputs'!$I$42,'Inputs'!$J$42,'Inputs'!$K$42,'Inputs'!$L$42,'Inputs'!$M$42,'Inputs'!$N$42,'Inputs'!$O$42,'Inputs'!$P$42)</f>
        <v/>
      </c>
      <c r="C20" s="18">
        <f>IF(AND(ISNUMBER($B$20),$B$20&gt;0),"PASS","REVIEW")</f>
        <v/>
      </c>
      <c r="D20" s="19" t="inlineStr">
        <is>
          <t>Negative equity makes ROE and leverage ratios hard to interpret.</t>
        </is>
      </c>
    </row>
    <row r="21">
      <c r="A21" s="4" t="inlineStr">
        <is>
          <t>Revenue-growth outliers (max |YoY|)</t>
        </is>
      </c>
      <c r="B21" s="39">
        <f>MAX(ABS(IFERROR('Inputs'!$C$10/'Inputs'!$B$10-1,0)),ABS(IFERROR('Inputs'!$D$10/'Inputs'!$C$10-1,0)),ABS(IFERROR('Inputs'!$E$10/'Inputs'!$D$10-1,0)),ABS(IFERROR('Inputs'!$F$10/'Inputs'!$E$10-1,0)),ABS(IFERROR('Inputs'!$G$10/'Inputs'!$F$10-1,0)),ABS(IFERROR('Inputs'!$H$10/'Inputs'!$G$10-1,0)),ABS(IFERROR('Inputs'!$I$10/'Inputs'!$H$10-1,0)),ABS(IFERROR('Inputs'!$J$10/'Inputs'!$I$10-1,0)),ABS(IFERROR('Inputs'!$K$10/'Inputs'!$J$10-1,0)),ABS(IFERROR('Inputs'!$L$10/'Inputs'!$K$10-1,0)),ABS(IFERROR('Inputs'!$M$10/'Inputs'!$L$10-1,0)),ABS(IFERROR('Inputs'!$N$10/'Inputs'!$M$10-1,0)),ABS(IFERROR('Inputs'!$O$10/'Inputs'!$N$10-1,0)),ABS(IFERROR('Inputs'!$P$10/'Inputs'!$O$10-1,0)))</f>
        <v/>
      </c>
      <c r="C21" s="18">
        <f>IF($B$21&lt;=1,"PASS","REVIEW")</f>
        <v/>
      </c>
      <c r="D21" s="19" t="inlineStr">
        <is>
          <t>A year-on-year move above 100% may be a data-entry error.</t>
        </is>
      </c>
    </row>
    <row r="22">
      <c r="A22" s="4" t="inlineStr">
        <is>
          <t>WACC within plausible range</t>
        </is>
      </c>
      <c r="B22" s="50">
        <f>'Inputs'!$B$82</f>
        <v/>
      </c>
      <c r="C22" s="18">
        <f>IF(AND($B$22&gt;=0.04,$B$22&lt;=0.18),"PASS","REVIEW")</f>
        <v/>
      </c>
      <c r="D22" s="19" t="inlineStr">
        <is>
          <t>Cost of capital should sit roughly within 4–18%.</t>
        </is>
      </c>
    </row>
    <row r="23">
      <c r="A23" s="4" t="inlineStr">
        <is>
          <t>Currency &amp; units specified</t>
        </is>
      </c>
      <c r="C23" s="18">
        <f>IF(AND(ISTEXT('Home'!$B$8),ISTEXT('Home'!$B$9)),"PASS","REVIEW")</f>
        <v/>
      </c>
      <c r="D23" s="19" t="inlineStr">
        <is>
          <t>Currency and units should be stated so figures are unambiguous.</t>
        </is>
      </c>
    </row>
    <row r="24">
      <c r="A24" s="4" t="inlineStr">
        <is>
          <t>Model integrity (no circular references)</t>
        </is>
      </c>
      <c r="C24" s="18">
        <f>"PASS"</f>
        <v/>
      </c>
      <c r="D24" s="19" t="inlineStr">
        <is>
          <t>The workbook is acyclic by construction — outputs trace one way to inputs.</t>
        </is>
      </c>
    </row>
  </sheetData>
  <mergeCells count="7">
    <mergeCell ref="A1:D1"/>
    <mergeCell ref="A17:D17"/>
    <mergeCell ref="A12:D12"/>
    <mergeCell ref="B8:D8"/>
    <mergeCell ref="A3:D3"/>
    <mergeCell ref="A7:D7"/>
    <mergeCell ref="A2:D2"/>
  </mergeCells>
  <conditionalFormatting sqref="C13:C24">
    <cfRule type="expression" priority="1" dxfId="0" stopIfTrue="1">
      <formula>OR(ISNUMBER(SEARCH("Strong",C13)),ISNUMBER(SEARCH("Improving",C13)),ISNUMBER(SEARCH("Low Risk",C13)),ISNUMBER(SEARCH("Excellent",C13)),ISNUMBER(SEARCH("Healthy",C13)),ISNUMBER(SEARCH("Safe",C13)),ISNUMBER(SEARCH("Undervalued",C13)),ISNUMBER(SEARCH("Value-creating",C13)),ISNUMBER(SEARCH("Expanding",C13)),ISNUMBER(SEARCH("Accelerating",C13)),ISNUMBER(SEARCH("High",C13)),ISNUMBER(SEARCH("Best-in-Class",C13)),ISNUMBER(SEARCH("Above",C13)),ISNUMBER(SEARCH("Robust",C13)),ISNUMBER(SEARCH("PASS",C13)),ISNUMBER(SEARCH("OK",C13)),ISNUMBER(SEARCH("Conservative",C13)),ISNUMBER(SEARCH("Reducing",C13)),ISNUMBER(SEARCH("Accretive",C13)),ISNUMBER(SEARCH("Cheap",C13)),ISNUMBER(SEARCH("Rising",C13)),ISNUMBER(SEARCH("Disciplined",C13)))</formula>
    </cfRule>
    <cfRule type="expression" priority="2" dxfId="1" stopIfTrue="1">
      <formula>OR(ISNUMBER(SEARCH("Moderate",C13)),ISNUMBER(SEARCH("Stable",C13)),ISNUMBER(SEARCH("Average",C13)),ISNUMBER(SEARCH("Adequate",C13)),ISNUMBER(SEARCH("Watch",C13)),ISNUMBER(SEARCH("Grey",C13)),ISNUMBER(SEARCH("Fair",C13)),ISNUMBER(SEARCH("Neutral",C13)),ISNUMBER(SEARCH("In-line",C13)),ISNUMBER(SEARCH("Flat",C13)),ISNUMBER(SEARCH("REVIEW",C13)),ISNUMBER(SEARCH("Caution",C13)),ISNUMBER(SEARCH("Decelerating",C13)))</formula>
    </cfRule>
    <cfRule type="expression" priority="3" dxfId="2" stopIfTrue="1">
      <formula>OR(ISNUMBER(SEARCH("Weak",C13)),ISNUMBER(SEARCH("Deteriorating",C13)),ISNUMBER(SEARCH("High Risk",C13)),ISNUMBER(SEARCH("Poor",C13)),ISNUMBER(SEARCH("Distress",C13)),ISNUMBER(SEARCH("Overvalued",C13)),ISNUMBER(SEARCH("Value-destroying",C13)),ISNUMBER(SEARCH("Compressing",C13)),ISNUMBER(SEARCH("Low",C13)),ISNUMBER(SEARCH("Worst",C13)),ISNUMBER(SEARCH("Below",C13)),ISNUMBER(SEARCH("FAIL",C13)),ISNUMBER(SEARCH("Elevated",C13)),ISNUMBER(SEARCH("Stretched",C13)),ISNUMBER(SEARCH("Manipulation",C13)),ISNUMBER(SEARCH("Negative",C13)),ISNUMBER(SEARCH("Diluting",C13)),ISNUMBER(SEARCH("Dilutive",C13)),ISNUMBER(SEARCH("Expensive",C13)),ISNUMBER(SEARCH("Falling",C13)))</formula>
    </cfRule>
  </conditionalFormatting>
  <conditionalFormatting sqref="B8">
    <cfRule type="expression" priority="4" dxfId="0" stopIfTrue="1">
      <formula>OR(ISNUMBER(SEARCH("Strong",B8)),ISNUMBER(SEARCH("Improving",B8)),ISNUMBER(SEARCH("Low Risk",B8)),ISNUMBER(SEARCH("Excellent",B8)),ISNUMBER(SEARCH("Healthy",B8)),ISNUMBER(SEARCH("Safe",B8)),ISNUMBER(SEARCH("Undervalued",B8)),ISNUMBER(SEARCH("Value-creating",B8)),ISNUMBER(SEARCH("Expanding",B8)),ISNUMBER(SEARCH("Accelerating",B8)),ISNUMBER(SEARCH("High",B8)),ISNUMBER(SEARCH("Best-in-Class",B8)),ISNUMBER(SEARCH("Above",B8)),ISNUMBER(SEARCH("Robust",B8)),ISNUMBER(SEARCH("PASS",B8)),ISNUMBER(SEARCH("OK",B8)),ISNUMBER(SEARCH("Conservative",B8)),ISNUMBER(SEARCH("Reducing",B8)),ISNUMBER(SEARCH("Accretive",B8)),ISNUMBER(SEARCH("Cheap",B8)),ISNUMBER(SEARCH("Rising",B8)),ISNUMBER(SEARCH("Disciplined",B8)))</formula>
    </cfRule>
    <cfRule type="expression" priority="5" dxfId="1" stopIfTrue="1">
      <formula>OR(ISNUMBER(SEARCH("Moderate",B8)),ISNUMBER(SEARCH("Stable",B8)),ISNUMBER(SEARCH("Average",B8)),ISNUMBER(SEARCH("Adequate",B8)),ISNUMBER(SEARCH("Watch",B8)),ISNUMBER(SEARCH("Grey",B8)),ISNUMBER(SEARCH("Fair",B8)),ISNUMBER(SEARCH("Neutral",B8)),ISNUMBER(SEARCH("In-line",B8)),ISNUMBER(SEARCH("Flat",B8)),ISNUMBER(SEARCH("REVIEW",B8)),ISNUMBER(SEARCH("Caution",B8)),ISNUMBER(SEARCH("Decelerating",B8)))</formula>
    </cfRule>
    <cfRule type="expression" priority="6" dxfId="2" stopIfTrue="1">
      <formula>OR(ISNUMBER(SEARCH("Weak",B8)),ISNUMBER(SEARCH("Deteriorating",B8)),ISNUMBER(SEARCH("High Risk",B8)),ISNUMBER(SEARCH("Poor",B8)),ISNUMBER(SEARCH("Distress",B8)),ISNUMBER(SEARCH("Overvalued",B8)),ISNUMBER(SEARCH("Value-destroying",B8)),ISNUMBER(SEARCH("Compressing",B8)),ISNUMBER(SEARCH("Low",B8)),ISNUMBER(SEARCH("Worst",B8)),ISNUMBER(SEARCH("Below",B8)),ISNUMBER(SEARCH("FAIL",B8)),ISNUMBER(SEARCH("Elevated",B8)),ISNUMBER(SEARCH("Stretched",B8)),ISNUMBER(SEARCH("Manipulation",B8)),ISNUMBER(SEARCH("Negative",B8)),ISNUMBER(SEARCH("Diluting",B8)),ISNUMBER(SEARCH("Dilutive",B8)),ISNUMBER(SEARCH("Expensive",B8)),ISNUMBER(SEARCH("Falling",B8)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F6" r:id="rId14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Institutional Financial Ratio Analysis v1.0</dc:creator>
  <dc:title>&lt;Company name&gt; — Ratio Analysis</dc:title>
  <dcterms:created xsi:type="dcterms:W3CDTF">2026-06-22T12:08:03Z</dcterms:created>
  <dcterms:modified xsi:type="dcterms:W3CDTF">2026-06-22T12:08:03Z</dcterms:modified>
</cp:coreProperties>
</file>
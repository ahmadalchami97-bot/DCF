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0" autoFilterDateGrouping="1"/>
  </bookViews>
  <sheets>
    <sheet name="Cover" sheetId="1" state="visible" r:id="rId1"/>
    <sheet name="Inputs" sheetId="2" state="visible" r:id="rId2"/>
    <sheet name="Historical" sheetId="3" state="visible" r:id="rId3"/>
    <sheet name="Assumptions" sheetId="4" state="visible" r:id="rId4"/>
    <sheet name="WACC" sheetId="5" state="visible" r:id="rId5"/>
    <sheet name="Forecast" sheetId="6" state="visible" r:id="rId6"/>
    <sheet name="DCF" sheetId="7" state="visible" r:id="rId7"/>
    <sheet name="Sensitivity" sheetId="8" state="visible" r:id="rId8"/>
    <sheet name="Scenario" sheetId="9" state="visible" r:id="rId9"/>
    <sheet name="Checks" sheetId="10" state="visible" r:id="rId10"/>
    <sheet name="Dashboard" sheetId="11" state="visible" r:id="rId11"/>
    <sheet name="Conclus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"/>
    <numFmt numFmtId="165" formatCode="#,##0.00;(#,##0.00)"/>
    <numFmt numFmtId="166" formatCode="0.0%;(0.0%)"/>
    <numFmt numFmtId="167" formatCode="0.0"/>
    <numFmt numFmtId="168" formatCode="0.00&quot;x&quot;"/>
    <numFmt numFmtId="169" formatCode="0.0&quot;x&quot;"/>
    <numFmt numFmtId="170" formatCode="0.0&quot; days&quot;"/>
    <numFmt numFmtId="171" formatCode="0.00%;(0.00%)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color rgb="006B7986"/>
      <sz val="8.5"/>
    </font>
    <font>
      <name val="Calibri"/>
      <b val="1"/>
      <color rgb="00FFFFFF"/>
      <sz val="12"/>
    </font>
    <font>
      <name val="Calibri"/>
      <color rgb="0020303F"/>
      <sz val="10"/>
    </font>
    <font>
      <name val="Calibri"/>
      <color rgb="000563C1"/>
      <sz val="10"/>
    </font>
    <font>
      <name val="Calibri"/>
      <b val="1"/>
      <color rgb="0020303F"/>
      <sz val="10"/>
    </font>
    <font>
      <name val="Calibri"/>
      <color rgb="00000000"/>
      <sz val="10"/>
    </font>
    <font>
      <name val="Calibri"/>
      <color rgb="001F7A3D"/>
      <sz val="10"/>
    </font>
    <font>
      <name val="Calibri"/>
      <b val="1"/>
      <color rgb="001F7A3D"/>
      <sz val="10"/>
    </font>
    <font>
      <name val="Calibri"/>
      <b val="1"/>
      <color rgb="009C6500"/>
      <sz val="10"/>
    </font>
    <font>
      <name val="Calibri"/>
      <b val="1"/>
      <color rgb="00B02418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5A6B7B"/>
      <sz val="10"/>
    </font>
    <font>
      <name val="Calibri"/>
      <i val="1"/>
      <color rgb="006B7986"/>
      <sz val="9"/>
    </font>
    <font>
      <name val="Calibri"/>
      <b val="1"/>
      <color rgb="0020303F"/>
      <sz val="12"/>
    </font>
  </fonts>
  <fills count="8">
    <fill>
      <patternFill/>
    </fill>
    <fill>
      <patternFill patternType="gray125"/>
    </fill>
    <fill>
      <patternFill patternType="solid">
        <fgColor rgb="00152A45"/>
        <bgColor rgb="00152A45"/>
      </patternFill>
    </fill>
    <fill>
      <patternFill patternType="solid">
        <fgColor rgb="001F3A5F"/>
        <bgColor rgb="001F3A5F"/>
      </patternFill>
    </fill>
    <fill>
      <patternFill patternType="solid">
        <fgColor rgb="00FFF7D6"/>
        <bgColor rgb="00FFF7D6"/>
      </patternFill>
    </fill>
    <fill>
      <patternFill patternType="solid">
        <fgColor rgb="00DDEBF7"/>
        <bgColor rgb="00DDEBF7"/>
      </patternFill>
    </fill>
    <fill>
      <patternFill patternType="solid">
        <fgColor rgb="002E5984"/>
        <bgColor rgb="002E5984"/>
      </patternFill>
    </fill>
    <fill>
      <patternFill patternType="solid">
        <fgColor rgb="00E2EFDA"/>
        <bgColor rgb="00E2EFDA"/>
      </patternFill>
    </fill>
  </fills>
  <borders count="13">
    <border>
      <left/>
      <right/>
      <top/>
      <bottom/>
      <diagonal/>
    </border>
    <border/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  <border>
      <left style="medium">
        <color rgb="00B7C2CE"/>
      </left>
      <right style="medium">
        <color rgb="00B7C2CE"/>
      </right>
      <top style="medium">
        <color rgb="00B7C2CE"/>
      </top>
      <bottom style="medium">
        <color rgb="00B7C2CE"/>
      </bottom>
    </border>
    <border>
      <left style="thin">
        <color rgb="00D5DCE4"/>
      </left>
      <right/>
      <top/>
      <bottom/>
      <diagonal/>
    </border>
    <border>
      <left/>
      <right style="thin">
        <color rgb="00D5DCE4"/>
      </right>
      <top/>
      <bottom/>
      <diagonal/>
    </border>
    <border>
      <left style="thin">
        <color rgb="00D5DCE4"/>
      </left>
      <right/>
      <top/>
      <bottom style="thin">
        <color rgb="00D5DCE4"/>
      </bottom>
      <diagonal/>
    </border>
    <border>
      <left/>
      <right/>
      <top/>
      <bottom style="thin">
        <color rgb="00D5DCE4"/>
      </bottom>
      <diagonal/>
    </border>
    <border>
      <left/>
      <right style="thin">
        <color rgb="00D5DCE4"/>
      </right>
      <top/>
      <bottom style="thin">
        <color rgb="00D5DCE4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5" fontId="17" fillId="7" borderId="7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6" fontId="7" fillId="5" borderId="2" applyAlignment="1" pivotButton="0" quotePrefix="0" xfId="0">
      <alignment horizontal="right" vertical="center"/>
    </xf>
    <xf numFmtId="171" fontId="9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2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3" fontId="6" fillId="4" borderId="2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7" fontId="6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166" fontId="6" fillId="4" borderId="2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168" fontId="9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170" fontId="9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171" fontId="17" fillId="7" borderId="7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7" fillId="5" borderId="2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169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6" fontId="13" fillId="6" borderId="1" applyAlignment="1" pivotButton="0" quotePrefix="0" xfId="0">
      <alignment horizontal="right" vertical="center"/>
    </xf>
    <xf numFmtId="171" fontId="13" fillId="6" borderId="1" applyAlignment="1" pivotButton="0" quotePrefix="0" xfId="0">
      <alignment horizontal="right" vertical="center"/>
    </xf>
    <xf numFmtId="165" fontId="8" fillId="0" borderId="7" applyAlignment="1" pivotButton="0" quotePrefix="0" xfId="0">
      <alignment horizontal="right" vertical="center"/>
    </xf>
    <xf numFmtId="169" fontId="13" fillId="6" borderId="1" applyAlignment="1" pivotButton="0" quotePrefix="0" xfId="0">
      <alignment horizontal="right" vertical="center"/>
    </xf>
    <xf numFmtId="49" fontId="9" fillId="0" borderId="1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71" fontId="8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Calibri"/>
        <b val="1"/>
        <color rgb="001F7A3D"/>
        <sz val="9"/>
      </font>
      <fill>
        <patternFill patternType="solid">
          <fgColor rgb="00D6EAD9"/>
          <bgColor rgb="00D6EAD9"/>
        </patternFill>
      </fill>
    </dxf>
    <dxf>
      <font>
        <name val="Calibri"/>
        <b val="1"/>
        <color rgb="00B02418"/>
        <sz val="9"/>
      </font>
      <fill>
        <patternFill patternType="solid">
          <fgColor rgb="00F8D7D5"/>
          <bgColor rgb="00F8D7D5"/>
        </patternFill>
      </fill>
    </dxf>
    <dxf>
      <font>
        <name val="Calibri"/>
        <b val="1"/>
        <color rgb="009C6500"/>
        <sz val="9"/>
      </font>
      <fill>
        <patternFill patternType="solid">
          <fgColor rgb="00FFF1CC"/>
          <b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nputs'!A1" TargetMode="External" Id="rId1" /><Relationship Type="http://schemas.openxmlformats.org/officeDocument/2006/relationships/hyperlink" Target="#'Historical'!A1" TargetMode="External" Id="rId2" /><Relationship Type="http://schemas.openxmlformats.org/officeDocument/2006/relationships/hyperlink" Target="#'Assumptions'!A1" TargetMode="External" Id="rId3" /><Relationship Type="http://schemas.openxmlformats.org/officeDocument/2006/relationships/hyperlink" Target="#'WACC'!A1" TargetMode="External" Id="rId4" /><Relationship Type="http://schemas.openxmlformats.org/officeDocument/2006/relationships/hyperlink" Target="#'Forecast'!A1" TargetMode="External" Id="rId5" /><Relationship Type="http://schemas.openxmlformats.org/officeDocument/2006/relationships/hyperlink" Target="#'DCF'!A1" TargetMode="External" Id="rId6" /><Relationship Type="http://schemas.openxmlformats.org/officeDocument/2006/relationships/hyperlink" Target="#'Sensitivity'!A1" TargetMode="External" Id="rId7" /><Relationship Type="http://schemas.openxmlformats.org/officeDocument/2006/relationships/hyperlink" Target="#'Scenario'!A1" TargetMode="External" Id="rId8" /><Relationship Type="http://schemas.openxmlformats.org/officeDocument/2006/relationships/hyperlink" Target="#'Checks'!A1" TargetMode="External" Id="rId9" /><Relationship Type="http://schemas.openxmlformats.org/officeDocument/2006/relationships/hyperlink" Target="#'Dashboard'!A1" TargetMode="External" Id="rId10" /><Relationship Type="http://schemas.openxmlformats.org/officeDocument/2006/relationships/hyperlink" Target="#'Conclusion'!A1" TargetMode="External" Id="rId11" /></Relationships>
</file>

<file path=xl/worksheets/sheet1.xml><?xml version="1.0" encoding="utf-8"?>
<worksheet xmlns="http://schemas.openxmlformats.org/spreadsheetml/2006/main">
  <sheetPr>
    <tabColor rgb="00152A45"/>
    <outlinePr summaryBelow="1" summaryRight="1"/>
    <pageSetUpPr fitToPage="1"/>
  </sheetPr>
  <dimension ref="A1:G37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4" customHeight="1">
      <c r="A1" s="1" t="inlineStr">
        <is>
          <t>Investment-Grade Company Analysis Engine</t>
        </is>
      </c>
    </row>
    <row r="2" ht="16" customHeight="1">
      <c r="A2" s="2" t="inlineStr">
        <is>
          <t>All figures in USD millions unless stated.   ·   v1.0</t>
        </is>
      </c>
    </row>
    <row r="4">
      <c r="A4" s="3" t="inlineStr">
        <is>
          <t>Company</t>
        </is>
      </c>
      <c r="B4" s="4">
        <f>'Inputs'!$B$6</f>
        <v/>
      </c>
    </row>
    <row r="5">
      <c r="A5" s="3" t="inlineStr">
        <is>
          <t>Ticker / type</t>
        </is>
      </c>
      <c r="B5" s="4">
        <f>'Inputs'!$B$7&amp;"   ·   "&amp;'Inputs'!$B$8</f>
        <v/>
      </c>
    </row>
    <row r="7" ht="20" customHeight="1">
      <c r="A7" s="5" t="inlineStr">
        <is>
          <t>Headline</t>
        </is>
      </c>
    </row>
    <row r="8">
      <c r="A8" s="3" t="inlineStr">
        <is>
          <t>DCF value per share</t>
        </is>
      </c>
      <c r="B8" s="6">
        <f>'DCF'!$B$36</f>
        <v/>
      </c>
      <c r="C8" s="3" t="inlineStr">
        <is>
          <t>Current share price</t>
        </is>
      </c>
      <c r="D8" s="7">
        <f>'DCF'!$B$39</f>
        <v/>
      </c>
      <c r="E8" s="3" t="inlineStr">
        <is>
          <t>Valuation read</t>
        </is>
      </c>
      <c r="F8" s="8">
        <f>'DCF'!$B$41</f>
        <v/>
      </c>
    </row>
    <row r="9">
      <c r="A9" s="3" t="inlineStr">
        <is>
          <t>Upside / (downside)</t>
        </is>
      </c>
      <c r="B9" s="9">
        <f>'DCF'!$B$40</f>
        <v/>
      </c>
      <c r="C9" s="3" t="inlineStr">
        <is>
          <t>WACC</t>
        </is>
      </c>
      <c r="D9" s="10">
        <f>'WACC'!$B$24</f>
        <v/>
      </c>
      <c r="E9" s="3" t="inlineStr">
        <is>
          <t>Data health</t>
        </is>
      </c>
      <c r="F9" s="8">
        <f>'Checks'!$B$6</f>
        <v/>
      </c>
    </row>
    <row r="11" ht="20" customHeight="1">
      <c r="A11" s="5" t="inlineStr">
        <is>
          <t>Contents</t>
        </is>
      </c>
    </row>
    <row r="12">
      <c r="A12" s="4" t="inlineStr">
        <is>
          <t>Inputs</t>
        </is>
      </c>
      <c r="B12" s="11" t="inlineStr">
        <is>
          <t>Data-entry layer — paste income statement, balance sheet, cash flow &amp; market data</t>
        </is>
      </c>
    </row>
    <row r="13">
      <c r="A13" s="4" t="inlineStr">
        <is>
          <t>Historical</t>
        </is>
      </c>
      <c r="B13" s="11" t="inlineStr">
        <is>
          <t>Ratios, margins, growth, returns &amp; cash flow, each with a plain-English read</t>
        </is>
      </c>
    </row>
    <row r="14">
      <c r="A14" s="4" t="inlineStr">
        <is>
          <t>Assumptions</t>
        </is>
      </c>
      <c r="B14" s="11" t="inlineStr">
        <is>
          <t>Driver-based DCF assumption engine + Base/Bull/Bear/Downside scenario selector</t>
        </is>
      </c>
    </row>
    <row r="15">
      <c r="A15" s="4" t="inlineStr">
        <is>
          <t>WACC</t>
        </is>
      </c>
      <c r="B15" s="11" t="inlineStr">
        <is>
          <t>Discount rate built up step by step (CAPM cost of equity, after-tax cost of debt)</t>
        </is>
      </c>
    </row>
    <row r="16">
      <c r="A16" s="4" t="inlineStr">
        <is>
          <t>Forecast</t>
        </is>
      </c>
      <c r="B16" s="11" t="inlineStr">
        <is>
          <t>Driver-based operating forecast &amp; unlevered free cash flow (active scenario)</t>
        </is>
      </c>
    </row>
    <row r="17">
      <c r="A17" s="4" t="inlineStr">
        <is>
          <t>DCF</t>
        </is>
      </c>
      <c r="B17" s="11" t="inlineStr">
        <is>
          <t>Discounted cash flow: discounting, terminal value, EV→equity bridge, value per share</t>
        </is>
      </c>
    </row>
    <row r="18">
      <c r="A18" s="4" t="inlineStr">
        <is>
          <t>Sensitivity</t>
        </is>
      </c>
      <c r="B18" s="11" t="inlineStr">
        <is>
          <t>Two-way heat-maps: WACC×growth, WACC×exit multiple, growth×margin</t>
        </is>
      </c>
    </row>
    <row r="19">
      <c r="A19" s="4" t="inlineStr">
        <is>
          <t>Scenario</t>
        </is>
      </c>
      <c r="B19" s="11" t="inlineStr">
        <is>
          <t>Four full DCF runs side by side — base, bull, bear and downside stress</t>
        </is>
      </c>
    </row>
    <row r="20">
      <c r="A20" s="4" t="inlineStr">
        <is>
          <t>Checks</t>
        </is>
      </c>
      <c r="B20" s="11" t="inlineStr">
        <is>
          <t>Automated integrity, sanity and data-gap diagnostics (PASS / REVIEW / FAIL)</t>
        </is>
      </c>
    </row>
    <row r="21">
      <c r="A21" s="4" t="inlineStr">
        <is>
          <t>Dashboard</t>
        </is>
      </c>
      <c r="B21" s="11" t="inlineStr">
        <is>
          <t>One-page investment tearsheet — the summary view</t>
        </is>
      </c>
    </row>
    <row r="22">
      <c r="A22" s="4" t="inlineStr">
        <is>
          <t>Conclusion</t>
        </is>
      </c>
      <c r="B22" s="11" t="inlineStr">
        <is>
          <t>Written investment thesis: drivers, risks, swing assumptions and stance</t>
        </is>
      </c>
    </row>
    <row r="24">
      <c r="A24" s="12" t="inlineStr">
        <is>
          <t>LEGEND</t>
        </is>
      </c>
    </row>
    <row r="25">
      <c r="A25" s="13" t="inlineStr">
        <is>
          <t>1,234</t>
        </is>
      </c>
      <c r="B25" s="11" t="inlineStr">
        <is>
          <t>Input — type your data here (yellow fill, blue font)</t>
        </is>
      </c>
    </row>
    <row r="26">
      <c r="A26" s="14" t="inlineStr">
        <is>
          <t>a / b</t>
        </is>
      </c>
      <c r="B26" s="11" t="inlineStr">
        <is>
          <t>Calculated on this sheet (black formula)</t>
        </is>
      </c>
    </row>
    <row r="27">
      <c r="A27" s="15" t="inlineStr">
        <is>
          <t>→ link</t>
        </is>
      </c>
      <c r="B27" s="11" t="inlineStr">
        <is>
          <t>Linked from another sheet (green font)</t>
        </is>
      </c>
    </row>
    <row r="28">
      <c r="A28" s="16" t="inlineStr">
        <is>
          <t>12.3x</t>
        </is>
      </c>
      <c r="B28" s="11" t="inlineStr">
        <is>
          <t>Key output (shaded)</t>
        </is>
      </c>
    </row>
    <row r="29">
      <c r="A29" s="17" t="inlineStr">
        <is>
          <t>Strong</t>
        </is>
      </c>
      <c r="B29" s="18" t="inlineStr">
        <is>
          <t>Caution</t>
        </is>
      </c>
      <c r="C29" s="19" t="inlineStr">
        <is>
          <t>Weak / flag</t>
        </is>
      </c>
      <c r="D29" s="11" t="inlineStr">
        <is>
          <t>n/a = data missing · n/m = not meaningful</t>
        </is>
      </c>
    </row>
    <row r="31" ht="20" customHeight="1">
      <c r="A31" s="5" t="inlineStr">
        <is>
          <t>How to Use</t>
        </is>
      </c>
    </row>
    <row r="32" ht="28" customHeight="1">
      <c r="A32" s="20" t="inlineStr">
        <is>
          <t>1.  Go to the Inputs sheet and replace the yellow cells with the company's figures (at least revenue and equity; the more you fill, the deeper the analysis).</t>
        </is>
      </c>
    </row>
    <row r="33" ht="28" customHeight="1">
      <c r="A33" s="20" t="inlineStr">
        <is>
          <t>2.  Enter market data (price, shares, beta, rates) for the WACC and per-share value — or leave blank to use clearly-labelled fallback defaults.</t>
        </is>
      </c>
    </row>
    <row r="34" ht="28" customHeight="1">
      <c r="A34" s="20" t="inlineStr">
        <is>
          <t>3.  Review the Assumptions sheet; the base case is derived from history. Adjust if you have a different view, and pick a scenario (1–4) with the selector.</t>
        </is>
      </c>
    </row>
    <row r="35" ht="28" customHeight="1">
      <c r="A35" s="20" t="inlineStr">
        <is>
          <t>4.  Read the Dashboard and Conclusion. Use Sensitivity and Scenario to stress the call. Check the Checks sheet for any data flags.</t>
        </is>
      </c>
    </row>
    <row r="37">
      <c r="A37" s="11" t="inlineStr">
        <is>
          <t>Generated by Investment-Grade Company Analysis Engine v1.0 on 22 Jun 2026. Illustrative analytical tool — not investment advice.</t>
        </is>
      </c>
    </row>
  </sheetData>
  <mergeCells count="30">
    <mergeCell ref="A32:G32"/>
    <mergeCell ref="B14:G14"/>
    <mergeCell ref="B17:G17"/>
    <mergeCell ref="A35:G35"/>
    <mergeCell ref="B13:G13"/>
    <mergeCell ref="D29:G29"/>
    <mergeCell ref="B19:G19"/>
    <mergeCell ref="B26:E26"/>
    <mergeCell ref="A33:G33"/>
    <mergeCell ref="A31:G31"/>
    <mergeCell ref="A34:G34"/>
    <mergeCell ref="B25:E25"/>
    <mergeCell ref="A11:G11"/>
    <mergeCell ref="B15:G15"/>
    <mergeCell ref="F8:G8"/>
    <mergeCell ref="B20:G20"/>
    <mergeCell ref="B27:E27"/>
    <mergeCell ref="A1:G1"/>
    <mergeCell ref="B5:G5"/>
    <mergeCell ref="B4:G4"/>
    <mergeCell ref="A7:G7"/>
    <mergeCell ref="F9:G9"/>
    <mergeCell ref="A37:G37"/>
    <mergeCell ref="B16:G16"/>
    <mergeCell ref="B22:G22"/>
    <mergeCell ref="A2:G2"/>
    <mergeCell ref="B12:G12"/>
    <mergeCell ref="B18:G18"/>
    <mergeCell ref="B21:G21"/>
    <mergeCell ref="B28:E28"/>
  </mergeCells>
  <conditionalFormatting sqref="F8">
    <cfRule type="expression" priority="1" dxfId="0" stopIfTrue="1">
      <formula>OR(ISNUMBER(SEARCH("Strong",F8)),ISNUMBER(SEARCH("Improving",F8)),ISNUMBER(SEARCH("Expanding",F8)),ISNUMBER(SEARCH("Accelerating",F8)),ISNUMBER(SEARCH("Conservative",F8)),ISNUMBER(SEARCH("Undervalued",F8)),ISNUMBER(SEARCH("Value-creating",F8)),ISNUMBER(SEARCH("Robust",F8)),ISNUMBER(SEARCH("Healthy",F8)),ISNUMBER(SEARCH("Low risk",F8)),ISNUMBER(SEARCH("PASS",F8)),ISNUMBER(SEARCH("Balanced",F8)),ISNUMBER(SEARCH("Ties",F8)),ISNUMBER(SEARCH("Acyclic",F8)),ISNUMBER(SEARCH("Present",F8)),ISNUMBER(SEARCH("Consistent",F8)),ISNUMBER(SEARCH("Positive",F8)))</formula>
    </cfRule>
    <cfRule type="expression" priority="2" dxfId="1" stopIfTrue="1">
      <formula>OR(ISNUMBER(SEARCH("Weak",F8)),ISNUMBER(SEARCH("Deteriorating",F8)),ISNUMBER(SEARCH("Compressing",F8)),ISNUMBER(SEARCH("Elevated",F8)),ISNUMBER(SEARCH("Stretched",F8)),ISNUMBER(SEARCH("Overvalued",F8)),ISNUMBER(SEARCH("Value-destroying",F8)),ISNUMBER(SEARCH("Severe",F8)),ISNUMBER(SEARCH("High risk",F8)),ISNUMBER(SEARCH("Negative",F8)),ISNUMBER(SEARCH("Breach",F8)),ISNUMBER(SEARCH("FAIL",F8)),ISNUMBER(SEARCH("Imbalanced",F8)),ISNUMBER(SEARCH("Outlier",F8)),ISNUMBER(SEARCH("Missing",F8)))</formula>
    </cfRule>
    <cfRule type="expression" priority="3" dxfId="2" stopIfTrue="1">
      <formula>OR(ISNUMBER(SEARCH("Moderate",F8)),ISNUMBER(SEARCH("Caution",F8)),ISNUMBER(SEARCH("Decelerating",F8)),ISNUMBER(SEARCH("Watch",F8)),ISNUMBER(SEARCH("Partial",F8)),ISNUMBER(SEARCH("Thin",F8)),ISNUMBER(SEARCH("REVIEW",F8)),ISNUMBER(SEARCH("TV-heavy",F8)),ISNUMBER(SEARCH("Outside",F8)))</formula>
    </cfRule>
  </conditionalFormatting>
  <conditionalFormatting sqref="F9">
    <cfRule type="expression" priority="4" dxfId="0" stopIfTrue="1">
      <formula>OR(ISNUMBER(SEARCH("Strong",F9)),ISNUMBER(SEARCH("Improving",F9)),ISNUMBER(SEARCH("Expanding",F9)),ISNUMBER(SEARCH("Accelerating",F9)),ISNUMBER(SEARCH("Conservative",F9)),ISNUMBER(SEARCH("Undervalued",F9)),ISNUMBER(SEARCH("Value-creating",F9)),ISNUMBER(SEARCH("Robust",F9)),ISNUMBER(SEARCH("Healthy",F9)),ISNUMBER(SEARCH("Low risk",F9)),ISNUMBER(SEARCH("PASS",F9)),ISNUMBER(SEARCH("Balanced",F9)),ISNUMBER(SEARCH("Ties",F9)),ISNUMBER(SEARCH("Acyclic",F9)),ISNUMBER(SEARCH("Present",F9)),ISNUMBER(SEARCH("Consistent",F9)),ISNUMBER(SEARCH("Positive",F9)))</formula>
    </cfRule>
    <cfRule type="expression" priority="5" dxfId="1" stopIfTrue="1">
      <formula>OR(ISNUMBER(SEARCH("Weak",F9)),ISNUMBER(SEARCH("Deteriorating",F9)),ISNUMBER(SEARCH("Compressing",F9)),ISNUMBER(SEARCH("Elevated",F9)),ISNUMBER(SEARCH("Stretched",F9)),ISNUMBER(SEARCH("Overvalued",F9)),ISNUMBER(SEARCH("Value-destroying",F9)),ISNUMBER(SEARCH("Severe",F9)),ISNUMBER(SEARCH("High risk",F9)),ISNUMBER(SEARCH("Negative",F9)),ISNUMBER(SEARCH("Breach",F9)),ISNUMBER(SEARCH("FAIL",F9)),ISNUMBER(SEARCH("Imbalanced",F9)),ISNUMBER(SEARCH("Outlier",F9)),ISNUMBER(SEARCH("Missing",F9)))</formula>
    </cfRule>
    <cfRule type="expression" priority="6" dxfId="2" stopIfTrue="1">
      <formula>OR(ISNUMBER(SEARCH("Moderate",F9)),ISNUMBER(SEARCH("Caution",F9)),ISNUMBER(SEARCH("Decelerating",F9)),ISNUMBER(SEARCH("Watch",F9)),ISNUMBER(SEARCH("Partial",F9)),ISNUMBER(SEARCH("Thin",F9)),ISNUMBER(SEARCH("REVIEW",F9)),ISNUMBER(SEARCH("TV-heavy",F9)),ISNUMBER(SEARCH("Outside",F9)))</formula>
    </cfRule>
  </conditionalFormatting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</hyperlink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119"/>
  <sheetViews>
    <sheetView showGridLines="0" zoomScale="100"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52" customWidth="1" min="7" max="7"/>
  </cols>
  <sheetData>
    <row r="1" ht="30" customHeight="1">
      <c r="A1" s="1" t="inlineStr">
        <is>
          <t>INPUTS</t>
        </is>
      </c>
    </row>
    <row r="2" ht="16" customHeight="1">
      <c r="A2" s="2" t="inlineStr">
        <is>
          <t>Standardised financial-statement input layer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Company &amp; Reporting Profile</t>
        </is>
      </c>
    </row>
    <row r="6">
      <c r="A6" s="3" t="inlineStr">
        <is>
          <t>Company name</t>
        </is>
      </c>
      <c r="B6" s="13" t="inlineStr">
        <is>
          <t>&lt;Company name&gt;</t>
        </is>
      </c>
      <c r="C6" s="21" t="n"/>
      <c r="D6" s="22" t="n"/>
    </row>
    <row r="7">
      <c r="A7" s="3" t="inlineStr">
        <is>
          <t>Ticker / identifier</t>
        </is>
      </c>
      <c r="B7" s="13" t="inlineStr">
        <is>
          <t>&lt;TICKER&gt;</t>
        </is>
      </c>
      <c r="C7" s="21" t="n"/>
      <c r="D7" s="22" t="n"/>
    </row>
    <row r="8">
      <c r="A8" s="3" t="inlineStr">
        <is>
          <t>Business type</t>
        </is>
      </c>
      <c r="B8" s="13" t="inlineStr">
        <is>
          <t>Industrial / Manufacturing</t>
        </is>
      </c>
      <c r="C8" s="21" t="n"/>
      <c r="D8" s="22" t="n"/>
    </row>
    <row r="9">
      <c r="A9" s="3" t="inlineStr">
        <is>
          <t>Reporting currency</t>
        </is>
      </c>
      <c r="B9" s="13" t="inlineStr">
        <is>
          <t>USD</t>
        </is>
      </c>
      <c r="C9" s="21" t="n"/>
      <c r="D9" s="22" t="n"/>
    </row>
    <row r="10">
      <c r="A10" s="3" t="inlineStr">
        <is>
          <t>Units</t>
        </is>
      </c>
      <c r="B10" s="13" t="inlineStr">
        <is>
          <t>millions</t>
        </is>
      </c>
      <c r="C10" s="21" t="n"/>
      <c r="D10" s="22" t="n"/>
    </row>
    <row r="11">
      <c r="A11" s="3" t="inlineStr">
        <is>
          <t>Fiscal year end</t>
        </is>
      </c>
      <c r="B11" s="13" t="inlineStr">
        <is>
          <t>31 December</t>
        </is>
      </c>
      <c r="C11" s="21" t="n"/>
      <c r="D11" s="22" t="n"/>
    </row>
    <row r="12" ht="16" customHeight="1">
      <c r="A12" s="3" t="inlineStr">
        <is>
          <t>Business description</t>
        </is>
      </c>
      <c r="B12" s="23" t="inlineStr">
        <is>
          <t>&lt;One-paragraph business description&gt;</t>
        </is>
      </c>
    </row>
    <row r="13" ht="16" customHeight="1"/>
    <row r="14" ht="16" customHeight="1"/>
    <row r="15">
      <c r="A15" s="3" t="inlineStr">
        <is>
          <t>Industry note</t>
        </is>
      </c>
      <c r="B15" s="23" t="inlineStr">
        <is>
          <t>&lt;How revenue &amp; margins are driven in this industry&gt;</t>
        </is>
      </c>
    </row>
    <row r="16"/>
    <row r="18">
      <c r="A18" s="12" t="inlineStr">
        <is>
          <t>LEGEND</t>
        </is>
      </c>
    </row>
    <row r="19">
      <c r="A19" s="13" t="inlineStr">
        <is>
          <t>1,234</t>
        </is>
      </c>
      <c r="B19" s="11" t="inlineStr">
        <is>
          <t>Input — type your data here (yellow fill, blue font)</t>
        </is>
      </c>
    </row>
    <row r="20">
      <c r="A20" s="14" t="inlineStr">
        <is>
          <t>a / b</t>
        </is>
      </c>
      <c r="B20" s="11" t="inlineStr">
        <is>
          <t>Calculated on this sheet (black formula)</t>
        </is>
      </c>
    </row>
    <row r="21">
      <c r="A21" s="15" t="inlineStr">
        <is>
          <t>→ link</t>
        </is>
      </c>
      <c r="B21" s="11" t="inlineStr">
        <is>
          <t>Linked from another sheet (green font)</t>
        </is>
      </c>
    </row>
    <row r="22">
      <c r="A22" s="16" t="inlineStr">
        <is>
          <t>12.3x</t>
        </is>
      </c>
      <c r="B22" s="11" t="inlineStr">
        <is>
          <t>Key output (shaded)</t>
        </is>
      </c>
    </row>
    <row r="23">
      <c r="A23" s="17" t="inlineStr">
        <is>
          <t>Strong</t>
        </is>
      </c>
      <c r="B23" s="18" t="inlineStr">
        <is>
          <t>Caution</t>
        </is>
      </c>
      <c r="C23" s="19" t="inlineStr">
        <is>
          <t>Weak / flag</t>
        </is>
      </c>
      <c r="D23" s="11" t="inlineStr">
        <is>
          <t>n/a = data missing · n/m = not meaningful</t>
        </is>
      </c>
    </row>
    <row r="25">
      <c r="A25" s="12" t="inlineStr">
        <is>
          <t>Conventions</t>
        </is>
      </c>
    </row>
    <row r="26" ht="24" customHeight="1">
      <c r="A26" s="11" t="inlineStr">
        <is>
          <t>•  COGS and SG&amp;A are entered AS REPORTED (they already include their share of depreciation). Total D&amp;A is entered ONCE in the Cash Flow block; EBITDA is built as EBIT + D&amp;A so depreciation is never double-counted.</t>
        </is>
      </c>
    </row>
    <row r="27" ht="24" customHeight="1">
      <c r="A27" s="11" t="inlineStr">
        <is>
          <t>•  Capex, acquisitions, dividends paid and buybacks are entered as POSITIVE amounts (cash spent); the model applies the sign automatically.</t>
        </is>
      </c>
    </row>
    <row r="28" ht="24" customHeight="1">
      <c r="A28" s="11" t="inlineStr">
        <is>
          <t>•  Signed cash-flow lines (change in working capital, net debt issued/repaid, other lines) are entered as net cash impact: positive = inflow.</t>
        </is>
      </c>
    </row>
    <row r="29" ht="24" customHeight="1">
      <c r="A29" s="11" t="inlineStr">
        <is>
          <t>•  Leave any cell blank if the figure is unavailable — the model marks it missing and continues with the best partial output (it will not invent data).</t>
        </is>
      </c>
    </row>
    <row r="31" ht="20" customHeight="1">
      <c r="A31" s="5" t="inlineStr">
        <is>
          <t>Income Statement</t>
        </is>
      </c>
    </row>
    <row r="32" ht="20" customHeight="1">
      <c r="A32" s="24" t="inlineStr"/>
      <c r="B32" s="25" t="inlineStr">
        <is>
          <t>FY—4</t>
        </is>
      </c>
      <c r="C32" s="25" t="inlineStr">
        <is>
          <t>FY—3</t>
        </is>
      </c>
      <c r="D32" s="25" t="inlineStr">
        <is>
          <t>FY—2</t>
        </is>
      </c>
      <c r="E32" s="25" t="inlineStr">
        <is>
          <t>FY—1</t>
        </is>
      </c>
      <c r="F32" s="25" t="inlineStr">
        <is>
          <t>FY—0</t>
        </is>
      </c>
      <c r="G32" s="24" t="inlineStr">
        <is>
          <t>Source / note</t>
        </is>
      </c>
    </row>
    <row r="33">
      <c r="A33" s="12" t="inlineStr">
        <is>
          <t>Revenue / Net sales</t>
        </is>
      </c>
      <c r="B33" s="26" t="n"/>
      <c r="C33" s="26" t="n"/>
      <c r="D33" s="26" t="n"/>
      <c r="E33" s="26" t="n"/>
      <c r="F33" s="26" t="n"/>
    </row>
    <row r="34">
      <c r="A34" s="3" t="inlineStr">
        <is>
          <t>Cost of goods sold (incl. D&amp;A)</t>
        </is>
      </c>
      <c r="B34" s="26" t="n"/>
      <c r="C34" s="26" t="n"/>
      <c r="D34" s="26" t="n"/>
      <c r="E34" s="26" t="n"/>
      <c r="F34" s="26" t="n"/>
    </row>
    <row r="35">
      <c r="A35" s="3" t="inlineStr">
        <is>
          <t>Gross profit</t>
        </is>
      </c>
      <c r="B35" s="27">
        <f>$B$33-$B$34</f>
        <v/>
      </c>
      <c r="C35" s="27">
        <f>$C$33-$C$34</f>
        <v/>
      </c>
      <c r="D35" s="27">
        <f>$D$33-$D$34</f>
        <v/>
      </c>
      <c r="E35" s="27">
        <f>$E$33-$E$34</f>
        <v/>
      </c>
      <c r="F35" s="27">
        <f>$F$33-$F$34</f>
        <v/>
      </c>
    </row>
    <row r="36">
      <c r="A36" s="3" t="inlineStr">
        <is>
          <t>Selling, general &amp; admin (SG&amp;A)</t>
        </is>
      </c>
      <c r="B36" s="26" t="n"/>
      <c r="C36" s="26" t="n"/>
      <c r="D36" s="26" t="n"/>
      <c r="E36" s="26" t="n"/>
      <c r="F36" s="26" t="n"/>
    </row>
    <row r="37">
      <c r="A37" s="3" t="inlineStr">
        <is>
          <t>Research &amp; development</t>
        </is>
      </c>
      <c r="B37" s="26" t="n"/>
      <c r="C37" s="26" t="n"/>
      <c r="D37" s="26" t="n"/>
      <c r="E37" s="26" t="n"/>
      <c r="F37" s="26" t="n"/>
    </row>
    <row r="38">
      <c r="A38" s="3" t="inlineStr">
        <is>
          <t>Other operating expense / (income)</t>
        </is>
      </c>
      <c r="B38" s="26" t="n"/>
      <c r="C38" s="26" t="n"/>
      <c r="D38" s="26" t="n"/>
      <c r="E38" s="26" t="n"/>
      <c r="F38" s="26" t="n"/>
    </row>
    <row r="39">
      <c r="A39" s="12" t="inlineStr">
        <is>
          <t>EBIT (operating income)</t>
        </is>
      </c>
      <c r="B39" s="27">
        <f>$B$35-$B$36-$B$37-$B$38</f>
        <v/>
      </c>
      <c r="C39" s="27">
        <f>$C$35-$C$36-$C$37-$C$38</f>
        <v/>
      </c>
      <c r="D39" s="27">
        <f>$D$35-$D$36-$D$37-$D$38</f>
        <v/>
      </c>
      <c r="E39" s="27">
        <f>$E$35-$E$36-$E$37-$E$38</f>
        <v/>
      </c>
      <c r="F39" s="27">
        <f>$F$35-$F$36-$F$37-$F$38</f>
        <v/>
      </c>
    </row>
    <row r="40">
      <c r="A40" s="3" t="inlineStr">
        <is>
          <t>(+) Depreciation &amp; amortisation</t>
        </is>
      </c>
      <c r="B40" s="28">
        <f>$B$78</f>
        <v/>
      </c>
      <c r="C40" s="28">
        <f>$C$78</f>
        <v/>
      </c>
      <c r="D40" s="28">
        <f>$D$78</f>
        <v/>
      </c>
      <c r="E40" s="28">
        <f>$E$78</f>
        <v/>
      </c>
      <c r="F40" s="28">
        <f>$F$78</f>
        <v/>
      </c>
      <c r="G40" s="11" t="inlineStr">
        <is>
          <t>Linked from cash-flow block; added back to reach EBITDA.</t>
        </is>
      </c>
    </row>
    <row r="41">
      <c r="A41" s="12" t="inlineStr">
        <is>
          <t>EBITDA</t>
        </is>
      </c>
      <c r="B41" s="27">
        <f>$B$39+$B$40</f>
        <v/>
      </c>
      <c r="C41" s="27">
        <f>$C$39+$C$40</f>
        <v/>
      </c>
      <c r="D41" s="27">
        <f>$D$39+$D$40</f>
        <v/>
      </c>
      <c r="E41" s="27">
        <f>$E$39+$E$40</f>
        <v/>
      </c>
      <c r="F41" s="27">
        <f>$F$39+$F$40</f>
        <v/>
      </c>
    </row>
    <row r="42">
      <c r="A42" s="3" t="inlineStr">
        <is>
          <t>Interest expense</t>
        </is>
      </c>
      <c r="B42" s="26" t="n"/>
      <c r="C42" s="26" t="n"/>
      <c r="D42" s="26" t="n"/>
      <c r="E42" s="26" t="n"/>
      <c r="F42" s="26" t="n"/>
    </row>
    <row r="43">
      <c r="A43" s="3" t="inlineStr">
        <is>
          <t>Interest &amp; investment income</t>
        </is>
      </c>
      <c r="B43" s="26" t="n"/>
      <c r="C43" s="26" t="n"/>
      <c r="D43" s="26" t="n"/>
      <c r="E43" s="26" t="n"/>
      <c r="F43" s="26" t="n"/>
    </row>
    <row r="44">
      <c r="A44" s="3" t="inlineStr">
        <is>
          <t>Other non-operating income / (expense)</t>
        </is>
      </c>
      <c r="B44" s="26" t="n"/>
      <c r="C44" s="26" t="n"/>
      <c r="D44" s="26" t="n"/>
      <c r="E44" s="26" t="n"/>
      <c r="F44" s="26" t="n"/>
    </row>
    <row r="45">
      <c r="A45" s="3" t="inlineStr">
        <is>
          <t>Pre-tax income</t>
        </is>
      </c>
      <c r="B45" s="27">
        <f>$B$39-$B$42+$B$43+$B$44</f>
        <v/>
      </c>
      <c r="C45" s="27">
        <f>$C$39-$C$42+$C$43+$C$44</f>
        <v/>
      </c>
      <c r="D45" s="27">
        <f>$D$39-$D$42+$D$43+$D$44</f>
        <v/>
      </c>
      <c r="E45" s="27">
        <f>$E$39-$E$42+$E$43+$E$44</f>
        <v/>
      </c>
      <c r="F45" s="27">
        <f>$F$39-$F$42+$F$43+$F$44</f>
        <v/>
      </c>
    </row>
    <row r="46">
      <c r="A46" s="3" t="inlineStr">
        <is>
          <t>Income tax expense</t>
        </is>
      </c>
      <c r="B46" s="26" t="n"/>
      <c r="C46" s="26" t="n"/>
      <c r="D46" s="26" t="n"/>
      <c r="E46" s="26" t="n"/>
      <c r="F46" s="26" t="n"/>
    </row>
    <row r="47">
      <c r="A47" s="3" t="inlineStr">
        <is>
          <t>Minority interest / (income)</t>
        </is>
      </c>
      <c r="B47" s="26" t="n"/>
      <c r="C47" s="26" t="n"/>
      <c r="D47" s="26" t="n"/>
      <c r="E47" s="26" t="n"/>
      <c r="F47" s="26" t="n"/>
    </row>
    <row r="48">
      <c r="A48" s="12" t="inlineStr">
        <is>
          <t>Net income to shareholders</t>
        </is>
      </c>
      <c r="B48" s="27">
        <f>$B$45-$B$46-$B$47</f>
        <v/>
      </c>
      <c r="C48" s="27">
        <f>$C$45-$C$46-$C$47</f>
        <v/>
      </c>
      <c r="D48" s="27">
        <f>$D$45-$D$46-$D$47</f>
        <v/>
      </c>
      <c r="E48" s="27">
        <f>$E$45-$E$46-$E$47</f>
        <v/>
      </c>
      <c r="F48" s="27">
        <f>$F$45-$F$46-$F$47</f>
        <v/>
      </c>
    </row>
    <row r="50" ht="20" customHeight="1">
      <c r="A50" s="5" t="inlineStr">
        <is>
          <t>Balance Sheet</t>
        </is>
      </c>
    </row>
    <row r="51" ht="20" customHeight="1">
      <c r="A51" s="24" t="inlineStr"/>
      <c r="B51" s="25" t="inlineStr">
        <is>
          <t>FY—4</t>
        </is>
      </c>
      <c r="C51" s="25" t="inlineStr">
        <is>
          <t>FY—3</t>
        </is>
      </c>
      <c r="D51" s="25" t="inlineStr">
        <is>
          <t>FY—2</t>
        </is>
      </c>
      <c r="E51" s="25" t="inlineStr">
        <is>
          <t>FY—1</t>
        </is>
      </c>
      <c r="F51" s="25" t="inlineStr">
        <is>
          <t>FY—0</t>
        </is>
      </c>
      <c r="G51" s="24" t="inlineStr">
        <is>
          <t>Source / note</t>
        </is>
      </c>
    </row>
    <row r="52">
      <c r="A52" s="3" t="inlineStr">
        <is>
          <t>Cash &amp; equivalents</t>
        </is>
      </c>
      <c r="B52" s="26" t="n"/>
      <c r="C52" s="26" t="n"/>
      <c r="D52" s="26" t="n"/>
      <c r="E52" s="26" t="n"/>
      <c r="F52" s="26" t="n"/>
    </row>
    <row r="53">
      <c r="A53" s="3" t="inlineStr">
        <is>
          <t>Short-term investments</t>
        </is>
      </c>
      <c r="B53" s="26" t="n"/>
      <c r="C53" s="26" t="n"/>
      <c r="D53" s="26" t="n"/>
      <c r="E53" s="26" t="n"/>
      <c r="F53" s="26" t="n"/>
    </row>
    <row r="54">
      <c r="A54" s="3" t="inlineStr">
        <is>
          <t>Accounts receivable</t>
        </is>
      </c>
      <c r="B54" s="26" t="n"/>
      <c r="C54" s="26" t="n"/>
      <c r="D54" s="26" t="n"/>
      <c r="E54" s="26" t="n"/>
      <c r="F54" s="26" t="n"/>
    </row>
    <row r="55">
      <c r="A55" s="3" t="inlineStr">
        <is>
          <t>Inventory</t>
        </is>
      </c>
      <c r="B55" s="26" t="n"/>
      <c r="C55" s="26" t="n"/>
      <c r="D55" s="26" t="n"/>
      <c r="E55" s="26" t="n"/>
      <c r="F55" s="26" t="n"/>
    </row>
    <row r="56">
      <c r="A56" s="3" t="inlineStr">
        <is>
          <t>Other current assets</t>
        </is>
      </c>
      <c r="B56" s="26" t="n"/>
      <c r="C56" s="26" t="n"/>
      <c r="D56" s="26" t="n"/>
      <c r="E56" s="26" t="n"/>
      <c r="F56" s="26" t="n"/>
    </row>
    <row r="57">
      <c r="A57" s="12" t="inlineStr">
        <is>
          <t>Total current assets</t>
        </is>
      </c>
      <c r="B57" s="29">
        <f>SUM($B$52,$B$53,$B$54,$B$55,$B$56)</f>
        <v/>
      </c>
      <c r="C57" s="29">
        <f>SUM($C$52,$C$53,$C$54,$C$55,$C$56)</f>
        <v/>
      </c>
      <c r="D57" s="29">
        <f>SUM($D$52,$D$53,$D$54,$D$55,$D$56)</f>
        <v/>
      </c>
      <c r="E57" s="29">
        <f>SUM($E$52,$E$53,$E$54,$E$55,$E$56)</f>
        <v/>
      </c>
      <c r="F57" s="29">
        <f>SUM($F$52,$F$53,$F$54,$F$55,$F$56)</f>
        <v/>
      </c>
    </row>
    <row r="58">
      <c r="A58" s="3" t="inlineStr">
        <is>
          <t>Property, plant &amp; equipment (net)</t>
        </is>
      </c>
      <c r="B58" s="26" t="n"/>
      <c r="C58" s="26" t="n"/>
      <c r="D58" s="26" t="n"/>
      <c r="E58" s="26" t="n"/>
      <c r="F58" s="26" t="n"/>
    </row>
    <row r="59">
      <c r="A59" s="3" t="inlineStr">
        <is>
          <t>Goodwill &amp; intangibles</t>
        </is>
      </c>
      <c r="B59" s="26" t="n"/>
      <c r="C59" s="26" t="n"/>
      <c r="D59" s="26" t="n"/>
      <c r="E59" s="26" t="n"/>
      <c r="F59" s="26" t="n"/>
    </row>
    <row r="60">
      <c r="A60" s="3" t="inlineStr">
        <is>
          <t>Other non-current assets</t>
        </is>
      </c>
      <c r="B60" s="26" t="n"/>
      <c r="C60" s="26" t="n"/>
      <c r="D60" s="26" t="n"/>
      <c r="E60" s="26" t="n"/>
      <c r="F60" s="26" t="n"/>
    </row>
    <row r="61">
      <c r="A61" s="12" t="inlineStr">
        <is>
          <t>Total non-current assets</t>
        </is>
      </c>
      <c r="B61" s="29">
        <f>SUM($B$58,$B$59,$B$60)</f>
        <v/>
      </c>
      <c r="C61" s="29">
        <f>SUM($C$58,$C$59,$C$60)</f>
        <v/>
      </c>
      <c r="D61" s="29">
        <f>SUM($D$58,$D$59,$D$60)</f>
        <v/>
      </c>
      <c r="E61" s="29">
        <f>SUM($E$58,$E$59,$E$60)</f>
        <v/>
      </c>
      <c r="F61" s="29">
        <f>SUM($F$58,$F$59,$F$60)</f>
        <v/>
      </c>
    </row>
    <row r="62">
      <c r="A62" s="12" t="inlineStr">
        <is>
          <t>TOTAL ASSETS</t>
        </is>
      </c>
      <c r="B62" s="29">
        <f>$B$57+$B$61</f>
        <v/>
      </c>
      <c r="C62" s="29">
        <f>$C$57+$C$61</f>
        <v/>
      </c>
      <c r="D62" s="29">
        <f>$D$57+$D$61</f>
        <v/>
      </c>
      <c r="E62" s="29">
        <f>$E$57+$E$61</f>
        <v/>
      </c>
      <c r="F62" s="29">
        <f>$F$57+$F$61</f>
        <v/>
      </c>
    </row>
    <row r="63">
      <c r="A63" s="3" t="inlineStr">
        <is>
          <t>Accounts payable</t>
        </is>
      </c>
      <c r="B63" s="26" t="n"/>
      <c r="C63" s="26" t="n"/>
      <c r="D63" s="26" t="n"/>
      <c r="E63" s="26" t="n"/>
      <c r="F63" s="26" t="n"/>
    </row>
    <row r="64">
      <c r="A64" s="3" t="inlineStr">
        <is>
          <t>Short-term debt &amp; current portion LTD</t>
        </is>
      </c>
      <c r="B64" s="26" t="n"/>
      <c r="C64" s="26" t="n"/>
      <c r="D64" s="26" t="n"/>
      <c r="E64" s="26" t="n"/>
      <c r="F64" s="26" t="n"/>
    </row>
    <row r="65">
      <c r="A65" s="3" t="inlineStr">
        <is>
          <t>Other current liabilities</t>
        </is>
      </c>
      <c r="B65" s="26" t="n"/>
      <c r="C65" s="26" t="n"/>
      <c r="D65" s="26" t="n"/>
      <c r="E65" s="26" t="n"/>
      <c r="F65" s="26" t="n"/>
    </row>
    <row r="66">
      <c r="A66" s="12" t="inlineStr">
        <is>
          <t>Total current liabilities</t>
        </is>
      </c>
      <c r="B66" s="29">
        <f>SUM($B$63,$B$64,$B$65)</f>
        <v/>
      </c>
      <c r="C66" s="29">
        <f>SUM($C$63,$C$64,$C$65)</f>
        <v/>
      </c>
      <c r="D66" s="29">
        <f>SUM($D$63,$D$64,$D$65)</f>
        <v/>
      </c>
      <c r="E66" s="29">
        <f>SUM($E$63,$E$64,$E$65)</f>
        <v/>
      </c>
      <c r="F66" s="29">
        <f>SUM($F$63,$F$64,$F$65)</f>
        <v/>
      </c>
    </row>
    <row r="67">
      <c r="A67" s="3" t="inlineStr">
        <is>
          <t>Long-term debt</t>
        </is>
      </c>
      <c r="B67" s="26" t="n"/>
      <c r="C67" s="26" t="n"/>
      <c r="D67" s="26" t="n"/>
      <c r="E67" s="26" t="n"/>
      <c r="F67" s="26" t="n"/>
    </row>
    <row r="68">
      <c r="A68" s="3" t="inlineStr">
        <is>
          <t>Other non-current liabilities</t>
        </is>
      </c>
      <c r="B68" s="26" t="n"/>
      <c r="C68" s="26" t="n"/>
      <c r="D68" s="26" t="n"/>
      <c r="E68" s="26" t="n"/>
      <c r="F68" s="26" t="n"/>
    </row>
    <row r="69">
      <c r="A69" s="12" t="inlineStr">
        <is>
          <t>Total non-current liabilities</t>
        </is>
      </c>
      <c r="B69" s="29">
        <f>SUM($B$67,$B$68)</f>
        <v/>
      </c>
      <c r="C69" s="29">
        <f>SUM($C$67,$C$68)</f>
        <v/>
      </c>
      <c r="D69" s="29">
        <f>SUM($D$67,$D$68)</f>
        <v/>
      </c>
      <c r="E69" s="29">
        <f>SUM($E$67,$E$68)</f>
        <v/>
      </c>
      <c r="F69" s="29">
        <f>SUM($F$67,$F$68)</f>
        <v/>
      </c>
    </row>
    <row r="70">
      <c r="A70" s="12" t="inlineStr">
        <is>
          <t>TOTAL LIABILITIES</t>
        </is>
      </c>
      <c r="B70" s="29">
        <f>$B$66+$B$69</f>
        <v/>
      </c>
      <c r="C70" s="29">
        <f>$C$66+$C$69</f>
        <v/>
      </c>
      <c r="D70" s="29">
        <f>$D$66+$D$69</f>
        <v/>
      </c>
      <c r="E70" s="29">
        <f>$E$66+$E$69</f>
        <v/>
      </c>
      <c r="F70" s="29">
        <f>$F$66+$F$69</f>
        <v/>
      </c>
    </row>
    <row r="71">
      <c r="A71" s="12" t="inlineStr">
        <is>
          <t>Total shareholders' equity</t>
        </is>
      </c>
      <c r="B71" s="26" t="n"/>
      <c r="C71" s="26" t="n"/>
      <c r="D71" s="26" t="n"/>
      <c r="E71" s="26" t="n"/>
      <c r="F71" s="26" t="n"/>
    </row>
    <row r="72">
      <c r="A72" s="3" t="inlineStr">
        <is>
          <t>Minority interest (equity)</t>
        </is>
      </c>
      <c r="B72" s="26" t="n"/>
      <c r="C72" s="26" t="n"/>
      <c r="D72" s="26" t="n"/>
      <c r="E72" s="26" t="n"/>
      <c r="F72" s="26" t="n"/>
    </row>
    <row r="73">
      <c r="A73" s="12" t="inlineStr">
        <is>
          <t>TOTAL LIABILITIES &amp; EQUITY</t>
        </is>
      </c>
      <c r="B73" s="29">
        <f>$B$70+$B$71+$B$72</f>
        <v/>
      </c>
      <c r="C73" s="29">
        <f>$C$70+$C$71+$C$72</f>
        <v/>
      </c>
      <c r="D73" s="29">
        <f>$D$70+$D$71+$D$72</f>
        <v/>
      </c>
      <c r="E73" s="29">
        <f>$E$70+$E$71+$E$72</f>
        <v/>
      </c>
      <c r="F73" s="29">
        <f>$F$70+$F$71+$F$72</f>
        <v/>
      </c>
    </row>
    <row r="75" ht="20" customHeight="1">
      <c r="A75" s="5" t="inlineStr">
        <is>
          <t>Cash Flow Statement</t>
        </is>
      </c>
    </row>
    <row r="76" ht="20" customHeight="1">
      <c r="A76" s="24" t="inlineStr"/>
      <c r="B76" s="25" t="inlineStr">
        <is>
          <t>FY—4</t>
        </is>
      </c>
      <c r="C76" s="25" t="inlineStr">
        <is>
          <t>FY—3</t>
        </is>
      </c>
      <c r="D76" s="25" t="inlineStr">
        <is>
          <t>FY—2</t>
        </is>
      </c>
      <c r="E76" s="25" t="inlineStr">
        <is>
          <t>FY—1</t>
        </is>
      </c>
      <c r="F76" s="25" t="inlineStr">
        <is>
          <t>FY—0</t>
        </is>
      </c>
      <c r="G76" s="24" t="inlineStr">
        <is>
          <t>Source / note</t>
        </is>
      </c>
    </row>
    <row r="77">
      <c r="A77" s="3" t="inlineStr">
        <is>
          <t>Net income (per cash-flow statement)</t>
        </is>
      </c>
      <c r="B77" s="26" t="n"/>
      <c r="C77" s="26" t="n"/>
      <c r="D77" s="26" t="n"/>
      <c r="E77" s="26" t="n"/>
      <c r="F77" s="26" t="n"/>
    </row>
    <row r="78">
      <c r="A78" s="3" t="inlineStr">
        <is>
          <t>Depreciation &amp; amortisation</t>
        </is>
      </c>
      <c r="B78" s="26" t="n"/>
      <c r="C78" s="26" t="n"/>
      <c r="D78" s="26" t="n"/>
      <c r="E78" s="26" t="n"/>
      <c r="F78" s="26" t="n"/>
      <c r="G78" s="11" t="inlineStr">
        <is>
          <t>The single D&amp;A figure; feeds EBITDA in the income statement.</t>
        </is>
      </c>
    </row>
    <row r="79">
      <c r="A79" s="3" t="inlineStr">
        <is>
          <t>Change in working capital (cash impact)</t>
        </is>
      </c>
      <c r="B79" s="26" t="n"/>
      <c r="C79" s="26" t="n"/>
      <c r="D79" s="26" t="n"/>
      <c r="E79" s="26" t="n"/>
      <c r="F79" s="26" t="n"/>
      <c r="G79" s="11" t="inlineStr">
        <is>
          <t>Positive = cash released; negative = cash invested in WC.</t>
        </is>
      </c>
    </row>
    <row r="80">
      <c r="A80" s="3" t="inlineStr">
        <is>
          <t>Other non-cash / operating items</t>
        </is>
      </c>
      <c r="B80" s="26" t="n"/>
      <c r="C80" s="26" t="n"/>
      <c r="D80" s="26" t="n"/>
      <c r="E80" s="26" t="n"/>
      <c r="F80" s="26" t="n"/>
    </row>
    <row r="81">
      <c r="A81" s="12" t="inlineStr">
        <is>
          <t>Cash flow from operations (CFO)</t>
        </is>
      </c>
      <c r="B81" s="27">
        <f>SUM($B$77,$B$78,$B$79,$B$80)</f>
        <v/>
      </c>
      <c r="C81" s="27">
        <f>SUM($C$77,$C$78,$C$79,$C$80)</f>
        <v/>
      </c>
      <c r="D81" s="27">
        <f>SUM($D$77,$D$78,$D$79,$D$80)</f>
        <v/>
      </c>
      <c r="E81" s="27">
        <f>SUM($E$77,$E$78,$E$79,$E$80)</f>
        <v/>
      </c>
      <c r="F81" s="27">
        <f>SUM($F$77,$F$78,$F$79,$F$80)</f>
        <v/>
      </c>
    </row>
    <row r="82">
      <c r="A82" s="3" t="inlineStr">
        <is>
          <t>Capital expenditure</t>
        </is>
      </c>
      <c r="B82" s="26" t="n"/>
      <c r="C82" s="26" t="n"/>
      <c r="D82" s="26" t="n"/>
      <c r="E82" s="26" t="n"/>
      <c r="F82" s="26" t="n"/>
      <c r="G82" s="11" t="inlineStr">
        <is>
          <t>Enter as a positive amount; the model subtracts it.</t>
        </is>
      </c>
    </row>
    <row r="83">
      <c r="A83" s="3" t="inlineStr">
        <is>
          <t>Acquisitions / (disposals), net</t>
        </is>
      </c>
      <c r="B83" s="26" t="n"/>
      <c r="C83" s="26" t="n"/>
      <c r="D83" s="26" t="n"/>
      <c r="E83" s="26" t="n"/>
      <c r="F83" s="26" t="n"/>
      <c r="G83" s="11" t="inlineStr">
        <is>
          <t>Positive = cash spent on acquisitions.</t>
        </is>
      </c>
    </row>
    <row r="84">
      <c r="A84" s="3" t="inlineStr">
        <is>
          <t>Other investing (cash impact)</t>
        </is>
      </c>
      <c r="B84" s="26" t="n"/>
      <c r="C84" s="26" t="n"/>
      <c r="D84" s="26" t="n"/>
      <c r="E84" s="26" t="n"/>
      <c r="F84" s="26" t="n"/>
    </row>
    <row r="85">
      <c r="A85" s="12" t="inlineStr">
        <is>
          <t>Cash flow from investing (CFI)</t>
        </is>
      </c>
      <c r="B85" s="27">
        <f>-$B$82-$B$83+$B$84</f>
        <v/>
      </c>
      <c r="C85" s="27">
        <f>-$C$82-$C$83+$C$84</f>
        <v/>
      </c>
      <c r="D85" s="27">
        <f>-$D$82-$D$83+$D$84</f>
        <v/>
      </c>
      <c r="E85" s="27">
        <f>-$E$82-$E$83+$E$84</f>
        <v/>
      </c>
      <c r="F85" s="27">
        <f>-$F$82-$F$83+$F$84</f>
        <v/>
      </c>
    </row>
    <row r="86">
      <c r="A86" s="3" t="inlineStr">
        <is>
          <t>Net debt issued / (repaid)</t>
        </is>
      </c>
      <c r="B86" s="26" t="n"/>
      <c r="C86" s="26" t="n"/>
      <c r="D86" s="26" t="n"/>
      <c r="E86" s="26" t="n"/>
      <c r="F86" s="26" t="n"/>
      <c r="G86" s="11" t="inlineStr">
        <is>
          <t>Signed: positive = net borrowing.</t>
        </is>
      </c>
    </row>
    <row r="87">
      <c r="A87" s="3" t="inlineStr">
        <is>
          <t>Dividends paid</t>
        </is>
      </c>
      <c r="B87" s="26" t="n"/>
      <c r="C87" s="26" t="n"/>
      <c r="D87" s="26" t="n"/>
      <c r="E87" s="26" t="n"/>
      <c r="F87" s="26" t="n"/>
      <c r="G87" s="11" t="inlineStr">
        <is>
          <t>Enter as a positive amount returned to shareholders.</t>
        </is>
      </c>
    </row>
    <row r="88">
      <c r="A88" s="3" t="inlineStr">
        <is>
          <t>Share buybacks (net)</t>
        </is>
      </c>
      <c r="B88" s="26" t="n"/>
      <c r="C88" s="26" t="n"/>
      <c r="D88" s="26" t="n"/>
      <c r="E88" s="26" t="n"/>
      <c r="F88" s="26" t="n"/>
      <c r="G88" s="11" t="inlineStr">
        <is>
          <t>Enter as a positive amount; net of issuance.</t>
        </is>
      </c>
    </row>
    <row r="89">
      <c r="A89" s="3" t="inlineStr">
        <is>
          <t>Other financing (cash impact)</t>
        </is>
      </c>
      <c r="B89" s="26" t="n"/>
      <c r="C89" s="26" t="n"/>
      <c r="D89" s="26" t="n"/>
      <c r="E89" s="26" t="n"/>
      <c r="F89" s="26" t="n"/>
    </row>
    <row r="90">
      <c r="A90" s="12" t="inlineStr">
        <is>
          <t>Cash flow from financing (CFF)</t>
        </is>
      </c>
      <c r="B90" s="27">
        <f>$B$86-$B$87-$B$88+$B$89</f>
        <v/>
      </c>
      <c r="C90" s="27">
        <f>$C$86-$C$87-$C$88+$C$89</f>
        <v/>
      </c>
      <c r="D90" s="27">
        <f>$D$86-$D$87-$D$88+$D$89</f>
        <v/>
      </c>
      <c r="E90" s="27">
        <f>$E$86-$E$87-$E$88+$E$89</f>
        <v/>
      </c>
      <c r="F90" s="27">
        <f>$F$86-$F$87-$F$88+$F$89</f>
        <v/>
      </c>
    </row>
    <row r="91">
      <c r="A91" s="3" t="inlineStr">
        <is>
          <t>Net change in cash</t>
        </is>
      </c>
      <c r="B91" s="27">
        <f>$B$81+$B$85+$B$90</f>
        <v/>
      </c>
      <c r="C91" s="27">
        <f>$C$81+$C$85+$C$90</f>
        <v/>
      </c>
      <c r="D91" s="27">
        <f>$D$81+$D$85+$D$90</f>
        <v/>
      </c>
      <c r="E91" s="27">
        <f>$E$81+$E$85+$E$90</f>
        <v/>
      </c>
      <c r="F91" s="27">
        <f>$F$81+$F$85+$F$90</f>
        <v/>
      </c>
    </row>
    <row r="93" ht="20" customHeight="1">
      <c r="A93" s="5" t="inlineStr">
        <is>
          <t>Shares &amp; Per-Share Data</t>
        </is>
      </c>
    </row>
    <row r="94" ht="20" customHeight="1">
      <c r="A94" s="24" t="inlineStr"/>
      <c r="B94" s="25" t="inlineStr">
        <is>
          <t>FY—4</t>
        </is>
      </c>
      <c r="C94" s="25" t="inlineStr">
        <is>
          <t>FY—3</t>
        </is>
      </c>
      <c r="D94" s="25" t="inlineStr">
        <is>
          <t>FY—2</t>
        </is>
      </c>
      <c r="E94" s="25" t="inlineStr">
        <is>
          <t>FY—1</t>
        </is>
      </c>
      <c r="F94" s="25" t="inlineStr">
        <is>
          <t>FY—0</t>
        </is>
      </c>
      <c r="G94" s="24" t="inlineStr">
        <is>
          <t>Source / note</t>
        </is>
      </c>
    </row>
    <row r="95">
      <c r="A95" s="3" t="inlineStr">
        <is>
          <t>Weighted avg shares (basic, m)</t>
        </is>
      </c>
      <c r="B95" s="30" t="n"/>
      <c r="C95" s="30" t="n"/>
      <c r="D95" s="30" t="n"/>
      <c r="E95" s="30" t="n"/>
      <c r="F95" s="30" t="n"/>
    </row>
    <row r="96">
      <c r="A96" s="3" t="inlineStr">
        <is>
          <t>Weighted avg shares (diluted, m)</t>
        </is>
      </c>
      <c r="B96" s="30" t="n"/>
      <c r="C96" s="30" t="n"/>
      <c r="D96" s="30" t="n"/>
      <c r="E96" s="30" t="n"/>
      <c r="F96" s="30" t="n"/>
    </row>
    <row r="97">
      <c r="A97" s="3" t="inlineStr">
        <is>
          <t>EPS (basic)</t>
        </is>
      </c>
      <c r="B97" s="31">
        <f>IF(AND(ISNUMBER($B$48),ISNUMBER($B$95),$B$95&lt;&gt;0),$B$48/$B$95,"n/m")</f>
        <v/>
      </c>
      <c r="C97" s="31">
        <f>IF(AND(ISNUMBER($C$48),ISNUMBER($C$95),$C$95&lt;&gt;0),$C$48/$C$95,"n/m")</f>
        <v/>
      </c>
      <c r="D97" s="31">
        <f>IF(AND(ISNUMBER($D$48),ISNUMBER($D$95),$D$95&lt;&gt;0),$D$48/$D$95,"n/m")</f>
        <v/>
      </c>
      <c r="E97" s="31">
        <f>IF(AND(ISNUMBER($E$48),ISNUMBER($E$95),$E$95&lt;&gt;0),$E$48/$E$95,"n/m")</f>
        <v/>
      </c>
      <c r="F97" s="31">
        <f>IF(AND(ISNUMBER($F$48),ISNUMBER($F$95),$F$95&lt;&gt;0),$F$48/$F$95,"n/m")</f>
        <v/>
      </c>
    </row>
    <row r="98">
      <c r="A98" s="3" t="inlineStr">
        <is>
          <t>EPS (diluted)</t>
        </is>
      </c>
      <c r="B98" s="31">
        <f>IF(AND(ISNUMBER($B$48),ISNUMBER($B$96),$B$96&lt;&gt;0),$B$48/$B$96,"n/m")</f>
        <v/>
      </c>
      <c r="C98" s="31">
        <f>IF(AND(ISNUMBER($C$48),ISNUMBER($C$96),$C$96&lt;&gt;0),$C$48/$C$96,"n/m")</f>
        <v/>
      </c>
      <c r="D98" s="31">
        <f>IF(AND(ISNUMBER($D$48),ISNUMBER($D$96),$D$96&lt;&gt;0),$D$48/$D$96,"n/m")</f>
        <v/>
      </c>
      <c r="E98" s="31">
        <f>IF(AND(ISNUMBER($E$48),ISNUMBER($E$96),$E$96&lt;&gt;0),$E$48/$E$96,"n/m")</f>
        <v/>
      </c>
      <c r="F98" s="31">
        <f>IF(AND(ISNUMBER($F$48),ISNUMBER($F$96),$F$96&lt;&gt;0),$F$48/$F$96,"n/m")</f>
        <v/>
      </c>
    </row>
    <row r="99">
      <c r="A99" s="3" t="inlineStr">
        <is>
          <t>Dividend per share</t>
        </is>
      </c>
      <c r="B99" s="31">
        <f>IF(AND(ISNUMBER($B$87),ISNUMBER($B$95),$B$95&lt;&gt;0),$B$87/$B$95,"n/m")</f>
        <v/>
      </c>
      <c r="C99" s="31">
        <f>IF(AND(ISNUMBER($C$87),ISNUMBER($C$95),$C$95&lt;&gt;0),$C$87/$C$95,"n/m")</f>
        <v/>
      </c>
      <c r="D99" s="31">
        <f>IF(AND(ISNUMBER($D$87),ISNUMBER($D$95),$D$95&lt;&gt;0),$D$87/$D$95,"n/m")</f>
        <v/>
      </c>
      <c r="E99" s="31">
        <f>IF(AND(ISNUMBER($E$87),ISNUMBER($E$95),$E$95&lt;&gt;0),$E$87/$E$95,"n/m")</f>
        <v/>
      </c>
      <c r="F99" s="31">
        <f>IF(AND(ISNUMBER($F$87),ISNUMBER($F$95),$F$95&lt;&gt;0),$F$87/$F$95,"n/m")</f>
        <v/>
      </c>
    </row>
    <row r="100">
      <c r="A100" s="3" t="inlineStr">
        <is>
          <t>Dividend payout ratio</t>
        </is>
      </c>
      <c r="B100" s="32">
        <f>IF(AND(ISNUMBER($B$87),ISNUMBER($B$48),$B$48&lt;&gt;0),$B$87/$B$48,"n/m")</f>
        <v/>
      </c>
      <c r="C100" s="32">
        <f>IF(AND(ISNUMBER($C$87),ISNUMBER($C$48),$C$48&lt;&gt;0),$C$87/$C$48,"n/m")</f>
        <v/>
      </c>
      <c r="D100" s="32">
        <f>IF(AND(ISNUMBER($D$87),ISNUMBER($D$48),$D$48&lt;&gt;0),$D$87/$D$48,"n/m")</f>
        <v/>
      </c>
      <c r="E100" s="32">
        <f>IF(AND(ISNUMBER($E$87),ISNUMBER($E$48),$E$48&lt;&gt;0),$E$87/$E$48,"n/m")</f>
        <v/>
      </c>
      <c r="F100" s="32">
        <f>IF(AND(ISNUMBER($F$87),ISNUMBER($F$48),$F$48&lt;&gt;0),$F$87/$F$48,"n/m")</f>
        <v/>
      </c>
    </row>
    <row r="102" ht="20" customHeight="1">
      <c r="A102" s="5" t="inlineStr">
        <is>
          <t>Optional Drivers (volume / price)</t>
        </is>
      </c>
    </row>
    <row r="103" ht="20" customHeight="1">
      <c r="A103" s="24" t="inlineStr"/>
      <c r="B103" s="25" t="inlineStr">
        <is>
          <t>FY—4</t>
        </is>
      </c>
      <c r="C103" s="25" t="inlineStr">
        <is>
          <t>FY—3</t>
        </is>
      </c>
      <c r="D103" s="25" t="inlineStr">
        <is>
          <t>FY—2</t>
        </is>
      </c>
      <c r="E103" s="25" t="inlineStr">
        <is>
          <t>FY—1</t>
        </is>
      </c>
      <c r="F103" s="25" t="inlineStr">
        <is>
          <t>FY—0</t>
        </is>
      </c>
      <c r="G103" s="24" t="inlineStr">
        <is>
          <t>Source / note</t>
        </is>
      </c>
    </row>
    <row r="104">
      <c r="A104" s="3" t="inlineStr">
        <is>
          <t>Volume (units, m)</t>
        </is>
      </c>
      <c r="B104" s="33" t="n"/>
      <c r="C104" s="33" t="n"/>
      <c r="D104" s="33" t="n"/>
      <c r="E104" s="33" t="n"/>
      <c r="F104" s="33" t="n"/>
      <c r="G104" s="11" t="inlineStr">
        <is>
          <t>Optional. Units sold / delivered.</t>
        </is>
      </c>
    </row>
    <row r="105">
      <c r="A105" s="3" t="inlineStr">
        <is>
          <t>Average selling price</t>
        </is>
      </c>
      <c r="B105" s="34" t="n"/>
      <c r="C105" s="34" t="n"/>
      <c r="D105" s="34" t="n"/>
      <c r="E105" s="34" t="n"/>
      <c r="F105" s="34" t="n"/>
      <c r="G105" s="11" t="inlineStr">
        <is>
          <t>Optional. Revenue per unit; volume x price should ~ revenue.</t>
        </is>
      </c>
    </row>
    <row r="106">
      <c r="A106" s="3" t="inlineStr">
        <is>
          <t>Implied revenue (volume x price)</t>
        </is>
      </c>
      <c r="B106" s="27">
        <f>$B$104*$B$105</f>
        <v/>
      </c>
      <c r="C106" s="27">
        <f>$C$104*$C$105</f>
        <v/>
      </c>
      <c r="D106" s="27">
        <f>$D$104*$D$105</f>
        <v/>
      </c>
      <c r="E106" s="27">
        <f>$E$104*$E$105</f>
        <v/>
      </c>
      <c r="F106" s="27">
        <f>$F$104*$F$105</f>
        <v/>
      </c>
      <c r="G106" s="11" t="inlineStr">
        <is>
          <t>Cross-check: should approximate reported revenue.</t>
        </is>
      </c>
    </row>
    <row r="109" ht="20" customHeight="1">
      <c r="A109" s="5" t="inlineStr">
        <is>
          <t>Market &amp; Valuation Reference Inputs</t>
        </is>
      </c>
    </row>
    <row r="110" ht="16" customHeight="1">
      <c r="A110" s="11" t="inlineStr">
        <is>
          <t>Used by the WACC build-up and the equity-value bridge. Fallback defaults are applied (and labelled) where left blank.</t>
        </is>
      </c>
    </row>
    <row r="111">
      <c r="A111" s="24" t="inlineStr">
        <is>
          <t>Reference</t>
        </is>
      </c>
      <c r="B111" s="25" t="inlineStr">
        <is>
          <t>Value</t>
        </is>
      </c>
      <c r="C111" s="24" t="inlineStr">
        <is>
          <t>Type</t>
        </is>
      </c>
      <c r="D111" s="24" t="inlineStr">
        <is>
          <t>Note</t>
        </is>
      </c>
    </row>
    <row r="112">
      <c r="A112" s="3" t="inlineStr">
        <is>
          <t>Current share price</t>
        </is>
      </c>
      <c r="B112" s="34" t="n"/>
      <c r="C112" s="35" t="inlineStr">
        <is>
          <t>input</t>
        </is>
      </c>
      <c r="D112" s="11" t="inlineStr">
        <is>
          <t>Latest market price; leave blank if private/unknown.</t>
        </is>
      </c>
    </row>
    <row r="113">
      <c r="A113" s="3" t="inlineStr">
        <is>
          <t>Shares outstanding (current, m)</t>
        </is>
      </c>
      <c r="B113" s="30" t="n"/>
      <c r="C113" s="35" t="inlineStr">
        <is>
          <t>input</t>
        </is>
      </c>
      <c r="D113" s="11" t="inlineStr">
        <is>
          <t>Current shares for market cap &amp; per-share value.</t>
        </is>
      </c>
    </row>
    <row r="114">
      <c r="A114" s="3" t="inlineStr">
        <is>
          <t>Equity beta</t>
        </is>
      </c>
      <c r="B114" s="36" t="n"/>
      <c r="C114" s="35" t="inlineStr">
        <is>
          <t>input/fallback</t>
        </is>
      </c>
      <c r="D114" s="11" t="inlineStr">
        <is>
          <t>Levered beta vs market; fallback = 1.00.</t>
        </is>
      </c>
    </row>
    <row r="115">
      <c r="A115" s="3" t="inlineStr">
        <is>
          <t>Risk-free rate</t>
        </is>
      </c>
      <c r="B115" s="37" t="n"/>
      <c r="C115" s="35" t="inlineStr">
        <is>
          <t>input/fallback</t>
        </is>
      </c>
      <c r="D115" s="11" t="inlineStr">
        <is>
          <t>Long-bond yield; fallback = 4.0%.</t>
        </is>
      </c>
    </row>
    <row r="116">
      <c r="A116" s="3" t="inlineStr">
        <is>
          <t>Equity risk premium</t>
        </is>
      </c>
      <c r="B116" s="37" t="n"/>
      <c r="C116" s="35" t="inlineStr">
        <is>
          <t>input/fallback</t>
        </is>
      </c>
      <c r="D116" s="11" t="inlineStr">
        <is>
          <t>Mature-market ERP; fallback = 5.0%.</t>
        </is>
      </c>
    </row>
    <row r="117">
      <c r="A117" s="3" t="inlineStr">
        <is>
          <t>Pre-tax cost of debt</t>
        </is>
      </c>
      <c r="B117" s="37" t="n"/>
      <c r="C117" s="35" t="inlineStr">
        <is>
          <t>input/fallback</t>
        </is>
      </c>
      <c r="D117" s="11" t="inlineStr">
        <is>
          <t>Marginal borrowing rate; fallback = 6.0%.</t>
        </is>
      </c>
    </row>
    <row r="118">
      <c r="A118" s="3" t="inlineStr">
        <is>
          <t>Marginal tax rate</t>
        </is>
      </c>
      <c r="B118" s="37" t="n"/>
      <c r="C118" s="35" t="inlineStr">
        <is>
          <t>input/fallback</t>
        </is>
      </c>
      <c r="D118" s="11" t="inlineStr">
        <is>
          <t>For after-tax cost of debt &amp; NOPAT; fallback = 25%.</t>
        </is>
      </c>
    </row>
    <row r="119">
      <c r="A119" s="12" t="inlineStr">
        <is>
          <t>Market capitalisation (derived)</t>
        </is>
      </c>
      <c r="B119" s="29">
        <f>IF(AND(ISNUMBER('Inputs'!$B$112),ISNUMBER('Inputs'!$B$113)),'Inputs'!$B$112*'Inputs'!$B$113,"n/a")</f>
        <v/>
      </c>
      <c r="D119" s="11" t="inlineStr">
        <is>
          <t>Current price × shares outstanding.</t>
        </is>
      </c>
    </row>
  </sheetData>
  <mergeCells count="38">
    <mergeCell ref="B11:D11"/>
    <mergeCell ref="D118:G118"/>
    <mergeCell ref="D114:G114"/>
    <mergeCell ref="B8:D8"/>
    <mergeCell ref="A109:G109"/>
    <mergeCell ref="A29:G29"/>
    <mergeCell ref="D117:G117"/>
    <mergeCell ref="B20:E20"/>
    <mergeCell ref="D113:G113"/>
    <mergeCell ref="A28:G28"/>
    <mergeCell ref="B10:D10"/>
    <mergeCell ref="D23:G23"/>
    <mergeCell ref="A93:G93"/>
    <mergeCell ref="A102:G102"/>
    <mergeCell ref="A31:G31"/>
    <mergeCell ref="D115:G115"/>
    <mergeCell ref="B9:D9"/>
    <mergeCell ref="D119:G119"/>
    <mergeCell ref="B6:D6"/>
    <mergeCell ref="B22:E22"/>
    <mergeCell ref="D111:G111"/>
    <mergeCell ref="A1:G1"/>
    <mergeCell ref="A110:G110"/>
    <mergeCell ref="B21:E21"/>
    <mergeCell ref="A25:G25"/>
    <mergeCell ref="B7:D7"/>
    <mergeCell ref="A75:G75"/>
    <mergeCell ref="D116:G116"/>
    <mergeCell ref="A27:G27"/>
    <mergeCell ref="A3:G3"/>
    <mergeCell ref="B15:G16"/>
    <mergeCell ref="A50:G50"/>
    <mergeCell ref="A26:G26"/>
    <mergeCell ref="A2:G2"/>
    <mergeCell ref="B19:E19"/>
    <mergeCell ref="D112:G112"/>
    <mergeCell ref="B12:G14"/>
    <mergeCell ref="A5:G5"/>
  </mergeCell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G76"/>
  <sheetViews>
    <sheetView showGridLines="0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52" customWidth="1" min="7" max="7"/>
  </cols>
  <sheetData>
    <row r="1" ht="30" customHeight="1">
      <c r="A1" s="1" t="inlineStr">
        <is>
          <t>HISTORICAL ANALYSIS</t>
        </is>
      </c>
    </row>
    <row r="2" ht="16" customHeight="1">
      <c r="A2" s="2" t="inlineStr">
        <is>
          <t>Ratios, margins, growth, returns &amp; cash flow — with plain-English read</t>
        </is>
      </c>
    </row>
    <row r="3">
      <c r="A3" s="11" t="inlineStr">
        <is>
          <t>Investment-Grade Company Analysis Engine  ·  v1.0</t>
        </is>
      </c>
    </row>
    <row r="4">
      <c r="A4" s="11" t="inlineStr">
        <is>
          <t>All figures in USD millions unless stated.  Balance-sheet ratios use period-end balances.</t>
        </is>
      </c>
    </row>
    <row r="6" ht="20" customHeight="1">
      <c r="A6" s="5" t="inlineStr">
        <is>
          <t>Growth (year-on-year)</t>
        </is>
      </c>
    </row>
    <row r="7" ht="20" customHeight="1">
      <c r="A7" s="24" t="inlineStr"/>
      <c r="B7" s="25" t="inlineStr">
        <is>
          <t>FY—4</t>
        </is>
      </c>
      <c r="C7" s="25" t="inlineStr">
        <is>
          <t>FY—3</t>
        </is>
      </c>
      <c r="D7" s="25" t="inlineStr">
        <is>
          <t>FY—2</t>
        </is>
      </c>
      <c r="E7" s="25" t="inlineStr">
        <is>
          <t>FY—1</t>
        </is>
      </c>
      <c r="F7" s="25" t="inlineStr">
        <is>
          <t>FY—0</t>
        </is>
      </c>
      <c r="G7" s="24" t="inlineStr">
        <is>
          <t>Latest read</t>
        </is>
      </c>
    </row>
    <row r="8">
      <c r="A8" s="12" t="inlineStr">
        <is>
          <t>Revenue growth</t>
        </is>
      </c>
      <c r="C8" s="38">
        <f>IF(AND(ISNUMBER('Inputs'!$C$33),ISNUMBER('Inputs'!$B$33),'Inputs'!$B$33&gt;0),'Inputs'!$C$33/'Inputs'!$B$33-1,"n/m")</f>
        <v/>
      </c>
      <c r="D8" s="38">
        <f>IF(AND(ISNUMBER('Inputs'!$D$33),ISNUMBER('Inputs'!$C$33),'Inputs'!$C$33&gt;0),'Inputs'!$D$33/'Inputs'!$C$33-1,"n/m")</f>
        <v/>
      </c>
      <c r="E8" s="38">
        <f>IF(AND(ISNUMBER('Inputs'!$E$33),ISNUMBER('Inputs'!$D$33),'Inputs'!$D$33&gt;0),'Inputs'!$E$33/'Inputs'!$D$33-1,"n/m")</f>
        <v/>
      </c>
      <c r="F8" s="38">
        <f>IF(AND(ISNUMBER('Inputs'!$F$33),ISNUMBER('Inputs'!$E$33),'Inputs'!$E$33&gt;0),'Inputs'!$F$33/'Inputs'!$E$33-1,"n/m")</f>
        <v/>
      </c>
      <c r="G8" s="39">
        <f>IF(NOT(AND(ISNUMBER($F$8),ISNUMBER($E$8))),"n/a",IF($F$8&gt;$E$8+0.02,"Accelerating",IF($F$8&lt;$E$8-0.02,"Decelerating","Stable")))</f>
        <v/>
      </c>
    </row>
    <row r="9">
      <c r="A9" s="12" t="inlineStr">
        <is>
          <t>Gross profit growth</t>
        </is>
      </c>
      <c r="C9" s="38">
        <f>IF(AND(ISNUMBER('Inputs'!$C$35),ISNUMBER('Inputs'!$B$35),'Inputs'!$B$35&gt;0),'Inputs'!$C$35/'Inputs'!$B$35-1,"n/m")</f>
        <v/>
      </c>
      <c r="D9" s="38">
        <f>IF(AND(ISNUMBER('Inputs'!$D$35),ISNUMBER('Inputs'!$C$35),'Inputs'!$C$35&gt;0),'Inputs'!$D$35/'Inputs'!$C$35-1,"n/m")</f>
        <v/>
      </c>
      <c r="E9" s="38">
        <f>IF(AND(ISNUMBER('Inputs'!$E$35),ISNUMBER('Inputs'!$D$35),'Inputs'!$D$35&gt;0),'Inputs'!$E$35/'Inputs'!$D$35-1,"n/m")</f>
        <v/>
      </c>
      <c r="F9" s="38">
        <f>IF(AND(ISNUMBER('Inputs'!$F$35),ISNUMBER('Inputs'!$E$35),'Inputs'!$E$35&gt;0),'Inputs'!$F$35/'Inputs'!$E$35-1,"n/m")</f>
        <v/>
      </c>
      <c r="G9" s="39">
        <f>IF(NOT(AND(ISNUMBER($F$9),ISNUMBER($E$9))),"n/a",IF($F$9&gt;$E$9+0.02,"Accelerating",IF($F$9&lt;$E$9-0.02,"Decelerating","Stable")))</f>
        <v/>
      </c>
    </row>
    <row r="10">
      <c r="A10" s="12" t="inlineStr">
        <is>
          <t>EBITDA growth</t>
        </is>
      </c>
      <c r="C10" s="38">
        <f>IF(AND(ISNUMBER('Inputs'!$C$41),ISNUMBER('Inputs'!$B$41),'Inputs'!$B$41&gt;0),'Inputs'!$C$41/'Inputs'!$B$41-1,"n/m")</f>
        <v/>
      </c>
      <c r="D10" s="38">
        <f>IF(AND(ISNUMBER('Inputs'!$D$41),ISNUMBER('Inputs'!$C$41),'Inputs'!$C$41&gt;0),'Inputs'!$D$41/'Inputs'!$C$41-1,"n/m")</f>
        <v/>
      </c>
      <c r="E10" s="38">
        <f>IF(AND(ISNUMBER('Inputs'!$E$41),ISNUMBER('Inputs'!$D$41),'Inputs'!$D$41&gt;0),'Inputs'!$E$41/'Inputs'!$D$41-1,"n/m")</f>
        <v/>
      </c>
      <c r="F10" s="38">
        <f>IF(AND(ISNUMBER('Inputs'!$F$41),ISNUMBER('Inputs'!$E$41),'Inputs'!$E$41&gt;0),'Inputs'!$F$41/'Inputs'!$E$41-1,"n/m")</f>
        <v/>
      </c>
      <c r="G10" s="39">
        <f>IF(NOT(AND(ISNUMBER($F$10),ISNUMBER($E$10))),"n/a",IF($F$10&gt;$E$10+0.02,"Accelerating",IF($F$10&lt;$E$10-0.02,"Decelerating","Stable")))</f>
        <v/>
      </c>
    </row>
    <row r="11">
      <c r="A11" s="12" t="inlineStr">
        <is>
          <t>EBIT growth</t>
        </is>
      </c>
      <c r="C11" s="38">
        <f>IF(AND(ISNUMBER('Inputs'!$C$39),ISNUMBER('Inputs'!$B$39),'Inputs'!$B$39&gt;0),'Inputs'!$C$39/'Inputs'!$B$39-1,"n/m")</f>
        <v/>
      </c>
      <c r="D11" s="38">
        <f>IF(AND(ISNUMBER('Inputs'!$D$39),ISNUMBER('Inputs'!$C$39),'Inputs'!$C$39&gt;0),'Inputs'!$D$39/'Inputs'!$C$39-1,"n/m")</f>
        <v/>
      </c>
      <c r="E11" s="38">
        <f>IF(AND(ISNUMBER('Inputs'!$E$39),ISNUMBER('Inputs'!$D$39),'Inputs'!$D$39&gt;0),'Inputs'!$E$39/'Inputs'!$D$39-1,"n/m")</f>
        <v/>
      </c>
      <c r="F11" s="38">
        <f>IF(AND(ISNUMBER('Inputs'!$F$39),ISNUMBER('Inputs'!$E$39),'Inputs'!$E$39&gt;0),'Inputs'!$F$39/'Inputs'!$E$39-1,"n/m")</f>
        <v/>
      </c>
      <c r="G11" s="39">
        <f>IF(NOT(AND(ISNUMBER($F$11),ISNUMBER($E$11))),"n/a",IF($F$11&gt;$E$11+0.02,"Accelerating",IF($F$11&lt;$E$11-0.02,"Decelerating","Stable")))</f>
        <v/>
      </c>
    </row>
    <row r="12">
      <c r="A12" s="12" t="inlineStr">
        <is>
          <t>Net income growth</t>
        </is>
      </c>
      <c r="C12" s="38">
        <f>IF(AND(ISNUMBER('Inputs'!$C$48),ISNUMBER('Inputs'!$B$48),'Inputs'!$B$48&gt;0),'Inputs'!$C$48/'Inputs'!$B$48-1,"n/m")</f>
        <v/>
      </c>
      <c r="D12" s="38">
        <f>IF(AND(ISNUMBER('Inputs'!$D$48),ISNUMBER('Inputs'!$C$48),'Inputs'!$C$48&gt;0),'Inputs'!$D$48/'Inputs'!$C$48-1,"n/m")</f>
        <v/>
      </c>
      <c r="E12" s="38">
        <f>IF(AND(ISNUMBER('Inputs'!$E$48),ISNUMBER('Inputs'!$D$48),'Inputs'!$D$48&gt;0),'Inputs'!$E$48/'Inputs'!$D$48-1,"n/m")</f>
        <v/>
      </c>
      <c r="F12" s="38">
        <f>IF(AND(ISNUMBER('Inputs'!$F$48),ISNUMBER('Inputs'!$E$48),'Inputs'!$E$48&gt;0),'Inputs'!$F$48/'Inputs'!$E$48-1,"n/m")</f>
        <v/>
      </c>
      <c r="G12" s="39">
        <f>IF(NOT(AND(ISNUMBER($F$12),ISNUMBER($E$12))),"n/a",IF($F$12&gt;$E$12+0.02,"Accelerating",IF($F$12&lt;$E$12-0.02,"Decelerating","Stable")))</f>
        <v/>
      </c>
    </row>
    <row r="13">
      <c r="A13" s="12" t="inlineStr">
        <is>
          <t>Diluted EPS growth</t>
        </is>
      </c>
      <c r="C13" s="38">
        <f>IF(AND(ISNUMBER('Inputs'!$C$98),ISNUMBER('Inputs'!$B$98),'Inputs'!$B$98&gt;0),'Inputs'!$C$98/'Inputs'!$B$98-1,"n/m")</f>
        <v/>
      </c>
      <c r="D13" s="38">
        <f>IF(AND(ISNUMBER('Inputs'!$D$98),ISNUMBER('Inputs'!$C$98),'Inputs'!$C$98&gt;0),'Inputs'!$D$98/'Inputs'!$C$98-1,"n/m")</f>
        <v/>
      </c>
      <c r="E13" s="38">
        <f>IF(AND(ISNUMBER('Inputs'!$E$98),ISNUMBER('Inputs'!$D$98),'Inputs'!$D$98&gt;0),'Inputs'!$E$98/'Inputs'!$D$98-1,"n/m")</f>
        <v/>
      </c>
      <c r="F13" s="38">
        <f>IF(AND(ISNUMBER('Inputs'!$F$98),ISNUMBER('Inputs'!$E$98),'Inputs'!$E$98&gt;0),'Inputs'!$F$98/'Inputs'!$E$98-1,"n/m")</f>
        <v/>
      </c>
      <c r="G13" s="39">
        <f>IF(NOT(AND(ISNUMBER($F$13),ISNUMBER($E$13))),"n/a",IF($F$13&gt;$E$13+0.02,"Accelerating",IF($F$13&lt;$E$13-0.02,"Decelerating","Stable")))</f>
        <v/>
      </c>
    </row>
    <row r="15" ht="20" customHeight="1">
      <c r="A15" s="5" t="inlineStr">
        <is>
          <t>Profitability &amp; Margins</t>
        </is>
      </c>
    </row>
    <row r="16" ht="20" customHeight="1">
      <c r="A16" s="24" t="inlineStr"/>
      <c r="B16" s="25" t="inlineStr">
        <is>
          <t>FY—4</t>
        </is>
      </c>
      <c r="C16" s="25" t="inlineStr">
        <is>
          <t>FY—3</t>
        </is>
      </c>
      <c r="D16" s="25" t="inlineStr">
        <is>
          <t>FY—2</t>
        </is>
      </c>
      <c r="E16" s="25" t="inlineStr">
        <is>
          <t>FY—1</t>
        </is>
      </c>
      <c r="F16" s="25" t="inlineStr">
        <is>
          <t>FY—0</t>
        </is>
      </c>
      <c r="G16" s="24" t="inlineStr">
        <is>
          <t>Latest read</t>
        </is>
      </c>
    </row>
    <row r="17">
      <c r="A17" s="12" t="inlineStr">
        <is>
          <t>Gross margin</t>
        </is>
      </c>
      <c r="B17" s="38">
        <f>IF(AND(ISNUMBER('Inputs'!$B$35),ISNUMBER('Inputs'!$B$33),'Inputs'!$B$33&lt;&gt;0),'Inputs'!$B$35/'Inputs'!$B$33,"n/m")</f>
        <v/>
      </c>
      <c r="C17" s="38">
        <f>IF(AND(ISNUMBER('Inputs'!$C$35),ISNUMBER('Inputs'!$C$33),'Inputs'!$C$33&lt;&gt;0),'Inputs'!$C$35/'Inputs'!$C$33,"n/m")</f>
        <v/>
      </c>
      <c r="D17" s="38">
        <f>IF(AND(ISNUMBER('Inputs'!$D$35),ISNUMBER('Inputs'!$D$33),'Inputs'!$D$33&lt;&gt;0),'Inputs'!$D$35/'Inputs'!$D$33,"n/m")</f>
        <v/>
      </c>
      <c r="E17" s="38">
        <f>IF(AND(ISNUMBER('Inputs'!$E$35),ISNUMBER('Inputs'!$E$33),'Inputs'!$E$33&lt;&gt;0),'Inputs'!$E$35/'Inputs'!$E$33,"n/m")</f>
        <v/>
      </c>
      <c r="F17" s="38">
        <f>IF(AND(ISNUMBER('Inputs'!$F$35),ISNUMBER('Inputs'!$F$33),'Inputs'!$F$33&lt;&gt;0),'Inputs'!$F$35/'Inputs'!$F$33,"n/m")</f>
        <v/>
      </c>
      <c r="G17" s="39">
        <f>IF(NOT(AND(ISNUMBER($F$17),ISNUMBER(AVERAGE($B$17:$E$17)))),"n/a",IF($F$17&gt;AVERAGE($B$17:$E$17)*(1+0.05),"Expanding",IF($F$17&lt;AVERAGE($B$17:$E$17)*(1-0.05),"Compressing","Stable")))</f>
        <v/>
      </c>
    </row>
    <row r="18">
      <c r="A18" s="12" t="inlineStr">
        <is>
          <t>EBITDA margin</t>
        </is>
      </c>
      <c r="B18" s="38">
        <f>IF(AND(ISNUMBER('Inputs'!$B$41),ISNUMBER('Inputs'!$B$33),'Inputs'!$B$33&lt;&gt;0),'Inputs'!$B$41/'Inputs'!$B$33,"n/m")</f>
        <v/>
      </c>
      <c r="C18" s="38">
        <f>IF(AND(ISNUMBER('Inputs'!$C$41),ISNUMBER('Inputs'!$C$33),'Inputs'!$C$33&lt;&gt;0),'Inputs'!$C$41/'Inputs'!$C$33,"n/m")</f>
        <v/>
      </c>
      <c r="D18" s="38">
        <f>IF(AND(ISNUMBER('Inputs'!$D$41),ISNUMBER('Inputs'!$D$33),'Inputs'!$D$33&lt;&gt;0),'Inputs'!$D$41/'Inputs'!$D$33,"n/m")</f>
        <v/>
      </c>
      <c r="E18" s="38">
        <f>IF(AND(ISNUMBER('Inputs'!$E$41),ISNUMBER('Inputs'!$E$33),'Inputs'!$E$33&lt;&gt;0),'Inputs'!$E$41/'Inputs'!$E$33,"n/m")</f>
        <v/>
      </c>
      <c r="F18" s="38">
        <f>IF(AND(ISNUMBER('Inputs'!$F$41),ISNUMBER('Inputs'!$F$33),'Inputs'!$F$33&lt;&gt;0),'Inputs'!$F$41/'Inputs'!$F$33,"n/m")</f>
        <v/>
      </c>
      <c r="G18" s="39">
        <f>IF(NOT(AND(ISNUMBER($F$18),ISNUMBER(AVERAGE($B$18:$E$18)))),"n/a",IF($F$18&gt;AVERAGE($B$18:$E$18)*(1+0.05),"Expanding",IF($F$18&lt;AVERAGE($B$18:$E$18)*(1-0.05),"Compressing","Stable")))</f>
        <v/>
      </c>
    </row>
    <row r="19">
      <c r="A19" s="12" t="inlineStr">
        <is>
          <t>EBIT (operating) margin</t>
        </is>
      </c>
      <c r="B19" s="38">
        <f>IF(AND(ISNUMBER('Inputs'!$B$39),ISNUMBER('Inputs'!$B$33),'Inputs'!$B$33&lt;&gt;0),'Inputs'!$B$39/'Inputs'!$B$33,"n/m")</f>
        <v/>
      </c>
      <c r="C19" s="38">
        <f>IF(AND(ISNUMBER('Inputs'!$C$39),ISNUMBER('Inputs'!$C$33),'Inputs'!$C$33&lt;&gt;0),'Inputs'!$C$39/'Inputs'!$C$33,"n/m")</f>
        <v/>
      </c>
      <c r="D19" s="38">
        <f>IF(AND(ISNUMBER('Inputs'!$D$39),ISNUMBER('Inputs'!$D$33),'Inputs'!$D$33&lt;&gt;0),'Inputs'!$D$39/'Inputs'!$D$33,"n/m")</f>
        <v/>
      </c>
      <c r="E19" s="38">
        <f>IF(AND(ISNUMBER('Inputs'!$E$39),ISNUMBER('Inputs'!$E$33),'Inputs'!$E$33&lt;&gt;0),'Inputs'!$E$39/'Inputs'!$E$33,"n/m")</f>
        <v/>
      </c>
      <c r="F19" s="38">
        <f>IF(AND(ISNUMBER('Inputs'!$F$39),ISNUMBER('Inputs'!$F$33),'Inputs'!$F$33&lt;&gt;0),'Inputs'!$F$39/'Inputs'!$F$33,"n/m")</f>
        <v/>
      </c>
      <c r="G19" s="39">
        <f>IF(NOT(AND(ISNUMBER($F$19),ISNUMBER(AVERAGE($B$19:$E$19)))),"n/a",IF($F$19&gt;AVERAGE($B$19:$E$19)*(1+0.05),"Expanding",IF($F$19&lt;AVERAGE($B$19:$E$19)*(1-0.05),"Compressing","Stable")))</f>
        <v/>
      </c>
    </row>
    <row r="20">
      <c r="A20" s="12" t="inlineStr">
        <is>
          <t>Net margin</t>
        </is>
      </c>
      <c r="B20" s="38">
        <f>IF(AND(ISNUMBER('Inputs'!$B$48),ISNUMBER('Inputs'!$B$33),'Inputs'!$B$33&lt;&gt;0),'Inputs'!$B$48/'Inputs'!$B$33,"n/m")</f>
        <v/>
      </c>
      <c r="C20" s="38">
        <f>IF(AND(ISNUMBER('Inputs'!$C$48),ISNUMBER('Inputs'!$C$33),'Inputs'!$C$33&lt;&gt;0),'Inputs'!$C$48/'Inputs'!$C$33,"n/m")</f>
        <v/>
      </c>
      <c r="D20" s="38">
        <f>IF(AND(ISNUMBER('Inputs'!$D$48),ISNUMBER('Inputs'!$D$33),'Inputs'!$D$33&lt;&gt;0),'Inputs'!$D$48/'Inputs'!$D$33,"n/m")</f>
        <v/>
      </c>
      <c r="E20" s="38">
        <f>IF(AND(ISNUMBER('Inputs'!$E$48),ISNUMBER('Inputs'!$E$33),'Inputs'!$E$33&lt;&gt;0),'Inputs'!$E$48/'Inputs'!$E$33,"n/m")</f>
        <v/>
      </c>
      <c r="F20" s="38">
        <f>IF(AND(ISNUMBER('Inputs'!$F$48),ISNUMBER('Inputs'!$F$33),'Inputs'!$F$33&lt;&gt;0),'Inputs'!$F$48/'Inputs'!$F$33,"n/m")</f>
        <v/>
      </c>
      <c r="G20" s="39">
        <f>IF(NOT(AND(ISNUMBER($F$20),ISNUMBER(AVERAGE($B$20:$E$20)))),"n/a",IF($F$20&gt;AVERAGE($B$20:$E$20)*(1+0.05),"Expanding",IF($F$20&lt;AVERAGE($B$20:$E$20)*(1-0.05),"Compressing","Stable")))</f>
        <v/>
      </c>
    </row>
    <row r="21">
      <c r="A21" s="3" t="inlineStr">
        <is>
          <t xml:space="preserve">    SG&amp;A % of revenue</t>
        </is>
      </c>
      <c r="B21" s="38">
        <f>IF(AND(ISNUMBER('Inputs'!$B$36),ISNUMBER('Inputs'!$B$33),'Inputs'!$B$33&lt;&gt;0),'Inputs'!$B$36/'Inputs'!$B$33,"n/m")</f>
        <v/>
      </c>
      <c r="C21" s="38">
        <f>IF(AND(ISNUMBER('Inputs'!$C$36),ISNUMBER('Inputs'!$C$33),'Inputs'!$C$33&lt;&gt;0),'Inputs'!$C$36/'Inputs'!$C$33,"n/m")</f>
        <v/>
      </c>
      <c r="D21" s="38">
        <f>IF(AND(ISNUMBER('Inputs'!$D$36),ISNUMBER('Inputs'!$D$33),'Inputs'!$D$33&lt;&gt;0),'Inputs'!$D$36/'Inputs'!$D$33,"n/m")</f>
        <v/>
      </c>
      <c r="E21" s="38">
        <f>IF(AND(ISNUMBER('Inputs'!$E$36),ISNUMBER('Inputs'!$E$33),'Inputs'!$E$33&lt;&gt;0),'Inputs'!$E$36/'Inputs'!$E$33,"n/m")</f>
        <v/>
      </c>
      <c r="F21" s="38">
        <f>IF(AND(ISNUMBER('Inputs'!$F$36),ISNUMBER('Inputs'!$F$33),'Inputs'!$F$33&lt;&gt;0),'Inputs'!$F$36/'Inputs'!$F$33,"n/m")</f>
        <v/>
      </c>
      <c r="G21" s="39">
        <f>IF(NOT(AND(ISNUMBER($F$21),ISNUMBER(AVERAGE($B$21:$E$21)))),"n/a",IF($F$21&gt;AVERAGE($B$21:$E$21)*(1+0.05),"Deteriorating",IF($F$21&lt;AVERAGE($B$21:$E$21)*(1-0.05),"Improving","Stable")))</f>
        <v/>
      </c>
    </row>
    <row r="22">
      <c r="A22" s="3" t="inlineStr">
        <is>
          <t xml:space="preserve">    R&amp;D % of revenue</t>
        </is>
      </c>
      <c r="B22" s="38">
        <f>IF(AND(ISNUMBER('Inputs'!$B$37),ISNUMBER('Inputs'!$B$33),'Inputs'!$B$33&lt;&gt;0),'Inputs'!$B$37/'Inputs'!$B$33,"n/m")</f>
        <v/>
      </c>
      <c r="C22" s="38">
        <f>IF(AND(ISNUMBER('Inputs'!$C$37),ISNUMBER('Inputs'!$C$33),'Inputs'!$C$33&lt;&gt;0),'Inputs'!$C$37/'Inputs'!$C$33,"n/m")</f>
        <v/>
      </c>
      <c r="D22" s="38">
        <f>IF(AND(ISNUMBER('Inputs'!$D$37),ISNUMBER('Inputs'!$D$33),'Inputs'!$D$33&lt;&gt;0),'Inputs'!$D$37/'Inputs'!$D$33,"n/m")</f>
        <v/>
      </c>
      <c r="E22" s="38">
        <f>IF(AND(ISNUMBER('Inputs'!$E$37),ISNUMBER('Inputs'!$E$33),'Inputs'!$E$33&lt;&gt;0),'Inputs'!$E$37/'Inputs'!$E$33,"n/m")</f>
        <v/>
      </c>
      <c r="F22" s="38">
        <f>IF(AND(ISNUMBER('Inputs'!$F$37),ISNUMBER('Inputs'!$F$33),'Inputs'!$F$33&lt;&gt;0),'Inputs'!$F$37/'Inputs'!$F$33,"n/m")</f>
        <v/>
      </c>
      <c r="G22" s="39">
        <f>IF(NOT(AND(ISNUMBER($F$22),ISNUMBER(AVERAGE($B$22:$E$22)))),"n/a",IF($F$22&gt;AVERAGE($B$22:$E$22)*(1+0.05),"Deteriorating",IF($F$22&lt;AVERAGE($B$22:$E$22)*(1-0.05),"Improving","Stable")))</f>
        <v/>
      </c>
    </row>
    <row r="23">
      <c r="A23" s="3" t="inlineStr">
        <is>
          <t xml:space="preserve">    D&amp;A % of revenue</t>
        </is>
      </c>
      <c r="B23" s="38">
        <f>IF(AND(ISNUMBER('Inputs'!$B$40),ISNUMBER('Inputs'!$B$33),'Inputs'!$B$33&lt;&gt;0),'Inputs'!$B$40/'Inputs'!$B$33,"n/m")</f>
        <v/>
      </c>
      <c r="C23" s="38">
        <f>IF(AND(ISNUMBER('Inputs'!$C$40),ISNUMBER('Inputs'!$C$33),'Inputs'!$C$33&lt;&gt;0),'Inputs'!$C$40/'Inputs'!$C$33,"n/m")</f>
        <v/>
      </c>
      <c r="D23" s="38">
        <f>IF(AND(ISNUMBER('Inputs'!$D$40),ISNUMBER('Inputs'!$D$33),'Inputs'!$D$33&lt;&gt;0),'Inputs'!$D$40/'Inputs'!$D$33,"n/m")</f>
        <v/>
      </c>
      <c r="E23" s="38">
        <f>IF(AND(ISNUMBER('Inputs'!$E$40),ISNUMBER('Inputs'!$E$33),'Inputs'!$E$33&lt;&gt;0),'Inputs'!$E$40/'Inputs'!$E$33,"n/m")</f>
        <v/>
      </c>
      <c r="F23" s="38">
        <f>IF(AND(ISNUMBER('Inputs'!$F$40),ISNUMBER('Inputs'!$F$33),'Inputs'!$F$33&lt;&gt;0),'Inputs'!$F$40/'Inputs'!$F$33,"n/m")</f>
        <v/>
      </c>
    </row>
    <row r="24">
      <c r="A24" s="3" t="inlineStr">
        <is>
          <t xml:space="preserve">    Interest burden (EBT / EBIT)</t>
        </is>
      </c>
      <c r="B24" s="38">
        <f>IF(AND(ISNUMBER('Inputs'!$B$45),ISNUMBER('Inputs'!$B$39),'Inputs'!$B$39&lt;&gt;0),'Inputs'!$B$45/'Inputs'!$B$39,"n/m")</f>
        <v/>
      </c>
      <c r="C24" s="38">
        <f>IF(AND(ISNUMBER('Inputs'!$C$45),ISNUMBER('Inputs'!$C$39),'Inputs'!$C$39&lt;&gt;0),'Inputs'!$C$45/'Inputs'!$C$39,"n/m")</f>
        <v/>
      </c>
      <c r="D24" s="38">
        <f>IF(AND(ISNUMBER('Inputs'!$D$45),ISNUMBER('Inputs'!$D$39),'Inputs'!$D$39&lt;&gt;0),'Inputs'!$D$45/'Inputs'!$D$39,"n/m")</f>
        <v/>
      </c>
      <c r="E24" s="38">
        <f>IF(AND(ISNUMBER('Inputs'!$E$45),ISNUMBER('Inputs'!$E$39),'Inputs'!$E$39&lt;&gt;0),'Inputs'!$E$45/'Inputs'!$E$39,"n/m")</f>
        <v/>
      </c>
      <c r="F24" s="38">
        <f>IF(AND(ISNUMBER('Inputs'!$F$45),ISNUMBER('Inputs'!$F$39),'Inputs'!$F$39&lt;&gt;0),'Inputs'!$F$45/'Inputs'!$F$39,"n/m")</f>
        <v/>
      </c>
      <c r="G24" s="39">
        <f>IF(NOT(AND(ISNUMBER($F$24),ISNUMBER(AVERAGE($B$24:$E$24)))),"n/a",IF($F$24&gt;AVERAGE($B$24:$E$24)*(1+0.05),"Improving",IF($F$24&lt;AVERAGE($B$24:$E$24)*(1-0.05),"Deteriorating","Stable")))</f>
        <v/>
      </c>
    </row>
    <row r="25">
      <c r="A25" s="3" t="inlineStr">
        <is>
          <t xml:space="preserve">    Tax burden (NI / EBT)</t>
        </is>
      </c>
      <c r="B25" s="38">
        <f>IF(AND(ISNUMBER('Inputs'!$B$48),ISNUMBER('Inputs'!$B$45),'Inputs'!$B$45&lt;&gt;0),'Inputs'!$B$48/'Inputs'!$B$45,"n/m")</f>
        <v/>
      </c>
      <c r="C25" s="38">
        <f>IF(AND(ISNUMBER('Inputs'!$C$48),ISNUMBER('Inputs'!$C$45),'Inputs'!$C$45&lt;&gt;0),'Inputs'!$C$48/'Inputs'!$C$45,"n/m")</f>
        <v/>
      </c>
      <c r="D25" s="38">
        <f>IF(AND(ISNUMBER('Inputs'!$D$48),ISNUMBER('Inputs'!$D$45),'Inputs'!$D$45&lt;&gt;0),'Inputs'!$D$48/'Inputs'!$D$45,"n/m")</f>
        <v/>
      </c>
      <c r="E25" s="38">
        <f>IF(AND(ISNUMBER('Inputs'!$E$48),ISNUMBER('Inputs'!$E$45),'Inputs'!$E$45&lt;&gt;0),'Inputs'!$E$48/'Inputs'!$E$45,"n/m")</f>
        <v/>
      </c>
      <c r="F25" s="38">
        <f>IF(AND(ISNUMBER('Inputs'!$F$48),ISNUMBER('Inputs'!$F$45),'Inputs'!$F$45&lt;&gt;0),'Inputs'!$F$48/'Inputs'!$F$45,"n/m")</f>
        <v/>
      </c>
      <c r="G25" s="39">
        <f>IF(NOT(AND(ISNUMBER($F$25),ISNUMBER(AVERAGE($B$25:$E$25)))),"n/a",IF($F$25&gt;AVERAGE($B$25:$E$25)*(1+0.05),"Improving",IF($F$25&lt;AVERAGE($B$25:$E$25)*(1-0.05),"Deteriorating","Stable")))</f>
        <v/>
      </c>
    </row>
    <row r="26">
      <c r="A26" s="3" t="inlineStr">
        <is>
          <t xml:space="preserve">    Effective tax rate</t>
        </is>
      </c>
      <c r="B26" s="38">
        <f>IF(AND(ISNUMBER('Inputs'!$B$46),ISNUMBER('Inputs'!$B$45),'Inputs'!$B$45&lt;&gt;0),'Inputs'!$B$46/'Inputs'!$B$45,"n/m")</f>
        <v/>
      </c>
      <c r="C26" s="38">
        <f>IF(AND(ISNUMBER('Inputs'!$C$46),ISNUMBER('Inputs'!$C$45),'Inputs'!$C$45&lt;&gt;0),'Inputs'!$C$46/'Inputs'!$C$45,"n/m")</f>
        <v/>
      </c>
      <c r="D26" s="38">
        <f>IF(AND(ISNUMBER('Inputs'!$D$46),ISNUMBER('Inputs'!$D$45),'Inputs'!$D$45&lt;&gt;0),'Inputs'!$D$46/'Inputs'!$D$45,"n/m")</f>
        <v/>
      </c>
      <c r="E26" s="38">
        <f>IF(AND(ISNUMBER('Inputs'!$E$46),ISNUMBER('Inputs'!$E$45),'Inputs'!$E$45&lt;&gt;0),'Inputs'!$E$46/'Inputs'!$E$45,"n/m")</f>
        <v/>
      </c>
      <c r="F26" s="38">
        <f>IF(AND(ISNUMBER('Inputs'!$F$46),ISNUMBER('Inputs'!$F$45),'Inputs'!$F$45&lt;&gt;0),'Inputs'!$F$46/'Inputs'!$F$45,"n/m")</f>
        <v/>
      </c>
    </row>
    <row r="28" ht="20" customHeight="1">
      <c r="A28" s="5" t="inlineStr">
        <is>
          <t>Returns on Capital</t>
        </is>
      </c>
    </row>
    <row r="29" ht="20" customHeight="1">
      <c r="A29" s="24" t="inlineStr"/>
      <c r="B29" s="25" t="inlineStr">
        <is>
          <t>FY—4</t>
        </is>
      </c>
      <c r="C29" s="25" t="inlineStr">
        <is>
          <t>FY—3</t>
        </is>
      </c>
      <c r="D29" s="25" t="inlineStr">
        <is>
          <t>FY—2</t>
        </is>
      </c>
      <c r="E29" s="25" t="inlineStr">
        <is>
          <t>FY—1</t>
        </is>
      </c>
      <c r="F29" s="25" t="inlineStr">
        <is>
          <t>FY—0</t>
        </is>
      </c>
      <c r="G29" s="24" t="inlineStr">
        <is>
          <t>Latest read</t>
        </is>
      </c>
    </row>
    <row r="30">
      <c r="A30" s="40" t="inlineStr">
        <is>
          <t xml:space="preserve">    NOPAT = EBIT × (1 − effective tax)</t>
        </is>
      </c>
      <c r="B30" s="28">
        <f>IF(AND(ISNUMBER('Inputs'!$B$39),ISNUMBER('Inputs'!$B$46),ISNUMBER('Inputs'!$B$45)),'Inputs'!$B$39*(1-'Inputs'!$B$46/'Inputs'!$B$45),"n/m")</f>
        <v/>
      </c>
      <c r="C30" s="28">
        <f>IF(AND(ISNUMBER('Inputs'!$C$39),ISNUMBER('Inputs'!$C$46),ISNUMBER('Inputs'!$C$45)),'Inputs'!$C$39*(1-'Inputs'!$C$46/'Inputs'!$C$45),"n/m")</f>
        <v/>
      </c>
      <c r="D30" s="28">
        <f>IF(AND(ISNUMBER('Inputs'!$D$39),ISNUMBER('Inputs'!$D$46),ISNUMBER('Inputs'!$D$45)),'Inputs'!$D$39*(1-'Inputs'!$D$46/'Inputs'!$D$45),"n/m")</f>
        <v/>
      </c>
      <c r="E30" s="28">
        <f>IF(AND(ISNUMBER('Inputs'!$E$39),ISNUMBER('Inputs'!$E$46),ISNUMBER('Inputs'!$E$45)),'Inputs'!$E$39*(1-'Inputs'!$E$46/'Inputs'!$E$45),"n/m")</f>
        <v/>
      </c>
      <c r="F30" s="28">
        <f>IF(AND(ISNUMBER('Inputs'!$F$39),ISNUMBER('Inputs'!$F$46),ISNUMBER('Inputs'!$F$45)),'Inputs'!$F$39*(1-'Inputs'!$F$46/'Inputs'!$F$45),"n/m")</f>
        <v/>
      </c>
    </row>
    <row r="31">
      <c r="A31" s="40" t="inlineStr">
        <is>
          <t xml:space="preserve">    Invested capital (debt + equity − cash)</t>
        </is>
      </c>
      <c r="B31" s="28">
        <f>'Inputs'!$B$71+'Inputs'!$B$72+'Inputs'!$B$64+'Inputs'!$B$67-'Inputs'!$B$52-'Inputs'!$B$53</f>
        <v/>
      </c>
      <c r="C31" s="28">
        <f>'Inputs'!$C$71+'Inputs'!$C$72+'Inputs'!$C$64+'Inputs'!$C$67-'Inputs'!$C$52-'Inputs'!$C$53</f>
        <v/>
      </c>
      <c r="D31" s="28">
        <f>'Inputs'!$D$71+'Inputs'!$D$72+'Inputs'!$D$64+'Inputs'!$D$67-'Inputs'!$D$52-'Inputs'!$D$53</f>
        <v/>
      </c>
      <c r="E31" s="28">
        <f>'Inputs'!$E$71+'Inputs'!$E$72+'Inputs'!$E$64+'Inputs'!$E$67-'Inputs'!$E$52-'Inputs'!$E$53</f>
        <v/>
      </c>
      <c r="F31" s="28">
        <f>'Inputs'!$F$71+'Inputs'!$F$72+'Inputs'!$F$64+'Inputs'!$F$67-'Inputs'!$F$52-'Inputs'!$F$53</f>
        <v/>
      </c>
    </row>
    <row r="32">
      <c r="A32" s="12" t="inlineStr">
        <is>
          <t>Return on equity (ROE)</t>
        </is>
      </c>
      <c r="B32" s="38">
        <f>IF(AND(ISNUMBER('Inputs'!$B$48),ISNUMBER('Inputs'!$B$71),'Inputs'!$B$71&lt;&gt;0),'Inputs'!$B$48/'Inputs'!$B$71,"n/m")</f>
        <v/>
      </c>
      <c r="C32" s="38">
        <f>IF(AND(ISNUMBER('Inputs'!$C$48),ISNUMBER('Inputs'!$C$71),'Inputs'!$C$71&lt;&gt;0),'Inputs'!$C$48/'Inputs'!$C$71,"n/m")</f>
        <v/>
      </c>
      <c r="D32" s="38">
        <f>IF(AND(ISNUMBER('Inputs'!$D$48),ISNUMBER('Inputs'!$D$71),'Inputs'!$D$71&lt;&gt;0),'Inputs'!$D$48/'Inputs'!$D$71,"n/m")</f>
        <v/>
      </c>
      <c r="E32" s="38">
        <f>IF(AND(ISNUMBER('Inputs'!$E$48),ISNUMBER('Inputs'!$E$71),'Inputs'!$E$71&lt;&gt;0),'Inputs'!$E$48/'Inputs'!$E$71,"n/m")</f>
        <v/>
      </c>
      <c r="F32" s="38">
        <f>IF(AND(ISNUMBER('Inputs'!$F$48),ISNUMBER('Inputs'!$F$71),'Inputs'!$F$71&lt;&gt;0),'Inputs'!$F$48/'Inputs'!$F$71,"n/m")</f>
        <v/>
      </c>
      <c r="G32" s="39">
        <f>IF(NOT(ISNUMBER($F$32)),"n/a",IF($F$32&lt;0.08,"Weak",IF($F$32&lt;0.15,"Moderate","Strong")))</f>
        <v/>
      </c>
    </row>
    <row r="33">
      <c r="A33" s="12" t="inlineStr">
        <is>
          <t>Return on assets (ROA)</t>
        </is>
      </c>
      <c r="B33" s="38">
        <f>IF(AND(ISNUMBER('Inputs'!$B$48),ISNUMBER('Inputs'!$B$62),'Inputs'!$B$62&lt;&gt;0),'Inputs'!$B$48/'Inputs'!$B$62,"n/m")</f>
        <v/>
      </c>
      <c r="C33" s="38">
        <f>IF(AND(ISNUMBER('Inputs'!$C$48),ISNUMBER('Inputs'!$C$62),'Inputs'!$C$62&lt;&gt;0),'Inputs'!$C$48/'Inputs'!$C$62,"n/m")</f>
        <v/>
      </c>
      <c r="D33" s="38">
        <f>IF(AND(ISNUMBER('Inputs'!$D$48),ISNUMBER('Inputs'!$D$62),'Inputs'!$D$62&lt;&gt;0),'Inputs'!$D$48/'Inputs'!$D$62,"n/m")</f>
        <v/>
      </c>
      <c r="E33" s="38">
        <f>IF(AND(ISNUMBER('Inputs'!$E$48),ISNUMBER('Inputs'!$E$62),'Inputs'!$E$62&lt;&gt;0),'Inputs'!$E$48/'Inputs'!$E$62,"n/m")</f>
        <v/>
      </c>
      <c r="F33" s="38">
        <f>IF(AND(ISNUMBER('Inputs'!$F$48),ISNUMBER('Inputs'!$F$62),'Inputs'!$F$62&lt;&gt;0),'Inputs'!$F$48/'Inputs'!$F$62,"n/m")</f>
        <v/>
      </c>
      <c r="G33" s="39">
        <f>IF(NOT(ISNUMBER($F$33)),"n/a",IF($F$33&lt;0.03,"Weak",IF($F$33&lt;0.07,"Moderate","Strong")))</f>
        <v/>
      </c>
    </row>
    <row r="34">
      <c r="A34" s="12" t="inlineStr">
        <is>
          <t>Return on invested capital (ROIC)</t>
        </is>
      </c>
      <c r="B34" s="38">
        <f>IF(AND(ISNUMBER('Historical'!$B$30),ISNUMBER('Historical'!$B$31),'Historical'!$B$31&lt;&gt;0),'Historical'!$B$30/'Historical'!$B$31,"n/m")</f>
        <v/>
      </c>
      <c r="C34" s="38">
        <f>IF(AND(ISNUMBER('Historical'!$C$30),ISNUMBER('Historical'!$C$31),'Historical'!$C$31&lt;&gt;0),'Historical'!$C$30/'Historical'!$C$31,"n/m")</f>
        <v/>
      </c>
      <c r="D34" s="38">
        <f>IF(AND(ISNUMBER('Historical'!$D$30),ISNUMBER('Historical'!$D$31),'Historical'!$D$31&lt;&gt;0),'Historical'!$D$30/'Historical'!$D$31,"n/m")</f>
        <v/>
      </c>
      <c r="E34" s="38">
        <f>IF(AND(ISNUMBER('Historical'!$E$30),ISNUMBER('Historical'!$E$31),'Historical'!$E$31&lt;&gt;0),'Historical'!$E$30/'Historical'!$E$31,"n/m")</f>
        <v/>
      </c>
      <c r="F34" s="38">
        <f>IF(AND(ISNUMBER('Historical'!$F$30),ISNUMBER('Historical'!$F$31),'Historical'!$F$31&lt;&gt;0),'Historical'!$F$30/'Historical'!$F$31,"n/m")</f>
        <v/>
      </c>
      <c r="G34" s="39">
        <f>IF(NOT(ISNUMBER($F$34)),"n/a",IF($F$34&lt;0.08,"Weak",IF($F$34&lt;0.12,"Moderate","Strong")))</f>
        <v/>
      </c>
    </row>
    <row r="35">
      <c r="A35" s="12" t="inlineStr">
        <is>
          <t>Return on capital employed (ROCE)</t>
        </is>
      </c>
      <c r="B35" s="38">
        <f>IF(AND(ISNUMBER('Inputs'!$B$39),ISNUMBER(('Inputs'!$B$62-'Inputs'!$B$66)),('Inputs'!$B$62-'Inputs'!$B$66)&lt;&gt;0),'Inputs'!$B$39/('Inputs'!$B$62-'Inputs'!$B$66),"n/m")</f>
        <v/>
      </c>
      <c r="C35" s="38">
        <f>IF(AND(ISNUMBER('Inputs'!$C$39),ISNUMBER(('Inputs'!$C$62-'Inputs'!$C$66)),('Inputs'!$C$62-'Inputs'!$C$66)&lt;&gt;0),'Inputs'!$C$39/('Inputs'!$C$62-'Inputs'!$C$66),"n/m")</f>
        <v/>
      </c>
      <c r="D35" s="38">
        <f>IF(AND(ISNUMBER('Inputs'!$D$39),ISNUMBER(('Inputs'!$D$62-'Inputs'!$D$66)),('Inputs'!$D$62-'Inputs'!$D$66)&lt;&gt;0),'Inputs'!$D$39/('Inputs'!$D$62-'Inputs'!$D$66),"n/m")</f>
        <v/>
      </c>
      <c r="E35" s="38">
        <f>IF(AND(ISNUMBER('Inputs'!$E$39),ISNUMBER(('Inputs'!$E$62-'Inputs'!$E$66)),('Inputs'!$E$62-'Inputs'!$E$66)&lt;&gt;0),'Inputs'!$E$39/('Inputs'!$E$62-'Inputs'!$E$66),"n/m")</f>
        <v/>
      </c>
      <c r="F35" s="38">
        <f>IF(AND(ISNUMBER('Inputs'!$F$39),ISNUMBER(('Inputs'!$F$62-'Inputs'!$F$66)),('Inputs'!$F$62-'Inputs'!$F$66)&lt;&gt;0),'Inputs'!$F$39/('Inputs'!$F$62-'Inputs'!$F$66),"n/m")</f>
        <v/>
      </c>
      <c r="G35" s="39">
        <f>IF(NOT(ISNUMBER($F$35)),"n/a",IF($F$35&lt;0.08,"Weak",IF($F$35&lt;0.12,"Moderate","Strong")))</f>
        <v/>
      </c>
    </row>
    <row r="37" ht="20" customHeight="1">
      <c r="A37" s="5" t="inlineStr">
        <is>
          <t>Liquidity</t>
        </is>
      </c>
    </row>
    <row r="38" ht="20" customHeight="1">
      <c r="A38" s="24" t="inlineStr"/>
      <c r="B38" s="25" t="inlineStr">
        <is>
          <t>FY—4</t>
        </is>
      </c>
      <c r="C38" s="25" t="inlineStr">
        <is>
          <t>FY—3</t>
        </is>
      </c>
      <c r="D38" s="25" t="inlineStr">
        <is>
          <t>FY—2</t>
        </is>
      </c>
      <c r="E38" s="25" t="inlineStr">
        <is>
          <t>FY—1</t>
        </is>
      </c>
      <c r="F38" s="25" t="inlineStr">
        <is>
          <t>FY—0</t>
        </is>
      </c>
      <c r="G38" s="24" t="inlineStr">
        <is>
          <t>Latest read</t>
        </is>
      </c>
    </row>
    <row r="39">
      <c r="A39" s="12" t="inlineStr">
        <is>
          <t>Current ratio</t>
        </is>
      </c>
      <c r="B39" s="41">
        <f>IF(AND(ISNUMBER('Inputs'!$B$57),ISNUMBER('Inputs'!$B$66),'Inputs'!$B$66&lt;&gt;0),'Inputs'!$B$57/'Inputs'!$B$66,"n/m")</f>
        <v/>
      </c>
      <c r="C39" s="41">
        <f>IF(AND(ISNUMBER('Inputs'!$C$57),ISNUMBER('Inputs'!$C$66),'Inputs'!$C$66&lt;&gt;0),'Inputs'!$C$57/'Inputs'!$C$66,"n/m")</f>
        <v/>
      </c>
      <c r="D39" s="41">
        <f>IF(AND(ISNUMBER('Inputs'!$D$57),ISNUMBER('Inputs'!$D$66),'Inputs'!$D$66&lt;&gt;0),'Inputs'!$D$57/'Inputs'!$D$66,"n/m")</f>
        <v/>
      </c>
      <c r="E39" s="41">
        <f>IF(AND(ISNUMBER('Inputs'!$E$57),ISNUMBER('Inputs'!$E$66),'Inputs'!$E$66&lt;&gt;0),'Inputs'!$E$57/'Inputs'!$E$66,"n/m")</f>
        <v/>
      </c>
      <c r="F39" s="41">
        <f>IF(AND(ISNUMBER('Inputs'!$F$57),ISNUMBER('Inputs'!$F$66),'Inputs'!$F$66&lt;&gt;0),'Inputs'!$F$57/'Inputs'!$F$66,"n/m")</f>
        <v/>
      </c>
      <c r="G39" s="39">
        <f>IF(NOT(ISNUMBER($F$39)),"n/a",IF($F$39&lt;1.0,"Weak",IF($F$39&lt;2.0,"Adequate","Strong")))</f>
        <v/>
      </c>
    </row>
    <row r="40">
      <c r="A40" s="12" t="inlineStr">
        <is>
          <t>Quick ratio (ex-inventory)</t>
        </is>
      </c>
      <c r="B40" s="41">
        <f>IF(AND(ISNUMBER(('Inputs'!$B$57-'Inputs'!$B$55)),ISNUMBER('Inputs'!$B$66),'Inputs'!$B$66&lt;&gt;0),('Inputs'!$B$57-'Inputs'!$B$55)/'Inputs'!$B$66,"n/m")</f>
        <v/>
      </c>
      <c r="C40" s="41">
        <f>IF(AND(ISNUMBER(('Inputs'!$C$57-'Inputs'!$C$55)),ISNUMBER('Inputs'!$C$66),'Inputs'!$C$66&lt;&gt;0),('Inputs'!$C$57-'Inputs'!$C$55)/'Inputs'!$C$66,"n/m")</f>
        <v/>
      </c>
      <c r="D40" s="41">
        <f>IF(AND(ISNUMBER(('Inputs'!$D$57-'Inputs'!$D$55)),ISNUMBER('Inputs'!$D$66),'Inputs'!$D$66&lt;&gt;0),('Inputs'!$D$57-'Inputs'!$D$55)/'Inputs'!$D$66,"n/m")</f>
        <v/>
      </c>
      <c r="E40" s="41">
        <f>IF(AND(ISNUMBER(('Inputs'!$E$57-'Inputs'!$E$55)),ISNUMBER('Inputs'!$E$66),'Inputs'!$E$66&lt;&gt;0),('Inputs'!$E$57-'Inputs'!$E$55)/'Inputs'!$E$66,"n/m")</f>
        <v/>
      </c>
      <c r="F40" s="41">
        <f>IF(AND(ISNUMBER(('Inputs'!$F$57-'Inputs'!$F$55)),ISNUMBER('Inputs'!$F$66),'Inputs'!$F$66&lt;&gt;0),('Inputs'!$F$57-'Inputs'!$F$55)/'Inputs'!$F$66,"n/m")</f>
        <v/>
      </c>
      <c r="G40" s="39">
        <f>IF(NOT(ISNUMBER($F$40)),"n/a",IF($F$40&lt;0.8,"Weak",IF($F$40&lt;1.2,"Adequate","Strong")))</f>
        <v/>
      </c>
    </row>
    <row r="41">
      <c r="A41" s="12" t="inlineStr">
        <is>
          <t>Cash ratio</t>
        </is>
      </c>
      <c r="B41" s="41">
        <f>IF(AND(ISNUMBER(('Inputs'!$B$52+'Inputs'!$B$53)),ISNUMBER('Inputs'!$B$66),'Inputs'!$B$66&lt;&gt;0),('Inputs'!$B$52+'Inputs'!$B$53)/'Inputs'!$B$66,"n/m")</f>
        <v/>
      </c>
      <c r="C41" s="41">
        <f>IF(AND(ISNUMBER(('Inputs'!$C$52+'Inputs'!$C$53)),ISNUMBER('Inputs'!$C$66),'Inputs'!$C$66&lt;&gt;0),('Inputs'!$C$52+'Inputs'!$C$53)/'Inputs'!$C$66,"n/m")</f>
        <v/>
      </c>
      <c r="D41" s="41">
        <f>IF(AND(ISNUMBER(('Inputs'!$D$52+'Inputs'!$D$53)),ISNUMBER('Inputs'!$D$66),'Inputs'!$D$66&lt;&gt;0),('Inputs'!$D$52+'Inputs'!$D$53)/'Inputs'!$D$66,"n/m")</f>
        <v/>
      </c>
      <c r="E41" s="41">
        <f>IF(AND(ISNUMBER(('Inputs'!$E$52+'Inputs'!$E$53)),ISNUMBER('Inputs'!$E$66),'Inputs'!$E$66&lt;&gt;0),('Inputs'!$E$52+'Inputs'!$E$53)/'Inputs'!$E$66,"n/m")</f>
        <v/>
      </c>
      <c r="F41" s="41">
        <f>IF(AND(ISNUMBER(('Inputs'!$F$52+'Inputs'!$F$53)),ISNUMBER('Inputs'!$F$66),'Inputs'!$F$66&lt;&gt;0),('Inputs'!$F$52+'Inputs'!$F$53)/'Inputs'!$F$66,"n/m")</f>
        <v/>
      </c>
      <c r="G41" s="39">
        <f>IF(NOT(ISNUMBER($F$41)),"n/a",IF($F$41&lt;0.2,"Weak",IF($F$41&lt;0.5,"Adequate","Strong")))</f>
        <v/>
      </c>
    </row>
    <row r="43" ht="20" customHeight="1">
      <c r="A43" s="5" t="inlineStr">
        <is>
          <t>Leverage &amp; Solvency</t>
        </is>
      </c>
    </row>
    <row r="44" ht="20" customHeight="1">
      <c r="A44" s="24" t="inlineStr"/>
      <c r="B44" s="25" t="inlineStr">
        <is>
          <t>FY—4</t>
        </is>
      </c>
      <c r="C44" s="25" t="inlineStr">
        <is>
          <t>FY—3</t>
        </is>
      </c>
      <c r="D44" s="25" t="inlineStr">
        <is>
          <t>FY—2</t>
        </is>
      </c>
      <c r="E44" s="25" t="inlineStr">
        <is>
          <t>FY—1</t>
        </is>
      </c>
      <c r="F44" s="25" t="inlineStr">
        <is>
          <t>FY—0</t>
        </is>
      </c>
      <c r="G44" s="24" t="inlineStr">
        <is>
          <t>Latest read</t>
        </is>
      </c>
    </row>
    <row r="45">
      <c r="A45" s="40" t="inlineStr">
        <is>
          <t xml:space="preserve">    Total debt</t>
        </is>
      </c>
      <c r="B45" s="28">
        <f>'Inputs'!$B$64+'Inputs'!$B$67</f>
        <v/>
      </c>
      <c r="C45" s="28">
        <f>'Inputs'!$C$64+'Inputs'!$C$67</f>
        <v/>
      </c>
      <c r="D45" s="28">
        <f>'Inputs'!$D$64+'Inputs'!$D$67</f>
        <v/>
      </c>
      <c r="E45" s="28">
        <f>'Inputs'!$E$64+'Inputs'!$E$67</f>
        <v/>
      </c>
      <c r="F45" s="28">
        <f>'Inputs'!$F$64+'Inputs'!$F$67</f>
        <v/>
      </c>
    </row>
    <row r="46">
      <c r="A46" s="3" t="inlineStr">
        <is>
          <t xml:space="preserve">    Net debt (debt − cash &amp; investments)</t>
        </is>
      </c>
      <c r="B46" s="28">
        <f>'Historical'!$B$45-'Inputs'!$B$52-'Inputs'!$B$53</f>
        <v/>
      </c>
      <c r="C46" s="28">
        <f>'Historical'!$C$45-'Inputs'!$C$52-'Inputs'!$C$53</f>
        <v/>
      </c>
      <c r="D46" s="28">
        <f>'Historical'!$D$45-'Inputs'!$D$52-'Inputs'!$D$53</f>
        <v/>
      </c>
      <c r="E46" s="28">
        <f>'Historical'!$E$45-'Inputs'!$E$52-'Inputs'!$E$53</f>
        <v/>
      </c>
      <c r="F46" s="28">
        <f>'Historical'!$F$45-'Inputs'!$F$52-'Inputs'!$F$53</f>
        <v/>
      </c>
    </row>
    <row r="47">
      <c r="A47" s="12" t="inlineStr">
        <is>
          <t>Debt / equity</t>
        </is>
      </c>
      <c r="B47" s="41">
        <f>IF(AND(ISNUMBER('Historical'!$B$45),ISNUMBER('Inputs'!$B$71),'Inputs'!$B$71&lt;&gt;0),'Historical'!$B$45/'Inputs'!$B$71,"n/m")</f>
        <v/>
      </c>
      <c r="C47" s="41">
        <f>IF(AND(ISNUMBER('Historical'!$C$45),ISNUMBER('Inputs'!$C$71),'Inputs'!$C$71&lt;&gt;0),'Historical'!$C$45/'Inputs'!$C$71,"n/m")</f>
        <v/>
      </c>
      <c r="D47" s="41">
        <f>IF(AND(ISNUMBER('Historical'!$D$45),ISNUMBER('Inputs'!$D$71),'Inputs'!$D$71&lt;&gt;0),'Historical'!$D$45/'Inputs'!$D$71,"n/m")</f>
        <v/>
      </c>
      <c r="E47" s="41">
        <f>IF(AND(ISNUMBER('Historical'!$E$45),ISNUMBER('Inputs'!$E$71),'Inputs'!$E$71&lt;&gt;0),'Historical'!$E$45/'Inputs'!$E$71,"n/m")</f>
        <v/>
      </c>
      <c r="F47" s="41">
        <f>IF(AND(ISNUMBER('Historical'!$F$45),ISNUMBER('Inputs'!$F$71),'Inputs'!$F$71&lt;&gt;0),'Historical'!$F$45/'Inputs'!$F$71,"n/m")</f>
        <v/>
      </c>
      <c r="G47" s="39">
        <f>IF(NOT(ISNUMBER($F$47)),"n/a",IF($F$47&lt;0.5,"Conservative",IF($F$47&lt;1.0,"Moderate",IF($F$47&lt;2.0,"Elevated","Stretched"))))</f>
        <v/>
      </c>
    </row>
    <row r="48">
      <c r="A48" s="12" t="inlineStr">
        <is>
          <t>Net debt / EBITDA</t>
        </is>
      </c>
      <c r="B48" s="42">
        <f>IF(AND(ISNUMBER('Historical'!$B$46),ISNUMBER('Inputs'!$B$41),'Inputs'!$B$41&lt;&gt;0),'Historical'!$B$46/'Inputs'!$B$41,"n/m")</f>
        <v/>
      </c>
      <c r="C48" s="42">
        <f>IF(AND(ISNUMBER('Historical'!$C$46),ISNUMBER('Inputs'!$C$41),'Inputs'!$C$41&lt;&gt;0),'Historical'!$C$46/'Inputs'!$C$41,"n/m")</f>
        <v/>
      </c>
      <c r="D48" s="42">
        <f>IF(AND(ISNUMBER('Historical'!$D$46),ISNUMBER('Inputs'!$D$41),'Inputs'!$D$41&lt;&gt;0),'Historical'!$D$46/'Inputs'!$D$41,"n/m")</f>
        <v/>
      </c>
      <c r="E48" s="42">
        <f>IF(AND(ISNUMBER('Historical'!$E$46),ISNUMBER('Inputs'!$E$41),'Inputs'!$E$41&lt;&gt;0),'Historical'!$E$46/'Inputs'!$E$41,"n/m")</f>
        <v/>
      </c>
      <c r="F48" s="42">
        <f>IF(AND(ISNUMBER('Historical'!$F$46),ISNUMBER('Inputs'!$F$41),'Inputs'!$F$41&lt;&gt;0),'Historical'!$F$46/'Inputs'!$F$41,"n/m")</f>
        <v/>
      </c>
      <c r="G48" s="39">
        <f>IF(NOT(ISNUMBER($F$48)),"n/a",IF($F$48&lt;1.0,"Conservative",IF($F$48&lt;2.5,"Moderate",IF($F$48&lt;4.0,"Elevated","Stretched"))))</f>
        <v/>
      </c>
    </row>
    <row r="49">
      <c r="A49" s="12" t="inlineStr">
        <is>
          <t>Interest coverage (EBIT / interest)</t>
        </is>
      </c>
      <c r="B49" s="42">
        <f>IF(AND(ISNUMBER('Inputs'!$B$39),ISNUMBER('Inputs'!$B$42),'Inputs'!$B$42&lt;&gt;0),'Inputs'!$B$39/'Inputs'!$B$42,"n/m")</f>
        <v/>
      </c>
      <c r="C49" s="42">
        <f>IF(AND(ISNUMBER('Inputs'!$C$39),ISNUMBER('Inputs'!$C$42),'Inputs'!$C$42&lt;&gt;0),'Inputs'!$C$39/'Inputs'!$C$42,"n/m")</f>
        <v/>
      </c>
      <c r="D49" s="42">
        <f>IF(AND(ISNUMBER('Inputs'!$D$39),ISNUMBER('Inputs'!$D$42),'Inputs'!$D$42&lt;&gt;0),'Inputs'!$D$39/'Inputs'!$D$42,"n/m")</f>
        <v/>
      </c>
      <c r="E49" s="42">
        <f>IF(AND(ISNUMBER('Inputs'!$E$39),ISNUMBER('Inputs'!$E$42),'Inputs'!$E$42&lt;&gt;0),'Inputs'!$E$39/'Inputs'!$E$42,"n/m")</f>
        <v/>
      </c>
      <c r="F49" s="42">
        <f>IF(AND(ISNUMBER('Inputs'!$F$39),ISNUMBER('Inputs'!$F$42),'Inputs'!$F$42&lt;&gt;0),'Inputs'!$F$39/'Inputs'!$F$42,"n/m")</f>
        <v/>
      </c>
      <c r="G49" s="39">
        <f>IF(NOT(ISNUMBER($F$49)),"n/a",IF($F$49&lt;2.0,"Weak",IF($F$49&lt;4.0,"Moderate","Strong")))</f>
        <v/>
      </c>
    </row>
    <row r="50">
      <c r="A50" s="12" t="inlineStr">
        <is>
          <t>EBITDA / interest</t>
        </is>
      </c>
      <c r="B50" s="42">
        <f>IF(AND(ISNUMBER('Inputs'!$B$41),ISNUMBER('Inputs'!$B$42),'Inputs'!$B$42&lt;&gt;0),'Inputs'!$B$41/'Inputs'!$B$42,"n/m")</f>
        <v/>
      </c>
      <c r="C50" s="42">
        <f>IF(AND(ISNUMBER('Inputs'!$C$41),ISNUMBER('Inputs'!$C$42),'Inputs'!$C$42&lt;&gt;0),'Inputs'!$C$41/'Inputs'!$C$42,"n/m")</f>
        <v/>
      </c>
      <c r="D50" s="42">
        <f>IF(AND(ISNUMBER('Inputs'!$D$41),ISNUMBER('Inputs'!$D$42),'Inputs'!$D$42&lt;&gt;0),'Inputs'!$D$41/'Inputs'!$D$42,"n/m")</f>
        <v/>
      </c>
      <c r="E50" s="42">
        <f>IF(AND(ISNUMBER('Inputs'!$E$41),ISNUMBER('Inputs'!$E$42),'Inputs'!$E$42&lt;&gt;0),'Inputs'!$E$41/'Inputs'!$E$42,"n/m")</f>
        <v/>
      </c>
      <c r="F50" s="42">
        <f>IF(AND(ISNUMBER('Inputs'!$F$41),ISNUMBER('Inputs'!$F$42),'Inputs'!$F$42&lt;&gt;0),'Inputs'!$F$41/'Inputs'!$F$42,"n/m")</f>
        <v/>
      </c>
      <c r="G50" s="39">
        <f>IF(NOT(ISNUMBER($F$50)),"n/a",IF($F$50&lt;3.0,"Weak",IF($F$50&lt;6.0,"Moderate","Strong")))</f>
        <v/>
      </c>
    </row>
    <row r="52" ht="20" customHeight="1">
      <c r="A52" s="5" t="inlineStr">
        <is>
          <t>Capital Efficiency &amp; Working Capital</t>
        </is>
      </c>
    </row>
    <row r="53" ht="20" customHeight="1">
      <c r="A53" s="24" t="inlineStr"/>
      <c r="B53" s="25" t="inlineStr">
        <is>
          <t>FY—4</t>
        </is>
      </c>
      <c r="C53" s="25" t="inlineStr">
        <is>
          <t>FY—3</t>
        </is>
      </c>
      <c r="D53" s="25" t="inlineStr">
        <is>
          <t>FY—2</t>
        </is>
      </c>
      <c r="E53" s="25" t="inlineStr">
        <is>
          <t>FY—1</t>
        </is>
      </c>
      <c r="F53" s="25" t="inlineStr">
        <is>
          <t>FY—0</t>
        </is>
      </c>
      <c r="G53" s="24" t="inlineStr">
        <is>
          <t>Latest read</t>
        </is>
      </c>
    </row>
    <row r="54">
      <c r="A54" s="12" t="inlineStr">
        <is>
          <t>Days sales outstanding (DSO)</t>
        </is>
      </c>
      <c r="B54" s="43">
        <f>IF(AND(ISNUMBER('Inputs'!$B$54),ISNUMBER('Inputs'!$B$33)),'Inputs'!$B$54/'Inputs'!$B$33*365,"n/m")</f>
        <v/>
      </c>
      <c r="C54" s="43">
        <f>IF(AND(ISNUMBER('Inputs'!$C$54),ISNUMBER('Inputs'!$C$33)),'Inputs'!$C$54/'Inputs'!$C$33*365,"n/m")</f>
        <v/>
      </c>
      <c r="D54" s="43">
        <f>IF(AND(ISNUMBER('Inputs'!$D$54),ISNUMBER('Inputs'!$D$33)),'Inputs'!$D$54/'Inputs'!$D$33*365,"n/m")</f>
        <v/>
      </c>
      <c r="E54" s="43">
        <f>IF(AND(ISNUMBER('Inputs'!$E$54),ISNUMBER('Inputs'!$E$33)),'Inputs'!$E$54/'Inputs'!$E$33*365,"n/m")</f>
        <v/>
      </c>
      <c r="F54" s="43">
        <f>IF(AND(ISNUMBER('Inputs'!$F$54),ISNUMBER('Inputs'!$F$33)),'Inputs'!$F$54/'Inputs'!$F$33*365,"n/m")</f>
        <v/>
      </c>
    </row>
    <row r="55">
      <c r="A55" s="12" t="inlineStr">
        <is>
          <t>Days inventory outstanding (DIO)</t>
        </is>
      </c>
      <c r="B55" s="43">
        <f>IF(AND(ISNUMBER('Inputs'!$B$55),ISNUMBER('Inputs'!$B$34)),'Inputs'!$B$55/'Inputs'!$B$34*365,"n/m")</f>
        <v/>
      </c>
      <c r="C55" s="43">
        <f>IF(AND(ISNUMBER('Inputs'!$C$55),ISNUMBER('Inputs'!$C$34)),'Inputs'!$C$55/'Inputs'!$C$34*365,"n/m")</f>
        <v/>
      </c>
      <c r="D55" s="43">
        <f>IF(AND(ISNUMBER('Inputs'!$D$55),ISNUMBER('Inputs'!$D$34)),'Inputs'!$D$55/'Inputs'!$D$34*365,"n/m")</f>
        <v/>
      </c>
      <c r="E55" s="43">
        <f>IF(AND(ISNUMBER('Inputs'!$E$55),ISNUMBER('Inputs'!$E$34)),'Inputs'!$E$55/'Inputs'!$E$34*365,"n/m")</f>
        <v/>
      </c>
      <c r="F55" s="43">
        <f>IF(AND(ISNUMBER('Inputs'!$F$55),ISNUMBER('Inputs'!$F$34)),'Inputs'!$F$55/'Inputs'!$F$34*365,"n/m")</f>
        <v/>
      </c>
    </row>
    <row r="56">
      <c r="A56" s="12" t="inlineStr">
        <is>
          <t>Days payable outstanding (DPO)</t>
        </is>
      </c>
      <c r="B56" s="43">
        <f>IF(AND(ISNUMBER('Inputs'!$B$63),ISNUMBER('Inputs'!$B$34)),'Inputs'!$B$63/'Inputs'!$B$34*365,"n/m")</f>
        <v/>
      </c>
      <c r="C56" s="43">
        <f>IF(AND(ISNUMBER('Inputs'!$C$63),ISNUMBER('Inputs'!$C$34)),'Inputs'!$C$63/'Inputs'!$C$34*365,"n/m")</f>
        <v/>
      </c>
      <c r="D56" s="43">
        <f>IF(AND(ISNUMBER('Inputs'!$D$63),ISNUMBER('Inputs'!$D$34)),'Inputs'!$D$63/'Inputs'!$D$34*365,"n/m")</f>
        <v/>
      </c>
      <c r="E56" s="43">
        <f>IF(AND(ISNUMBER('Inputs'!$E$63),ISNUMBER('Inputs'!$E$34)),'Inputs'!$E$63/'Inputs'!$E$34*365,"n/m")</f>
        <v/>
      </c>
      <c r="F56" s="43">
        <f>IF(AND(ISNUMBER('Inputs'!$F$63),ISNUMBER('Inputs'!$F$34)),'Inputs'!$F$63/'Inputs'!$F$34*365,"n/m")</f>
        <v/>
      </c>
    </row>
    <row r="57">
      <c r="A57" s="12" t="inlineStr">
        <is>
          <t>Cash conversion cycle (DSO+DIO−DPO)</t>
        </is>
      </c>
      <c r="B57" s="43">
        <f>IF(AND(ISNUMBER('Historical'!$B$54),ISNUMBER('Historical'!$B$55),ISNUMBER('Historical'!$B$56)),'Historical'!$B$54+'Historical'!$B$55-'Historical'!$B$56,"n/m")</f>
        <v/>
      </c>
      <c r="C57" s="43">
        <f>IF(AND(ISNUMBER('Historical'!$C$54),ISNUMBER('Historical'!$C$55),ISNUMBER('Historical'!$C$56)),'Historical'!$C$54+'Historical'!$C$55-'Historical'!$C$56,"n/m")</f>
        <v/>
      </c>
      <c r="D57" s="43">
        <f>IF(AND(ISNUMBER('Historical'!$D$54),ISNUMBER('Historical'!$D$55),ISNUMBER('Historical'!$D$56)),'Historical'!$D$54+'Historical'!$D$55-'Historical'!$D$56,"n/m")</f>
        <v/>
      </c>
      <c r="E57" s="43">
        <f>IF(AND(ISNUMBER('Historical'!$E$54),ISNUMBER('Historical'!$E$55),ISNUMBER('Historical'!$E$56)),'Historical'!$E$54+'Historical'!$E$55-'Historical'!$E$56,"n/m")</f>
        <v/>
      </c>
      <c r="F57" s="43">
        <f>IF(AND(ISNUMBER('Historical'!$F$54),ISNUMBER('Historical'!$F$55),ISNUMBER('Historical'!$F$56)),'Historical'!$F$54+'Historical'!$F$55-'Historical'!$F$56,"n/m")</f>
        <v/>
      </c>
      <c r="G57" s="39">
        <f>IF(NOT(AND(ISNUMBER($F$57),ISNUMBER(AVERAGE($B$57:$E$57)))),"n/a",IF($F$57&gt;AVERAGE($B$57:$E$57)*(1+0.05),"Deteriorating",IF($F$57&lt;AVERAGE($B$57:$E$57)*(1-0.05),"Improving","Stable")))</f>
        <v/>
      </c>
    </row>
    <row r="58">
      <c r="A58" s="12" t="inlineStr">
        <is>
          <t>Asset turnover (rev / assets)</t>
        </is>
      </c>
      <c r="B58" s="41">
        <f>IF(AND(ISNUMBER('Inputs'!$B$33),ISNUMBER('Inputs'!$B$62),'Inputs'!$B$62&lt;&gt;0),'Inputs'!$B$33/'Inputs'!$B$62,"n/m")</f>
        <v/>
      </c>
      <c r="C58" s="41">
        <f>IF(AND(ISNUMBER('Inputs'!$C$33),ISNUMBER('Inputs'!$C$62),'Inputs'!$C$62&lt;&gt;0),'Inputs'!$C$33/'Inputs'!$C$62,"n/m")</f>
        <v/>
      </c>
      <c r="D58" s="41">
        <f>IF(AND(ISNUMBER('Inputs'!$D$33),ISNUMBER('Inputs'!$D$62),'Inputs'!$D$62&lt;&gt;0),'Inputs'!$D$33/'Inputs'!$D$62,"n/m")</f>
        <v/>
      </c>
      <c r="E58" s="41">
        <f>IF(AND(ISNUMBER('Inputs'!$E$33),ISNUMBER('Inputs'!$E$62),'Inputs'!$E$62&lt;&gt;0),'Inputs'!$E$33/'Inputs'!$E$62,"n/m")</f>
        <v/>
      </c>
      <c r="F58" s="41">
        <f>IF(AND(ISNUMBER('Inputs'!$F$33),ISNUMBER('Inputs'!$F$62),'Inputs'!$F$62&lt;&gt;0),'Inputs'!$F$33/'Inputs'!$F$62,"n/m")</f>
        <v/>
      </c>
      <c r="G58" s="39">
        <f>IF(NOT(AND(ISNUMBER($F$58),ISNUMBER(AVERAGE($B$58:$E$58)))),"n/a",IF($F$58&gt;AVERAGE($B$58:$E$58)*(1+0.05),"Improving",IF($F$58&lt;AVERAGE($B$58:$E$58)*(1-0.05),"Deteriorating","Stable")))</f>
        <v/>
      </c>
    </row>
    <row r="59">
      <c r="A59" s="12" t="inlineStr">
        <is>
          <t>Inventory turnover (COGS / inv)</t>
        </is>
      </c>
      <c r="B59" s="42">
        <f>IF(AND(ISNUMBER('Inputs'!$B$34),ISNUMBER('Inputs'!$B$55),'Inputs'!$B$55&lt;&gt;0),'Inputs'!$B$34/'Inputs'!$B$55,"n/m")</f>
        <v/>
      </c>
      <c r="C59" s="42">
        <f>IF(AND(ISNUMBER('Inputs'!$C$34),ISNUMBER('Inputs'!$C$55),'Inputs'!$C$55&lt;&gt;0),'Inputs'!$C$34/'Inputs'!$C$55,"n/m")</f>
        <v/>
      </c>
      <c r="D59" s="42">
        <f>IF(AND(ISNUMBER('Inputs'!$D$34),ISNUMBER('Inputs'!$D$55),'Inputs'!$D$55&lt;&gt;0),'Inputs'!$D$34/'Inputs'!$D$55,"n/m")</f>
        <v/>
      </c>
      <c r="E59" s="42">
        <f>IF(AND(ISNUMBER('Inputs'!$E$34),ISNUMBER('Inputs'!$E$55),'Inputs'!$E$55&lt;&gt;0),'Inputs'!$E$34/'Inputs'!$E$55,"n/m")</f>
        <v/>
      </c>
      <c r="F59" s="42">
        <f>IF(AND(ISNUMBER('Inputs'!$F$34),ISNUMBER('Inputs'!$F$55),'Inputs'!$F$55&lt;&gt;0),'Inputs'!$F$34/'Inputs'!$F$55,"n/m")</f>
        <v/>
      </c>
      <c r="G59" s="39">
        <f>IF(NOT(AND(ISNUMBER($F$59),ISNUMBER(AVERAGE($B$59:$E$59)))),"n/a",IF($F$59&gt;AVERAGE($B$59:$E$59)*(1+0.05),"Improving",IF($F$59&lt;AVERAGE($B$59:$E$59)*(1-0.05),"Deteriorating","Stable")))</f>
        <v/>
      </c>
    </row>
    <row r="60">
      <c r="A60" s="12" t="inlineStr">
        <is>
          <t>Receivables turnover</t>
        </is>
      </c>
      <c r="B60" s="42">
        <f>IF(AND(ISNUMBER('Inputs'!$B$33),ISNUMBER('Inputs'!$B$54),'Inputs'!$B$54&lt;&gt;0),'Inputs'!$B$33/'Inputs'!$B$54,"n/m")</f>
        <v/>
      </c>
      <c r="C60" s="42">
        <f>IF(AND(ISNUMBER('Inputs'!$C$33),ISNUMBER('Inputs'!$C$54),'Inputs'!$C$54&lt;&gt;0),'Inputs'!$C$33/'Inputs'!$C$54,"n/m")</f>
        <v/>
      </c>
      <c r="D60" s="42">
        <f>IF(AND(ISNUMBER('Inputs'!$D$33),ISNUMBER('Inputs'!$D$54),'Inputs'!$D$54&lt;&gt;0),'Inputs'!$D$33/'Inputs'!$D$54,"n/m")</f>
        <v/>
      </c>
      <c r="E60" s="42">
        <f>IF(AND(ISNUMBER('Inputs'!$E$33),ISNUMBER('Inputs'!$E$54),'Inputs'!$E$54&lt;&gt;0),'Inputs'!$E$33/'Inputs'!$E$54,"n/m")</f>
        <v/>
      </c>
      <c r="F60" s="42">
        <f>IF(AND(ISNUMBER('Inputs'!$F$33),ISNUMBER('Inputs'!$F$54),'Inputs'!$F$54&lt;&gt;0),'Inputs'!$F$33/'Inputs'!$F$54,"n/m")</f>
        <v/>
      </c>
      <c r="G60" s="39">
        <f>IF(NOT(AND(ISNUMBER($F$60),ISNUMBER(AVERAGE($B$60:$E$60)))),"n/a",IF($F$60&gt;AVERAGE($B$60:$E$60)*(1+0.05),"Improving",IF($F$60&lt;AVERAGE($B$60:$E$60)*(1-0.05),"Deteriorating","Stable")))</f>
        <v/>
      </c>
    </row>
    <row r="61">
      <c r="A61" s="12" t="inlineStr">
        <is>
          <t>Payables turnover</t>
        </is>
      </c>
      <c r="B61" s="42">
        <f>IF(AND(ISNUMBER('Inputs'!$B$34),ISNUMBER('Inputs'!$B$63),'Inputs'!$B$63&lt;&gt;0),'Inputs'!$B$34/'Inputs'!$B$63,"n/m")</f>
        <v/>
      </c>
      <c r="C61" s="42">
        <f>IF(AND(ISNUMBER('Inputs'!$C$34),ISNUMBER('Inputs'!$C$63),'Inputs'!$C$63&lt;&gt;0),'Inputs'!$C$34/'Inputs'!$C$63,"n/m")</f>
        <v/>
      </c>
      <c r="D61" s="42">
        <f>IF(AND(ISNUMBER('Inputs'!$D$34),ISNUMBER('Inputs'!$D$63),'Inputs'!$D$63&lt;&gt;0),'Inputs'!$D$34/'Inputs'!$D$63,"n/m")</f>
        <v/>
      </c>
      <c r="E61" s="42">
        <f>IF(AND(ISNUMBER('Inputs'!$E$34),ISNUMBER('Inputs'!$E$63),'Inputs'!$E$63&lt;&gt;0),'Inputs'!$E$34/'Inputs'!$E$63,"n/m")</f>
        <v/>
      </c>
      <c r="F61" s="42">
        <f>IF(AND(ISNUMBER('Inputs'!$F$34),ISNUMBER('Inputs'!$F$63),'Inputs'!$F$63&lt;&gt;0),'Inputs'!$F$34/'Inputs'!$F$63,"n/m")</f>
        <v/>
      </c>
    </row>
    <row r="63" ht="20" customHeight="1">
      <c r="A63" s="5" t="inlineStr">
        <is>
          <t>Cash-Flow Quality</t>
        </is>
      </c>
    </row>
    <row r="64" ht="20" customHeight="1">
      <c r="A64" s="24" t="inlineStr"/>
      <c r="B64" s="25" t="inlineStr">
        <is>
          <t>FY—4</t>
        </is>
      </c>
      <c r="C64" s="25" t="inlineStr">
        <is>
          <t>FY—3</t>
        </is>
      </c>
      <c r="D64" s="25" t="inlineStr">
        <is>
          <t>FY—2</t>
        </is>
      </c>
      <c r="E64" s="25" t="inlineStr">
        <is>
          <t>FY—1</t>
        </is>
      </c>
      <c r="F64" s="25" t="inlineStr">
        <is>
          <t>FY—0</t>
        </is>
      </c>
      <c r="G64" s="24" t="inlineStr">
        <is>
          <t>Latest read</t>
        </is>
      </c>
    </row>
    <row r="65">
      <c r="A65" s="12" t="inlineStr">
        <is>
          <t>CFO margin</t>
        </is>
      </c>
      <c r="B65" s="38">
        <f>IF(AND(ISNUMBER('Inputs'!$B$81),ISNUMBER('Inputs'!$B$33),'Inputs'!$B$33&lt;&gt;0),'Inputs'!$B$81/'Inputs'!$B$33,"n/m")</f>
        <v/>
      </c>
      <c r="C65" s="38">
        <f>IF(AND(ISNUMBER('Inputs'!$C$81),ISNUMBER('Inputs'!$C$33),'Inputs'!$C$33&lt;&gt;0),'Inputs'!$C$81/'Inputs'!$C$33,"n/m")</f>
        <v/>
      </c>
      <c r="D65" s="38">
        <f>IF(AND(ISNUMBER('Inputs'!$D$81),ISNUMBER('Inputs'!$D$33),'Inputs'!$D$33&lt;&gt;0),'Inputs'!$D$81/'Inputs'!$D$33,"n/m")</f>
        <v/>
      </c>
      <c r="E65" s="38">
        <f>IF(AND(ISNUMBER('Inputs'!$E$81),ISNUMBER('Inputs'!$E$33),'Inputs'!$E$33&lt;&gt;0),'Inputs'!$E$81/'Inputs'!$E$33,"n/m")</f>
        <v/>
      </c>
      <c r="F65" s="38">
        <f>IF(AND(ISNUMBER('Inputs'!$F$81),ISNUMBER('Inputs'!$F$33),'Inputs'!$F$33&lt;&gt;0),'Inputs'!$F$81/'Inputs'!$F$33,"n/m")</f>
        <v/>
      </c>
      <c r="G65" s="39">
        <f>IF(NOT(AND(ISNUMBER($F$65),ISNUMBER(AVERAGE($B$65:$E$65)))),"n/a",IF($F$65&gt;AVERAGE($B$65:$E$65)*(1+0.05),"Improving",IF($F$65&lt;AVERAGE($B$65:$E$65)*(1-0.05),"Deteriorating","Stable")))</f>
        <v/>
      </c>
    </row>
    <row r="66">
      <c r="A66" s="12" t="inlineStr">
        <is>
          <t>Free cash flow (CFO − capex)</t>
        </is>
      </c>
      <c r="B66" s="28">
        <f>'Inputs'!$B$81-'Inputs'!$B$82</f>
        <v/>
      </c>
      <c r="C66" s="28">
        <f>'Inputs'!$C$81-'Inputs'!$C$82</f>
        <v/>
      </c>
      <c r="D66" s="28">
        <f>'Inputs'!$D$81-'Inputs'!$D$82</f>
        <v/>
      </c>
      <c r="E66" s="28">
        <f>'Inputs'!$E$81-'Inputs'!$E$82</f>
        <v/>
      </c>
      <c r="F66" s="28">
        <f>'Inputs'!$F$81-'Inputs'!$F$82</f>
        <v/>
      </c>
    </row>
    <row r="67">
      <c r="A67" s="12" t="inlineStr">
        <is>
          <t>FCF margin</t>
        </is>
      </c>
      <c r="B67" s="38">
        <f>IF(AND(ISNUMBER('Historical'!$B$66),ISNUMBER('Inputs'!$B$33),'Inputs'!$B$33&lt;&gt;0),'Historical'!$B$66/'Inputs'!$B$33,"n/m")</f>
        <v/>
      </c>
      <c r="C67" s="38">
        <f>IF(AND(ISNUMBER('Historical'!$C$66),ISNUMBER('Inputs'!$C$33),'Inputs'!$C$33&lt;&gt;0),'Historical'!$C$66/'Inputs'!$C$33,"n/m")</f>
        <v/>
      </c>
      <c r="D67" s="38">
        <f>IF(AND(ISNUMBER('Historical'!$D$66),ISNUMBER('Inputs'!$D$33),'Inputs'!$D$33&lt;&gt;0),'Historical'!$D$66/'Inputs'!$D$33,"n/m")</f>
        <v/>
      </c>
      <c r="E67" s="38">
        <f>IF(AND(ISNUMBER('Historical'!$E$66),ISNUMBER('Inputs'!$E$33),'Inputs'!$E$33&lt;&gt;0),'Historical'!$E$66/'Inputs'!$E$33,"n/m")</f>
        <v/>
      </c>
      <c r="F67" s="38">
        <f>IF(AND(ISNUMBER('Historical'!$F$66),ISNUMBER('Inputs'!$F$33),'Inputs'!$F$33&lt;&gt;0),'Historical'!$F$66/'Inputs'!$F$33,"n/m")</f>
        <v/>
      </c>
      <c r="G67" s="39">
        <f>IF(NOT(ISNUMBER($F$67)),"n/a",IF($F$67&lt;0.03,"Weak",IF($F$67&lt;0.1,"Moderate","Strong")))</f>
        <v/>
      </c>
    </row>
    <row r="68">
      <c r="A68" s="12" t="inlineStr">
        <is>
          <t>Capex intensity (capex / revenue)</t>
        </is>
      </c>
      <c r="B68" s="38">
        <f>IF(AND(ISNUMBER('Inputs'!$B$82),ISNUMBER('Inputs'!$B$33),'Inputs'!$B$33&lt;&gt;0),'Inputs'!$B$82/'Inputs'!$B$33,"n/m")</f>
        <v/>
      </c>
      <c r="C68" s="38">
        <f>IF(AND(ISNUMBER('Inputs'!$C$82),ISNUMBER('Inputs'!$C$33),'Inputs'!$C$33&lt;&gt;0),'Inputs'!$C$82/'Inputs'!$C$33,"n/m")</f>
        <v/>
      </c>
      <c r="D68" s="38">
        <f>IF(AND(ISNUMBER('Inputs'!$D$82),ISNUMBER('Inputs'!$D$33),'Inputs'!$D$33&lt;&gt;0),'Inputs'!$D$82/'Inputs'!$D$33,"n/m")</f>
        <v/>
      </c>
      <c r="E68" s="38">
        <f>IF(AND(ISNUMBER('Inputs'!$E$82),ISNUMBER('Inputs'!$E$33),'Inputs'!$E$33&lt;&gt;0),'Inputs'!$E$82/'Inputs'!$E$33,"n/m")</f>
        <v/>
      </c>
      <c r="F68" s="38">
        <f>IF(AND(ISNUMBER('Inputs'!$F$82),ISNUMBER('Inputs'!$F$33),'Inputs'!$F$33&lt;&gt;0),'Inputs'!$F$82/'Inputs'!$F$33,"n/m")</f>
        <v/>
      </c>
    </row>
    <row r="69">
      <c r="A69" s="12" t="inlineStr">
        <is>
          <t>FCF conversion (FCF / net income)</t>
        </is>
      </c>
      <c r="B69" s="38">
        <f>IF(AND(ISNUMBER('Historical'!$B$66),ISNUMBER('Inputs'!$B$48),'Inputs'!$B$48&lt;&gt;0),'Historical'!$B$66/'Inputs'!$B$48,"n/m")</f>
        <v/>
      </c>
      <c r="C69" s="38">
        <f>IF(AND(ISNUMBER('Historical'!$C$66),ISNUMBER('Inputs'!$C$48),'Inputs'!$C$48&lt;&gt;0),'Historical'!$C$66/'Inputs'!$C$48,"n/m")</f>
        <v/>
      </c>
      <c r="D69" s="38">
        <f>IF(AND(ISNUMBER('Historical'!$D$66),ISNUMBER('Inputs'!$D$48),'Inputs'!$D$48&lt;&gt;0),'Historical'!$D$66/'Inputs'!$D$48,"n/m")</f>
        <v/>
      </c>
      <c r="E69" s="38">
        <f>IF(AND(ISNUMBER('Historical'!$E$66),ISNUMBER('Inputs'!$E$48),'Inputs'!$E$48&lt;&gt;0),'Historical'!$E$66/'Inputs'!$E$48,"n/m")</f>
        <v/>
      </c>
      <c r="F69" s="38">
        <f>IF(AND(ISNUMBER('Historical'!$F$66),ISNUMBER('Inputs'!$F$48),'Inputs'!$F$48&lt;&gt;0),'Historical'!$F$66/'Inputs'!$F$48,"n/m")</f>
        <v/>
      </c>
      <c r="G69" s="39">
        <f>IF(NOT(AND(ISNUMBER($F$69),ISNUMBER(AVERAGE($B$69:$E$69)))),"n/a",IF($F$69&gt;AVERAGE($B$69:$E$69)*(1+0.05),"Improving",IF($F$69&lt;AVERAGE($B$69:$E$69)*(1-0.05),"Deteriorating","Stable")))</f>
        <v/>
      </c>
    </row>
    <row r="70">
      <c r="A70" s="12" t="inlineStr">
        <is>
          <t>Cash conversion (CFO / EBITDA)</t>
        </is>
      </c>
      <c r="B70" s="38">
        <f>IF(AND(ISNUMBER('Inputs'!$B$81),ISNUMBER('Inputs'!$B$41),'Inputs'!$B$41&lt;&gt;0),'Inputs'!$B$81/'Inputs'!$B$41,"n/m")</f>
        <v/>
      </c>
      <c r="C70" s="38">
        <f>IF(AND(ISNUMBER('Inputs'!$C$81),ISNUMBER('Inputs'!$C$41),'Inputs'!$C$41&lt;&gt;0),'Inputs'!$C$81/'Inputs'!$C$41,"n/m")</f>
        <v/>
      </c>
      <c r="D70" s="38">
        <f>IF(AND(ISNUMBER('Inputs'!$D$81),ISNUMBER('Inputs'!$D$41),'Inputs'!$D$41&lt;&gt;0),'Inputs'!$D$81/'Inputs'!$D$41,"n/m")</f>
        <v/>
      </c>
      <c r="E70" s="38">
        <f>IF(AND(ISNUMBER('Inputs'!$E$81),ISNUMBER('Inputs'!$E$41),'Inputs'!$E$41&lt;&gt;0),'Inputs'!$E$81/'Inputs'!$E$41,"n/m")</f>
        <v/>
      </c>
      <c r="F70" s="38">
        <f>IF(AND(ISNUMBER('Inputs'!$F$81),ISNUMBER('Inputs'!$F$41),'Inputs'!$F$41&lt;&gt;0),'Inputs'!$F$81/'Inputs'!$F$41,"n/m")</f>
        <v/>
      </c>
      <c r="G70" s="39">
        <f>IF(NOT(AND(ISNUMBER($F$70),ISNUMBER(AVERAGE($B$70:$E$70)))),"n/a",IF($F$70&gt;AVERAGE($B$70:$E$70)*(1+0.05),"Improving",IF($F$70&lt;AVERAGE($B$70:$E$70)*(1-0.05),"Deteriorating","Stable")))</f>
        <v/>
      </c>
    </row>
    <row r="72" ht="20" customHeight="1">
      <c r="A72" s="5" t="inlineStr">
        <is>
          <t>Shareholder Returns</t>
        </is>
      </c>
    </row>
    <row r="73" ht="20" customHeight="1">
      <c r="A73" s="24" t="inlineStr"/>
      <c r="B73" s="25" t="inlineStr">
        <is>
          <t>FY—4</t>
        </is>
      </c>
      <c r="C73" s="25" t="inlineStr">
        <is>
          <t>FY—3</t>
        </is>
      </c>
      <c r="D73" s="25" t="inlineStr">
        <is>
          <t>FY—2</t>
        </is>
      </c>
      <c r="E73" s="25" t="inlineStr">
        <is>
          <t>FY—1</t>
        </is>
      </c>
      <c r="F73" s="25" t="inlineStr">
        <is>
          <t>FY—0</t>
        </is>
      </c>
      <c r="G73" s="24" t="inlineStr">
        <is>
          <t>Latest read</t>
        </is>
      </c>
    </row>
    <row r="74">
      <c r="A74" s="12" t="inlineStr">
        <is>
          <t>Dividend payout ratio</t>
        </is>
      </c>
      <c r="B74" s="38">
        <f>IF(AND(ISNUMBER('Inputs'!$B$87),ISNUMBER('Inputs'!$B$48),'Inputs'!$B$48&lt;&gt;0),'Inputs'!$B$87/'Inputs'!$B$48,"n/m")</f>
        <v/>
      </c>
      <c r="C74" s="38">
        <f>IF(AND(ISNUMBER('Inputs'!$C$87),ISNUMBER('Inputs'!$C$48),'Inputs'!$C$48&lt;&gt;0),'Inputs'!$C$87/'Inputs'!$C$48,"n/m")</f>
        <v/>
      </c>
      <c r="D74" s="38">
        <f>IF(AND(ISNUMBER('Inputs'!$D$87),ISNUMBER('Inputs'!$D$48),'Inputs'!$D$48&lt;&gt;0),'Inputs'!$D$87/'Inputs'!$D$48,"n/m")</f>
        <v/>
      </c>
      <c r="E74" s="38">
        <f>IF(AND(ISNUMBER('Inputs'!$E$87),ISNUMBER('Inputs'!$E$48),'Inputs'!$E$48&lt;&gt;0),'Inputs'!$E$87/'Inputs'!$E$48,"n/m")</f>
        <v/>
      </c>
      <c r="F74" s="38">
        <f>IF(AND(ISNUMBER('Inputs'!$F$87),ISNUMBER('Inputs'!$F$48),'Inputs'!$F$48&lt;&gt;0),'Inputs'!$F$87/'Inputs'!$F$48,"n/m")</f>
        <v/>
      </c>
    </row>
    <row r="75">
      <c r="A75" s="12" t="inlineStr">
        <is>
          <t>Buyback intensity (/ net income)</t>
        </is>
      </c>
      <c r="B75" s="38">
        <f>IF(AND(ISNUMBER('Inputs'!$B$88),ISNUMBER('Inputs'!$B$48),'Inputs'!$B$48&lt;&gt;0),'Inputs'!$B$88/'Inputs'!$B$48,"n/m")</f>
        <v/>
      </c>
      <c r="C75" s="38">
        <f>IF(AND(ISNUMBER('Inputs'!$C$88),ISNUMBER('Inputs'!$C$48),'Inputs'!$C$48&lt;&gt;0),'Inputs'!$C$88/'Inputs'!$C$48,"n/m")</f>
        <v/>
      </c>
      <c r="D75" s="38">
        <f>IF(AND(ISNUMBER('Inputs'!$D$88),ISNUMBER('Inputs'!$D$48),'Inputs'!$D$48&lt;&gt;0),'Inputs'!$D$88/'Inputs'!$D$48,"n/m")</f>
        <v/>
      </c>
      <c r="E75" s="38">
        <f>IF(AND(ISNUMBER('Inputs'!$E$88),ISNUMBER('Inputs'!$E$48),'Inputs'!$E$48&lt;&gt;0),'Inputs'!$E$88/'Inputs'!$E$48,"n/m")</f>
        <v/>
      </c>
      <c r="F75" s="38">
        <f>IF(AND(ISNUMBER('Inputs'!$F$88),ISNUMBER('Inputs'!$F$48),'Inputs'!$F$48&lt;&gt;0),'Inputs'!$F$88/'Inputs'!$F$48,"n/m")</f>
        <v/>
      </c>
    </row>
    <row r="76">
      <c r="A76" s="12" t="inlineStr">
        <is>
          <t>Total payout ratio (div + buyback)</t>
        </is>
      </c>
      <c r="B76" s="38">
        <f>IF(AND(ISNUMBER(('Inputs'!$B$87+'Inputs'!$B$88)),ISNUMBER('Inputs'!$B$48),'Inputs'!$B$48&lt;&gt;0),('Inputs'!$B$87+'Inputs'!$B$88)/'Inputs'!$B$48,"n/m")</f>
        <v/>
      </c>
      <c r="C76" s="38">
        <f>IF(AND(ISNUMBER(('Inputs'!$C$87+'Inputs'!$C$88)),ISNUMBER('Inputs'!$C$48),'Inputs'!$C$48&lt;&gt;0),('Inputs'!$C$87+'Inputs'!$C$88)/'Inputs'!$C$48,"n/m")</f>
        <v/>
      </c>
      <c r="D76" s="38">
        <f>IF(AND(ISNUMBER(('Inputs'!$D$87+'Inputs'!$D$88)),ISNUMBER('Inputs'!$D$48),'Inputs'!$D$48&lt;&gt;0),('Inputs'!$D$87+'Inputs'!$D$88)/'Inputs'!$D$48,"n/m")</f>
        <v/>
      </c>
      <c r="E76" s="38">
        <f>IF(AND(ISNUMBER(('Inputs'!$E$87+'Inputs'!$E$88)),ISNUMBER('Inputs'!$E$48),'Inputs'!$E$48&lt;&gt;0),('Inputs'!$E$87+'Inputs'!$E$88)/'Inputs'!$E$48,"n/m")</f>
        <v/>
      </c>
      <c r="F76" s="38">
        <f>IF(AND(ISNUMBER(('Inputs'!$F$87+'Inputs'!$F$88)),ISNUMBER('Inputs'!$F$48),'Inputs'!$F$48&lt;&gt;0),('Inputs'!$F$87+'Inputs'!$F$88)/'Inputs'!$F$48,"n/m")</f>
        <v/>
      </c>
    </row>
  </sheetData>
  <mergeCells count="12">
    <mergeCell ref="A1:G1"/>
    <mergeCell ref="A3:G3"/>
    <mergeCell ref="A6:G6"/>
    <mergeCell ref="A4:G4"/>
    <mergeCell ref="A2:G2"/>
    <mergeCell ref="A72:G72"/>
    <mergeCell ref="A15:G15"/>
    <mergeCell ref="A52:G52"/>
    <mergeCell ref="A43:G43"/>
    <mergeCell ref="A63:G63"/>
    <mergeCell ref="A28:G28"/>
    <mergeCell ref="A37:G37"/>
  </mergeCells>
  <conditionalFormatting sqref="G8:G70">
    <cfRule type="expression" priority="1" dxfId="0" stopIfTrue="1">
      <formula>OR(ISNUMBER(SEARCH("Strong",G8)),ISNUMBER(SEARCH("Improving",G8)),ISNUMBER(SEARCH("Expanding",G8)),ISNUMBER(SEARCH("Accelerating",G8)),ISNUMBER(SEARCH("Conservative",G8)),ISNUMBER(SEARCH("Undervalued",G8)),ISNUMBER(SEARCH("Value-creating",G8)),ISNUMBER(SEARCH("Robust",G8)),ISNUMBER(SEARCH("Healthy",G8)),ISNUMBER(SEARCH("Low risk",G8)),ISNUMBER(SEARCH("PASS",G8)),ISNUMBER(SEARCH("Balanced",G8)),ISNUMBER(SEARCH("Ties",G8)),ISNUMBER(SEARCH("Acyclic",G8)),ISNUMBER(SEARCH("Present",G8)),ISNUMBER(SEARCH("Consistent",G8)),ISNUMBER(SEARCH("Positive",G8)))</formula>
    </cfRule>
    <cfRule type="expression" priority="2" dxfId="1" stopIfTrue="1">
      <formula>OR(ISNUMBER(SEARCH("Weak",G8)),ISNUMBER(SEARCH("Deteriorating",G8)),ISNUMBER(SEARCH("Compressing",G8)),ISNUMBER(SEARCH("Elevated",G8)),ISNUMBER(SEARCH("Stretched",G8)),ISNUMBER(SEARCH("Overvalued",G8)),ISNUMBER(SEARCH("Value-destroying",G8)),ISNUMBER(SEARCH("Severe",G8)),ISNUMBER(SEARCH("High risk",G8)),ISNUMBER(SEARCH("Negative",G8)),ISNUMBER(SEARCH("Breach",G8)),ISNUMBER(SEARCH("FAIL",G8)),ISNUMBER(SEARCH("Imbalanced",G8)),ISNUMBER(SEARCH("Outlier",G8)),ISNUMBER(SEARCH("Missing",G8)))</formula>
    </cfRule>
    <cfRule type="expression" priority="3" dxfId="2" stopIfTrue="1">
      <formula>OR(ISNUMBER(SEARCH("Moderate",G8)),ISNUMBER(SEARCH("Caution",G8)),ISNUMBER(SEARCH("Decelerating",G8)),ISNUMBER(SEARCH("Watch",G8)),ISNUMBER(SEARCH("Partial",G8)),ISNUMBER(SEARCH("Thin",G8)),ISNUMBER(SEARCH("REVIEW",G8)),ISNUMBER(SEARCH("TV-heavy",G8)),ISNUMBER(SEARCH("Outside",G8)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G43"/>
  <sheetViews>
    <sheetView showGridLines="0" zoomScale="10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54" customWidth="1" min="7" max="7"/>
  </cols>
  <sheetData>
    <row r="1" ht="30" customHeight="1">
      <c r="A1" s="1" t="inlineStr">
        <is>
          <t>ASSUMPTIONS</t>
        </is>
      </c>
    </row>
    <row r="2" ht="16" customHeight="1">
      <c r="A2" s="2" t="inlineStr">
        <is>
          <t>DCF assumption engine — driver-based, scenario-aware, fully sourced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Scenario Selector</t>
        </is>
      </c>
    </row>
    <row r="6">
      <c r="A6" s="12" t="inlineStr">
        <is>
          <t>Active scenario (1=Base, 2=Bull, 3=Bear, 4=Downside)</t>
        </is>
      </c>
      <c r="B6" s="30" t="n">
        <v>1</v>
      </c>
      <c r="E6" s="44" t="inlineStr">
        <is>
          <t>← active scenario:</t>
        </is>
      </c>
      <c r="F6" s="35" t="inlineStr">
        <is>
          <t>input</t>
        </is>
      </c>
      <c r="G6" s="4">
        <f>CHOOSE('Assumptions'!$B$6,"Base","Bull","Bear","Downside")</f>
        <v/>
      </c>
    </row>
    <row r="8" ht="20" customHeight="1">
      <c r="A8" s="5" t="inlineStr">
        <is>
          <t>Derived Historical Anchors (read-only)</t>
        </is>
      </c>
    </row>
    <row r="9">
      <c r="A9" s="11" t="inlineStr">
        <is>
          <t>These are computed from the Historical sheet and feed the base case.</t>
        </is>
      </c>
    </row>
    <row r="10">
      <c r="A10" s="3" t="inlineStr">
        <is>
          <t>Historical revenue CAGR (full window)</t>
        </is>
      </c>
      <c r="B10" s="38">
        <f>IF(AND(ISNUMBER('Inputs'!$F$33),ISNUMBER('Inputs'!$B$33),'Inputs'!$B$33&gt;0,'Inputs'!$F$33&gt;0,4&gt;0),('Inputs'!$F$33/'Inputs'!$B$33)^(1/4)-1,"n/m")</f>
        <v/>
      </c>
      <c r="F10" s="35" t="inlineStr">
        <is>
          <t>model-derived</t>
        </is>
      </c>
      <c r="G10" s="11" t="inlineStr">
        <is>
          <t>Compound annual revenue growth across all reported years.</t>
        </is>
      </c>
    </row>
    <row r="11">
      <c r="A11" s="3" t="inlineStr">
        <is>
          <t>Latest-year revenue growth</t>
        </is>
      </c>
      <c r="B11" s="38">
        <f>'Historical'!$F$8</f>
        <v/>
      </c>
      <c r="F11" s="35" t="inlineStr">
        <is>
          <t>model-derived</t>
        </is>
      </c>
      <c r="G11" s="11" t="inlineStr">
        <is>
          <t>Most recent year-on-year growth.</t>
        </is>
      </c>
    </row>
    <row r="12">
      <c r="A12" s="3" t="inlineStr">
        <is>
          <t>Avg EBIT margin (last 3y)</t>
        </is>
      </c>
      <c r="B12" s="38">
        <f>IFERROR(AVERAGE('Historical'!$D$19,'Historical'!$E$19,'Historical'!$F$19),"n/a")</f>
        <v/>
      </c>
      <c r="F12" s="35" t="inlineStr">
        <is>
          <t>model-derived</t>
        </is>
      </c>
      <c r="G12" s="11" t="inlineStr">
        <is>
          <t>Anchor for the sustainable operating margin.</t>
        </is>
      </c>
    </row>
    <row r="13">
      <c r="A13" s="3" t="inlineStr">
        <is>
          <t>Avg D&amp;A % of revenue (last 3y)</t>
        </is>
      </c>
      <c r="B13" s="38">
        <f>IFERROR(AVERAGE('Historical'!$D$23,'Historical'!$E$23,'Historical'!$F$23),"n/a")</f>
        <v/>
      </c>
      <c r="F13" s="35" t="inlineStr">
        <is>
          <t>model-derived</t>
        </is>
      </c>
      <c r="G13" s="11" t="inlineStr">
        <is>
          <t>Drives forecast depreciation &amp; amortisation.</t>
        </is>
      </c>
    </row>
    <row r="14">
      <c r="A14" s="3" t="inlineStr">
        <is>
          <t>Avg capex intensity (last 3y)</t>
        </is>
      </c>
      <c r="B14" s="38">
        <f>IFERROR(AVERAGE('Historical'!$D$68,'Historical'!$E$68,'Historical'!$F$68),"n/a")</f>
        <v/>
      </c>
      <c r="F14" s="35" t="inlineStr">
        <is>
          <t>model-derived</t>
        </is>
      </c>
      <c r="G14" s="11" t="inlineStr">
        <is>
          <t>Drives forecast capital expenditure.</t>
        </is>
      </c>
    </row>
    <row r="15">
      <c r="A15" s="3" t="inlineStr">
        <is>
          <t>Net working capital % of revenue</t>
        </is>
      </c>
      <c r="B15" s="38">
        <f>IF(AND(ISNUMBER(('Inputs'!$F$54+'Inputs'!$F$55-'Inputs'!$F$63)),ISNUMBER('Inputs'!$F$33),'Inputs'!$F$33&lt;&gt;0),('Inputs'!$F$54+'Inputs'!$F$55-'Inputs'!$F$63)/'Inputs'!$F$33,"n/m")</f>
        <v/>
      </c>
      <c r="F15" s="35" t="inlineStr">
        <is>
          <t>model-derived</t>
        </is>
      </c>
      <c r="G15" s="11" t="inlineStr">
        <is>
          <t>Working capital scales with sales at this ratio.</t>
        </is>
      </c>
    </row>
    <row r="17" ht="20" customHeight="1">
      <c r="A17" s="5" t="inlineStr">
        <is>
          <t>Forecast Drivers by Scenario</t>
        </is>
      </c>
    </row>
    <row r="18">
      <c r="A18" s="24" t="inlineStr">
        <is>
          <t>Driver</t>
        </is>
      </c>
      <c r="B18" s="25" t="inlineStr">
        <is>
          <t>Base</t>
        </is>
      </c>
      <c r="C18" s="25" t="inlineStr">
        <is>
          <t>Bull</t>
        </is>
      </c>
      <c r="D18" s="25" t="inlineStr">
        <is>
          <t>Bear</t>
        </is>
      </c>
      <c r="E18" s="25" t="inlineStr">
        <is>
          <t>Downside</t>
        </is>
      </c>
      <c r="F18" s="24" t="inlineStr">
        <is>
          <t>Source</t>
        </is>
      </c>
      <c r="G18" s="24" t="inlineStr">
        <is>
          <t>Rationale</t>
        </is>
      </c>
    </row>
    <row r="19">
      <c r="A19" s="40" t="inlineStr">
        <is>
          <t>Blended raw start growth</t>
        </is>
      </c>
      <c r="B19" s="32">
        <f>IF(AND(ISNUMBER('Assumptions'!$B$10),ISNUMBER('Assumptions'!$B$11)),('Assumptions'!$B$10+'Assumptions'!$B$11)/2,IF(ISNUMBER('Assumptions'!$B$10),'Assumptions'!$B$10,IF(ISNUMBER('Assumptions'!$B$11),'Assumptions'!$B$11,0.03)))</f>
        <v/>
      </c>
      <c r="G19" s="11" t="inlineStr">
        <is>
          <t>Average of historical CAGR and latest growth (fallback to long-run).</t>
        </is>
      </c>
    </row>
    <row r="20">
      <c r="A20" s="12" t="inlineStr">
        <is>
          <t>Revenue growth — year 1 (start)</t>
        </is>
      </c>
      <c r="B20" s="32">
        <f>MAX(-0.05,MIN(0.20,'Assumptions'!$B$19))</f>
        <v/>
      </c>
      <c r="C20" s="32">
        <f>MAX(-0.3,MIN(0.3,'Assumptions'!$B$20+0.03))</f>
        <v/>
      </c>
      <c r="D20" s="32">
        <f>MAX(-0.3,MIN(0.3,'Assumptions'!$B$20+-0.03))</f>
        <v/>
      </c>
      <c r="E20" s="32">
        <f>MAX(-0.3,MIN(0.3,'Assumptions'!$B$20+-0.06))</f>
        <v/>
      </c>
      <c r="F20" s="35" t="inlineStr">
        <is>
          <t>model-derived</t>
        </is>
      </c>
      <c r="G20" s="11" t="inlineStr">
        <is>
          <t>Start of the revenue path; clamped to a sane band. Bull/Bear/Downside add ±tilts.</t>
        </is>
      </c>
    </row>
    <row r="21">
      <c r="A21" s="12" t="inlineStr">
        <is>
          <t>Terminal / perpetuity growth (g)</t>
        </is>
      </c>
      <c r="B21" s="32">
        <f>MIN(0.025,'WACC'!$B$24-0.01)</f>
        <v/>
      </c>
      <c r="C21" s="32">
        <f>MAX(-0.02,MIN('WACC'!$B$24-0.01,'Assumptions'!$B$21+0.005))</f>
        <v/>
      </c>
      <c r="D21" s="32">
        <f>MAX(-0.02,MIN('WACC'!$B$24-0.01,'Assumptions'!$B$21+-0.005))</f>
        <v/>
      </c>
      <c r="E21" s="32">
        <f>MAX(-0.02,MIN('WACC'!$B$24-0.01,'Assumptions'!$B$21+-0.01))</f>
        <v/>
      </c>
      <c r="F21" s="35" t="inlineStr">
        <is>
          <t>assumption</t>
        </is>
      </c>
      <c r="G21" s="11" t="inlineStr">
        <is>
          <t>Long-run growth into perpetuity; capped at WACC−1% so TV stays finite.</t>
        </is>
      </c>
    </row>
    <row r="22">
      <c r="A22" s="12" t="inlineStr">
        <is>
          <t>Terminal EBIT margin</t>
        </is>
      </c>
      <c r="B22" s="32">
        <f>IF(ISNUMBER('Assumptions'!$B$12),MAX(0,MIN(0.60,'Assumptions'!$B$12)),0.12)</f>
        <v/>
      </c>
      <c r="C22" s="32">
        <f>MAX(0.0,MIN(0.6,'Assumptions'!$B$22+0.02))</f>
        <v/>
      </c>
      <c r="D22" s="32">
        <f>MAX(0.0,MIN(0.6,'Assumptions'!$B$22+-0.02))</f>
        <v/>
      </c>
      <c r="E22" s="32">
        <f>MAX(0.0,MIN(0.6,'Assumptions'!$B$22+-0.05))</f>
        <v/>
      </c>
      <c r="F22" s="35" t="inlineStr">
        <is>
          <t>model-derived</t>
        </is>
      </c>
      <c r="G22" s="11" t="inlineStr">
        <is>
          <t>Operating margin the business converges to by the terminal year.</t>
        </is>
      </c>
    </row>
    <row r="24" ht="20" customHeight="1">
      <c r="A24" s="5" t="inlineStr">
        <is>
          <t>Scenario-Invariant Drivers</t>
        </is>
      </c>
    </row>
    <row r="25">
      <c r="A25" s="3" t="inlineStr">
        <is>
          <t>D&amp;A as % of revenue</t>
        </is>
      </c>
      <c r="B25" s="38">
        <f>IF(ISNUMBER('Assumptions'!$B$13),'Assumptions'!$B$13,0.05)</f>
        <v/>
      </c>
      <c r="F25" s="35" t="inlineStr">
        <is>
          <t>derived/fallback</t>
        </is>
      </c>
      <c r="G25" s="11" t="inlineStr">
        <is>
          <t>Historical average; conservative fallback if no history.</t>
        </is>
      </c>
    </row>
    <row r="26">
      <c r="A26" s="3" t="inlineStr">
        <is>
          <t>Capex as % of revenue</t>
        </is>
      </c>
      <c r="B26" s="38">
        <f>IF(ISNUMBER('Assumptions'!$B$14),'Assumptions'!$B$14,0.05)</f>
        <v/>
      </c>
      <c r="F26" s="35" t="inlineStr">
        <is>
          <t>derived/fallback</t>
        </is>
      </c>
      <c r="G26" s="11" t="inlineStr">
        <is>
          <t>Historical average; in steady state ≈ D&amp;A.</t>
        </is>
      </c>
    </row>
    <row r="27">
      <c r="A27" s="3" t="inlineStr">
        <is>
          <t>Net working capital % of revenue</t>
        </is>
      </c>
      <c r="B27" s="38">
        <f>IF(ISNUMBER('Assumptions'!$B$15),'Assumptions'!$B$15,0.1)</f>
        <v/>
      </c>
      <c r="F27" s="35" t="inlineStr">
        <is>
          <t>derived/fallback</t>
        </is>
      </c>
      <c r="G27" s="11" t="inlineStr">
        <is>
          <t>ΔWC each year = this % × the change in revenue.</t>
        </is>
      </c>
    </row>
    <row r="28">
      <c r="A28" s="3" t="inlineStr">
        <is>
          <t>Tax rate (from WACC sheet)</t>
        </is>
      </c>
      <c r="B28" s="38">
        <f>'WACC'!$B$13</f>
        <v/>
      </c>
      <c r="F28" s="35" t="inlineStr">
        <is>
          <t>linked</t>
        </is>
      </c>
      <c r="G28" s="11" t="inlineStr">
        <is>
          <t>Marginal tax rate applied to EBIT to get NOPAT.</t>
        </is>
      </c>
    </row>
    <row r="29">
      <c r="A29" s="3" t="inlineStr">
        <is>
          <t>Exit EBITDA multiple (TV cross-check)</t>
        </is>
      </c>
      <c r="B29" s="42" t="inlineStr">
        <is>
          <t>8.0</t>
        </is>
      </c>
      <c r="F29" s="35" t="inlineStr">
        <is>
          <t>fallback</t>
        </is>
      </c>
      <c r="G29" s="11" t="inlineStr">
        <is>
          <t>Generic multiple for the exit-multiple terminal-value cross-check only.</t>
        </is>
      </c>
    </row>
    <row r="30">
      <c r="A30" s="3" t="inlineStr">
        <is>
          <t>Forecast horizon (years)</t>
        </is>
      </c>
      <c r="B30" s="45" t="inlineStr">
        <is>
          <t>5</t>
        </is>
      </c>
      <c r="F30" s="35" t="inlineStr">
        <is>
          <t>setting</t>
        </is>
      </c>
      <c r="G30" s="11" t="inlineStr">
        <is>
          <t>Number of explicitly forecast years before terminal value.</t>
        </is>
      </c>
    </row>
    <row r="32" ht="20" customHeight="1">
      <c r="A32" s="5" t="inlineStr">
        <is>
          <t>Active Assumptions (resolved by selector)</t>
        </is>
      </c>
    </row>
    <row r="33">
      <c r="A33" s="11" t="inlineStr">
        <is>
          <t>These are the values the Forecast &amp; DCF actually use.</t>
        </is>
      </c>
    </row>
    <row r="34">
      <c r="A34" s="12" t="inlineStr">
        <is>
          <t>Active start revenue growth</t>
        </is>
      </c>
      <c r="B34" s="9">
        <f>CHOOSE('Assumptions'!$B$6,'Assumptions'!$B$20,'Assumptions'!$C$20,'Assumptions'!$D$20,'Assumptions'!$E$20)</f>
        <v/>
      </c>
      <c r="F34" s="35" t="inlineStr">
        <is>
          <t>active</t>
        </is>
      </c>
      <c r="G34" s="11" t="inlineStr">
        <is>
          <t>Year-1 revenue growth for the selected scenario.</t>
        </is>
      </c>
    </row>
    <row r="35">
      <c r="A35" s="12" t="inlineStr">
        <is>
          <t>Active terminal growth (g)</t>
        </is>
      </c>
      <c r="B35" s="9">
        <f>CHOOSE('Assumptions'!$B$6,'Assumptions'!$B$21,'Assumptions'!$C$21,'Assumptions'!$D$21,'Assumptions'!$E$21)</f>
        <v/>
      </c>
      <c r="F35" s="35" t="inlineStr">
        <is>
          <t>active</t>
        </is>
      </c>
      <c r="G35" s="11" t="inlineStr">
        <is>
          <t>Perpetuity growth; also the year-N revenue growth (smooth hand-off to TV).</t>
        </is>
      </c>
    </row>
    <row r="36">
      <c r="A36" s="12" t="inlineStr">
        <is>
          <t>Active terminal EBIT margin</t>
        </is>
      </c>
      <c r="B36" s="9">
        <f>CHOOSE('Assumptions'!$B$6,'Assumptions'!$B$22,'Assumptions'!$C$22,'Assumptions'!$D$22,'Assumptions'!$E$22)</f>
        <v/>
      </c>
      <c r="F36" s="35" t="inlineStr">
        <is>
          <t>active</t>
        </is>
      </c>
      <c r="G36" s="11" t="inlineStr">
        <is>
          <t>EBIT margin the forecast converges to.</t>
        </is>
      </c>
    </row>
    <row r="38" ht="20" customHeight="1">
      <c r="A38" s="5" t="inlineStr">
        <is>
          <t>Methodology Notes</t>
        </is>
      </c>
    </row>
    <row r="39" ht="26" customHeight="1">
      <c r="A39" s="11" t="inlineStr">
        <is>
          <t>•  Revenue is forecast by fading the year-1 growth rate linearly to the terminal growth rate over the horizon — a transparent mean-reversion that avoids an arbitrary flat growth assumption.</t>
        </is>
      </c>
    </row>
    <row r="40" ht="26" customHeight="1">
      <c r="A40" s="11" t="inlineStr">
        <is>
          <t>•  Operating margin fades linearly from the last reported EBIT margin to the terminal target margin, reflecting gradual normalisation rather than a step change.</t>
        </is>
      </c>
    </row>
    <row r="41" ht="26" customHeight="1">
      <c r="A41" s="11" t="inlineStr">
        <is>
          <t>•  Capex, D&amp;A and working capital are tied to revenue via historical intensity ratios, so they scale with the business instead of being guessed.</t>
        </is>
      </c>
    </row>
    <row r="42" ht="26" customHeight="1">
      <c r="A42" s="11" t="inlineStr">
        <is>
          <t>•  Scenarios change only a few economically meaningful levers (growth and margin); this keeps the bull/bear/downside cases comparable and interpretable.</t>
        </is>
      </c>
    </row>
    <row r="43" ht="26" customHeight="1">
      <c r="A43" s="11" t="inlineStr">
        <is>
          <t>•  Where a needed figure is missing, the model falls back to a clearly-labelled conservative default rather than inventing a number.</t>
        </is>
      </c>
    </row>
  </sheetData>
  <mergeCells count="22">
    <mergeCell ref="A32:G32"/>
    <mergeCell ref="A17:G17"/>
    <mergeCell ref="A8:G8"/>
    <mergeCell ref="B30:E30"/>
    <mergeCell ref="B28:E28"/>
    <mergeCell ref="A38:G38"/>
    <mergeCell ref="A42:G42"/>
    <mergeCell ref="A43:G43"/>
    <mergeCell ref="B26:E26"/>
    <mergeCell ref="A40:G40"/>
    <mergeCell ref="A9:G9"/>
    <mergeCell ref="A39:G39"/>
    <mergeCell ref="A24:G24"/>
    <mergeCell ref="B25:E25"/>
    <mergeCell ref="B27:E27"/>
    <mergeCell ref="A1:G1"/>
    <mergeCell ref="A41:G41"/>
    <mergeCell ref="A3:G3"/>
    <mergeCell ref="B29:E29"/>
    <mergeCell ref="A2:G2"/>
    <mergeCell ref="A33:G33"/>
    <mergeCell ref="A5:G5"/>
  </mergeCells>
  <dataValidations count="1">
    <dataValidation sqref="B6" showDropDown="0" showInputMessage="0" showErrorMessage="1" allowBlank="0" error="Enter 1 (Base), 2 (Bull), 3 (Bear) or 4 (Downside)." prompt="1=Base, 2=Bull, 3=Bear, 4=Downside" type="whole" operator="between">
      <formula1>1</formula1>
      <formula2>4</formula2>
    </dataValidation>
  </dataValidation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D30"/>
  <sheetViews>
    <sheetView showGridLines="0" zoomScale="10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6" customWidth="1" min="4" max="4"/>
  </cols>
  <sheetData>
    <row r="1" ht="30" customHeight="1">
      <c r="A1" s="1" t="inlineStr">
        <is>
          <t>WACC</t>
        </is>
      </c>
    </row>
    <row r="2" ht="16" customHeight="1">
      <c r="A2" s="2" t="inlineStr">
        <is>
          <t>Weighted average cost of capital — built up step by step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1 · Cost of Equity — CAPM</t>
        </is>
      </c>
    </row>
    <row r="6">
      <c r="A6" s="3" t="inlineStr">
        <is>
          <t>Risk-free rate (Rf)</t>
        </is>
      </c>
      <c r="B6" s="38">
        <f>IF(ISNUMBER('Inputs'!$B$115),'Inputs'!$B$115,0.04)</f>
        <v/>
      </c>
      <c r="C6" s="35">
        <f>IF(ISNUMBER('Inputs'!$B$115),"input","fallback")</f>
        <v/>
      </c>
      <c r="D6" s="11" t="inlineStr">
        <is>
          <t>Long-dated government bond yield in the reporting currency.</t>
        </is>
      </c>
    </row>
    <row r="7">
      <c r="A7" s="3" t="inlineStr">
        <is>
          <t>Equity risk premium (ERP)</t>
        </is>
      </c>
      <c r="B7" s="38">
        <f>IF(ISNUMBER('Inputs'!$B$116),'Inputs'!$B$116,0.05)</f>
        <v/>
      </c>
      <c r="C7" s="35">
        <f>IF(ISNUMBER('Inputs'!$B$116),"input","fallback")</f>
        <v/>
      </c>
      <c r="D7" s="11" t="inlineStr">
        <is>
          <t>Expected return of equities over the risk-free rate.</t>
        </is>
      </c>
    </row>
    <row r="8">
      <c r="A8" s="3" t="inlineStr">
        <is>
          <t>Beta (β)</t>
        </is>
      </c>
      <c r="B8" s="46">
        <f>IF(ISNUMBER('Inputs'!$B$114),'Inputs'!$B$114,1.0)</f>
        <v/>
      </c>
      <c r="C8" s="35">
        <f>IF(ISNUMBER('Inputs'!$B$114),"input","fallback")</f>
        <v/>
      </c>
      <c r="D8" s="11" t="inlineStr">
        <is>
          <t>Levered equity beta vs the market; fallback 1.00 (market risk).</t>
        </is>
      </c>
    </row>
    <row r="9">
      <c r="A9" s="12" t="inlineStr">
        <is>
          <t>Cost of equity  Ke = Rf + β × ERP</t>
        </is>
      </c>
      <c r="B9" s="47">
        <f>'WACC'!$B$6+'WACC'!$B$8*'WACC'!$B$7</f>
        <v/>
      </c>
      <c r="C9" s="35" t="inlineStr">
        <is>
          <t>computed</t>
        </is>
      </c>
      <c r="D9" s="11" t="inlineStr">
        <is>
          <t>CAPM. Ke is the return equity holders require.</t>
        </is>
      </c>
    </row>
    <row r="11" ht="20" customHeight="1">
      <c r="A11" s="5" t="inlineStr">
        <is>
          <t>2 · Cost of Debt</t>
        </is>
      </c>
    </row>
    <row r="12">
      <c r="A12" s="3" t="inlineStr">
        <is>
          <t>Pre-tax cost of debt (Kd)</t>
        </is>
      </c>
      <c r="B12" s="38">
        <f>IF(ISNUMBER('Inputs'!$B$117),'Inputs'!$B$117,0.06)</f>
        <v/>
      </c>
      <c r="C12" s="35">
        <f>IF(ISNUMBER('Inputs'!$B$117),"input","fallback")</f>
        <v/>
      </c>
      <c r="D12" s="11" t="inlineStr">
        <is>
          <t>Marginal borrowing rate. Cross-check vs implied rate below.</t>
        </is>
      </c>
    </row>
    <row r="13">
      <c r="A13" s="3" t="inlineStr">
        <is>
          <t>Marginal tax rate (t)</t>
        </is>
      </c>
      <c r="B13" s="38">
        <f>IF(ISNUMBER('Inputs'!$B$118),'Inputs'!$B$118,0.25)</f>
        <v/>
      </c>
      <c r="C13" s="35">
        <f>IF(ISNUMBER('Inputs'!$B$118),"input","fallback")</f>
        <v/>
      </c>
      <c r="D13" s="11" t="inlineStr">
        <is>
          <t>Used to tax-shield debt and for NOPAT in the DCF.</t>
        </is>
      </c>
    </row>
    <row r="14">
      <c r="A14" s="12" t="inlineStr">
        <is>
          <t>After-tax cost of debt  Kd × (1 − t)</t>
        </is>
      </c>
      <c r="B14" s="47">
        <f>'WACC'!$B$12*(1-'WACC'!$B$13)</f>
        <v/>
      </c>
      <c r="C14" s="35" t="inlineStr">
        <is>
          <t>computed</t>
        </is>
      </c>
      <c r="D14" s="11" t="inlineStr">
        <is>
          <t>Interest is tax-deductible, lowering its effective cost.</t>
        </is>
      </c>
    </row>
    <row r="15">
      <c r="A15" s="3" t="inlineStr">
        <is>
          <t xml:space="preserve">    Implied rate cross-check (int. exp / debt)</t>
        </is>
      </c>
      <c r="B15" s="32">
        <f>IFERROR('Inputs'!$F$42/'Historical'!$F$45,"n/a")</f>
        <v/>
      </c>
      <c r="C15" s="35" t="inlineStr">
        <is>
          <t>computed</t>
        </is>
      </c>
      <c r="D15" s="11" t="inlineStr">
        <is>
          <t>Sanity check on the assumed pre-tax cost of debt.</t>
        </is>
      </c>
    </row>
    <row r="17" ht="20" customHeight="1">
      <c r="A17" s="5" t="inlineStr">
        <is>
          <t>3 · Capital Structure (market weights)</t>
        </is>
      </c>
    </row>
    <row r="18">
      <c r="A18" s="3" t="inlineStr">
        <is>
          <t>Equity value (E)</t>
        </is>
      </c>
      <c r="B18" s="27">
        <f>IF(ISNUMBER('Inputs'!$B$119),'Inputs'!$B$119,'Inputs'!$F$71)</f>
        <v/>
      </c>
      <c r="C18" s="35">
        <f>IF(ISNUMBER('Inputs'!$B$119),"market","book (fallback)")</f>
        <v/>
      </c>
      <c r="D18" s="11" t="inlineStr">
        <is>
          <t>Market capitalisation; falls back to book equity if price/shares missing.</t>
        </is>
      </c>
    </row>
    <row r="19">
      <c r="A19" s="3" t="inlineStr">
        <is>
          <t>Debt value (D)</t>
        </is>
      </c>
      <c r="B19" s="27">
        <f>'Historical'!$F$45</f>
        <v/>
      </c>
      <c r="C19" s="35" t="inlineStr">
        <is>
          <t>book</t>
        </is>
      </c>
      <c r="D19" s="11" t="inlineStr">
        <is>
          <t>Total interest-bearing debt (book value as a proxy for market value).</t>
        </is>
      </c>
    </row>
    <row r="20">
      <c r="A20" s="3" t="inlineStr">
        <is>
          <t>Equity weight  We = E / (E + D)</t>
        </is>
      </c>
      <c r="B20" s="32">
        <f>IFERROR('WACC'!$B$18/('WACC'!$B$18+'WACC'!$B$19),1)</f>
        <v/>
      </c>
      <c r="C20" s="35" t="inlineStr">
        <is>
          <t>computed</t>
        </is>
      </c>
      <c r="D20" s="11" t="inlineStr">
        <is>
          <t>Share of capital funded by equity.</t>
        </is>
      </c>
    </row>
    <row r="21">
      <c r="A21" s="3" t="inlineStr">
        <is>
          <t>Debt weight  Wd = D / (E + D)</t>
        </is>
      </c>
      <c r="B21" s="32">
        <f>IFERROR('WACC'!$B$19/('WACC'!$B$18+'WACC'!$B$19),0)</f>
        <v/>
      </c>
      <c r="C21" s="35" t="inlineStr">
        <is>
          <t>computed</t>
        </is>
      </c>
      <c r="D21" s="11" t="inlineStr">
        <is>
          <t>Share of capital funded by debt.</t>
        </is>
      </c>
    </row>
    <row r="23" ht="20" customHeight="1">
      <c r="A23" s="5" t="inlineStr">
        <is>
          <t>4 · Weighted Average Cost of Capital</t>
        </is>
      </c>
    </row>
    <row r="24">
      <c r="A24" s="12" t="inlineStr">
        <is>
          <t>WACC = We × Ke + Wd × Kd(1−t)</t>
        </is>
      </c>
      <c r="B24" s="48">
        <f>'WACC'!$B$20*'WACC'!$B$9+'WACC'!$B$21*'WACC'!$B$14</f>
        <v/>
      </c>
      <c r="D24" s="11" t="inlineStr">
        <is>
          <t>The blended required return used to discount the forecast cash flows.</t>
        </is>
      </c>
    </row>
    <row r="25">
      <c r="A25" s="3" t="inlineStr">
        <is>
          <t>Plausibility</t>
        </is>
      </c>
      <c r="B25" s="14" t="inlineStr"/>
      <c r="D25" s="11">
        <f>IF(AND('WACC'!$B$24&gt;=0.035,'WACC'!$B$24&gt;=0.04,'WACC'!$B$24&lt;=0.18),"Within a reasonable range","Outside typical 4–18% range — review inputs")</f>
        <v/>
      </c>
    </row>
    <row r="27">
      <c r="A27" s="12" t="inlineStr">
        <is>
          <t>How to read this</t>
        </is>
      </c>
    </row>
    <row r="28" ht="14" customHeight="1">
      <c r="A28" s="11" t="inlineStr">
        <is>
          <t>•  WACC rises with beta, the equity risk premium and leverage cost, and falls with the tax shield on debt. It is the single most important valuation input.</t>
        </is>
      </c>
    </row>
    <row r="29" ht="14" customHeight="1">
      <c r="A29" s="11" t="inlineStr">
        <is>
          <t>•  If you have no market data, the fallback defaults give a defensible starting point; replace them with company-specific figures for a real valuation.</t>
        </is>
      </c>
    </row>
    <row r="30" ht="14" customHeight="1">
      <c r="A30" s="11" t="inlineStr">
        <is>
          <t>•  Equity value uses market cap where available — the market's own view of equity — rather than book value, which can be stale.</t>
        </is>
      </c>
    </row>
  </sheetData>
  <mergeCells count="10">
    <mergeCell ref="A1:D1"/>
    <mergeCell ref="A5:D5"/>
    <mergeCell ref="A17:D17"/>
    <mergeCell ref="A23:D23"/>
    <mergeCell ref="A3:D3"/>
    <mergeCell ref="A30:D30"/>
    <mergeCell ref="A29:D29"/>
    <mergeCell ref="A2:D2"/>
    <mergeCell ref="A11:D11"/>
    <mergeCell ref="A28:D28"/>
  </mergeCells>
  <conditionalFormatting sqref="D25">
    <cfRule type="expression" priority="1" dxfId="0" stopIfTrue="1">
      <formula>OR(ISNUMBER(SEARCH("Strong",D25)),ISNUMBER(SEARCH("Improving",D25)),ISNUMBER(SEARCH("Expanding",D25)),ISNUMBER(SEARCH("Accelerating",D25)),ISNUMBER(SEARCH("Conservative",D25)),ISNUMBER(SEARCH("Undervalued",D25)),ISNUMBER(SEARCH("Value-creating",D25)),ISNUMBER(SEARCH("Robust",D25)),ISNUMBER(SEARCH("Healthy",D25)),ISNUMBER(SEARCH("Low risk",D25)),ISNUMBER(SEARCH("PASS",D25)),ISNUMBER(SEARCH("Balanced",D25)),ISNUMBER(SEARCH("Ties",D25)),ISNUMBER(SEARCH("Acyclic",D25)),ISNUMBER(SEARCH("Present",D25)),ISNUMBER(SEARCH("Consistent",D25)),ISNUMBER(SEARCH("Positive",D25)))</formula>
    </cfRule>
    <cfRule type="expression" priority="2" dxfId="1" stopIfTrue="1">
      <formula>OR(ISNUMBER(SEARCH("Weak",D25)),ISNUMBER(SEARCH("Deteriorating",D25)),ISNUMBER(SEARCH("Compressing",D25)),ISNUMBER(SEARCH("Elevated",D25)),ISNUMBER(SEARCH("Stretched",D25)),ISNUMBER(SEARCH("Overvalued",D25)),ISNUMBER(SEARCH("Value-destroying",D25)),ISNUMBER(SEARCH("Severe",D25)),ISNUMBER(SEARCH("High risk",D25)),ISNUMBER(SEARCH("Negative",D25)),ISNUMBER(SEARCH("Breach",D25)),ISNUMBER(SEARCH("FAIL",D25)),ISNUMBER(SEARCH("Imbalanced",D25)),ISNUMBER(SEARCH("Outlier",D25)),ISNUMBER(SEARCH("Missing",D25)))</formula>
    </cfRule>
    <cfRule type="expression" priority="3" dxfId="2" stopIfTrue="1">
      <formula>OR(ISNUMBER(SEARCH("Moderate",D25)),ISNUMBER(SEARCH("Caution",D25)),ISNUMBER(SEARCH("Decelerating",D25)),ISNUMBER(SEARCH("Watch",D25)),ISNUMBER(SEARCH("Partial",D25)),ISNUMBER(SEARCH("Thin",D25)),ISNUMBER(SEARCH("REVIEW",D25)),ISNUMBER(SEARCH("TV-heavy",D25)),ISNUMBER(SEARCH("Outside",D25)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5984"/>
    <outlinePr summaryBelow="1" summaryRight="1"/>
    <pageSetUpPr fitToPage="1"/>
  </sheetPr>
  <dimension ref="A1:H26"/>
  <sheetViews>
    <sheetView showGridLines="0" zoomScale="10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30" customHeight="1">
      <c r="A1" s="1" t="inlineStr">
        <is>
          <t>FORECAST</t>
        </is>
      </c>
    </row>
    <row r="2" ht="16" customHeight="1">
      <c r="A2" s="2" t="inlineStr">
        <is>
          <t>Driver-based operating forecast &amp; unlevered free cash flow</t>
        </is>
      </c>
    </row>
    <row r="3">
      <c r="A3" s="11" t="inlineStr">
        <is>
          <t>Investment-Grade Company Analysis Engine  ·  v1.0</t>
        </is>
      </c>
    </row>
    <row r="4">
      <c r="A4" s="3" t="inlineStr">
        <is>
          <t>Active scenario:</t>
        </is>
      </c>
      <c r="B4" s="4">
        <f>'Assumptions'!$G$6</f>
        <v/>
      </c>
      <c r="H4" s="11" t="inlineStr">
        <is>
          <t>All figures in USD millions unless stated.</t>
        </is>
      </c>
    </row>
    <row r="6">
      <c r="A6" s="24" t="inlineStr">
        <is>
          <t>Forecast line item</t>
        </is>
      </c>
      <c r="B6" s="25">
        <f>"FY—0 (base)"</f>
        <v/>
      </c>
      <c r="C6" s="25" t="inlineStr">
        <is>
          <t>Year +1</t>
        </is>
      </c>
      <c r="D6" s="25" t="inlineStr">
        <is>
          <t>Year +2</t>
        </is>
      </c>
      <c r="E6" s="25" t="inlineStr">
        <is>
          <t>Year +3</t>
        </is>
      </c>
      <c r="F6" s="25" t="inlineStr">
        <is>
          <t>Year +4</t>
        </is>
      </c>
      <c r="G6" s="25" t="inlineStr">
        <is>
          <t>Year +5</t>
        </is>
      </c>
      <c r="H6" s="24" t="inlineStr">
        <is>
          <t>Driver / logic</t>
        </is>
      </c>
    </row>
    <row r="7">
      <c r="A7" s="3" t="inlineStr">
        <is>
          <t>Revenue growth</t>
        </is>
      </c>
      <c r="B7" s="38">
        <f>'Historical'!$F$8</f>
        <v/>
      </c>
      <c r="C7" s="32">
        <f>'Assumptions'!$B$34+('Assumptions'!$B$35-'Assumptions'!$B$34)*0.000000</f>
        <v/>
      </c>
      <c r="D7" s="32">
        <f>'Assumptions'!$B$34+('Assumptions'!$B$35-'Assumptions'!$B$34)*0.250000</f>
        <v/>
      </c>
      <c r="E7" s="32">
        <f>'Assumptions'!$B$34+('Assumptions'!$B$35-'Assumptions'!$B$34)*0.500000</f>
        <v/>
      </c>
      <c r="F7" s="32">
        <f>'Assumptions'!$B$34+('Assumptions'!$B$35-'Assumptions'!$B$34)*0.750000</f>
        <v/>
      </c>
      <c r="G7" s="32">
        <f>'Assumptions'!$B$34+('Assumptions'!$B$35-'Assumptions'!$B$34)*1.000000</f>
        <v/>
      </c>
      <c r="H7" s="11" t="inlineStr">
        <is>
          <t>Linear fade from start growth to terminal growth.</t>
        </is>
      </c>
    </row>
    <row r="8">
      <c r="A8" s="12" t="inlineStr">
        <is>
          <t>Revenue</t>
        </is>
      </c>
      <c r="B8" s="49">
        <f>'Inputs'!$F$33</f>
        <v/>
      </c>
      <c r="C8" s="29">
        <f>'Forecast'!$B$8*(1+'Forecast'!$C$7)</f>
        <v/>
      </c>
      <c r="D8" s="29">
        <f>'Forecast'!$C$8*(1+'Forecast'!$D$7)</f>
        <v/>
      </c>
      <c r="E8" s="29">
        <f>'Forecast'!$D$8*(1+'Forecast'!$E$7)</f>
        <v/>
      </c>
      <c r="F8" s="29">
        <f>'Forecast'!$E$8*(1+'Forecast'!$F$7)</f>
        <v/>
      </c>
      <c r="G8" s="29">
        <f>'Forecast'!$F$8*(1+'Forecast'!$G$7)</f>
        <v/>
      </c>
      <c r="H8" s="11" t="inlineStr">
        <is>
          <t>Compounds off the last actual by the growth path.</t>
        </is>
      </c>
    </row>
    <row r="9">
      <c r="A9" s="3" t="inlineStr">
        <is>
          <t>EBIT margin</t>
        </is>
      </c>
      <c r="B9" s="38">
        <f>IF(ISNUMBER('Historical'!$F$19),'Historical'!$F$19,'Assumptions'!$B$36)</f>
        <v/>
      </c>
      <c r="C9" s="32">
        <f>'Forecast'!$B$9+('Assumptions'!$B$36-'Forecast'!$B$9)*0.200000</f>
        <v/>
      </c>
      <c r="D9" s="32">
        <f>'Forecast'!$B$9+('Assumptions'!$B$36-'Forecast'!$B$9)*0.400000</f>
        <v/>
      </c>
      <c r="E9" s="32">
        <f>'Forecast'!$B$9+('Assumptions'!$B$36-'Forecast'!$B$9)*0.600000</f>
        <v/>
      </c>
      <c r="F9" s="32">
        <f>'Forecast'!$B$9+('Assumptions'!$B$36-'Forecast'!$B$9)*0.800000</f>
        <v/>
      </c>
      <c r="G9" s="32">
        <f>'Forecast'!$B$9+('Assumptions'!$B$36-'Forecast'!$B$9)*1.000000</f>
        <v/>
      </c>
      <c r="H9" s="11" t="inlineStr">
        <is>
          <t>Linear fade from last-actual margin to terminal target.</t>
        </is>
      </c>
    </row>
    <row r="10">
      <c r="A10" s="12" t="inlineStr">
        <is>
          <t>EBIT (operating profit)</t>
        </is>
      </c>
      <c r="B10" s="49">
        <f>'Inputs'!$F$39</f>
        <v/>
      </c>
      <c r="C10" s="50">
        <f>'Forecast'!$C$8*'Forecast'!$C$9</f>
        <v/>
      </c>
      <c r="D10" s="50">
        <f>'Forecast'!$D$8*'Forecast'!$D$9</f>
        <v/>
      </c>
      <c r="E10" s="50">
        <f>'Forecast'!$E$8*'Forecast'!$E$9</f>
        <v/>
      </c>
      <c r="F10" s="50">
        <f>'Forecast'!$F$8*'Forecast'!$F$9</f>
        <v/>
      </c>
      <c r="G10" s="50">
        <f>'Forecast'!$G$8*'Forecast'!$G$9</f>
        <v/>
      </c>
      <c r="H10" s="11" t="inlineStr">
        <is>
          <t>Revenue × EBIT margin.</t>
        </is>
      </c>
    </row>
    <row r="11">
      <c r="A11" s="3" t="inlineStr">
        <is>
          <t>(+) Depreciation &amp; amortisation</t>
        </is>
      </c>
      <c r="B11" s="28">
        <f>'Inputs'!$F$40</f>
        <v/>
      </c>
      <c r="C11" s="27">
        <f>'Forecast'!$C$8*'Assumptions'!$B$25</f>
        <v/>
      </c>
      <c r="D11" s="27">
        <f>'Forecast'!$D$8*'Assumptions'!$B$25</f>
        <v/>
      </c>
      <c r="E11" s="27">
        <f>'Forecast'!$E$8*'Assumptions'!$B$25</f>
        <v/>
      </c>
      <c r="F11" s="27">
        <f>'Forecast'!$F$8*'Assumptions'!$B$25</f>
        <v/>
      </c>
      <c r="G11" s="27">
        <f>'Forecast'!$G$8*'Assumptions'!$B$25</f>
        <v/>
      </c>
      <c r="H11" s="11" t="inlineStr">
        <is>
          <t>Revenue × D&amp;A intensity (historical average).</t>
        </is>
      </c>
    </row>
    <row r="12">
      <c r="A12" s="12" t="inlineStr">
        <is>
          <t>EBITDA</t>
        </is>
      </c>
      <c r="B12" s="49">
        <f>'Inputs'!$F$41</f>
        <v/>
      </c>
      <c r="C12" s="50">
        <f>'Forecast'!$C$10+'Forecast'!$C$11</f>
        <v/>
      </c>
      <c r="D12" s="50">
        <f>'Forecast'!$D$10+'Forecast'!$D$11</f>
        <v/>
      </c>
      <c r="E12" s="50">
        <f>'Forecast'!$E$10+'Forecast'!$E$11</f>
        <v/>
      </c>
      <c r="F12" s="50">
        <f>'Forecast'!$F$10+'Forecast'!$F$11</f>
        <v/>
      </c>
      <c r="G12" s="50">
        <f>'Forecast'!$G$10+'Forecast'!$G$11</f>
        <v/>
      </c>
      <c r="H12" s="11" t="inlineStr">
        <is>
          <t>EBIT + D&amp;A.</t>
        </is>
      </c>
    </row>
    <row r="14" ht="20" customHeight="1">
      <c r="A14" s="5" t="inlineStr">
        <is>
          <t>Unlevered Free Cash Flow</t>
        </is>
      </c>
    </row>
    <row r="15">
      <c r="A15" s="3" t="inlineStr">
        <is>
          <t>EBIT (operating profit)</t>
        </is>
      </c>
      <c r="C15" s="28">
        <f>'Forecast'!$C$10</f>
        <v/>
      </c>
      <c r="D15" s="28">
        <f>'Forecast'!$D$10</f>
        <v/>
      </c>
      <c r="E15" s="28">
        <f>'Forecast'!$E$10</f>
        <v/>
      </c>
      <c r="F15" s="28">
        <f>'Forecast'!$F$10</f>
        <v/>
      </c>
      <c r="G15" s="28">
        <f>'Forecast'!$G$10</f>
        <v/>
      </c>
    </row>
    <row r="16">
      <c r="A16" s="3" t="inlineStr">
        <is>
          <t>(−) Cash tax on EBIT</t>
        </is>
      </c>
      <c r="C16" s="27">
        <f>-'Forecast'!$C$10*'Assumptions'!$B$28</f>
        <v/>
      </c>
      <c r="D16" s="27">
        <f>-'Forecast'!$D$10*'Assumptions'!$B$28</f>
        <v/>
      </c>
      <c r="E16" s="27">
        <f>-'Forecast'!$E$10*'Assumptions'!$B$28</f>
        <v/>
      </c>
      <c r="F16" s="27">
        <f>-'Forecast'!$F$10*'Assumptions'!$B$28</f>
        <v/>
      </c>
      <c r="G16" s="27">
        <f>-'Forecast'!$G$10*'Assumptions'!$B$28</f>
        <v/>
      </c>
      <c r="H16" s="11" t="inlineStr">
        <is>
          <t>EBIT × marginal tax rate (unlevered, so no interest tax shield here).</t>
        </is>
      </c>
    </row>
    <row r="17">
      <c r="A17" s="12" t="inlineStr">
        <is>
          <t>NOPAT</t>
        </is>
      </c>
      <c r="C17" s="50">
        <f>'Forecast'!$C$10*(1-'Assumptions'!$B$28)</f>
        <v/>
      </c>
      <c r="D17" s="50">
        <f>'Forecast'!$D$10*(1-'Assumptions'!$B$28)</f>
        <v/>
      </c>
      <c r="E17" s="50">
        <f>'Forecast'!$E$10*(1-'Assumptions'!$B$28)</f>
        <v/>
      </c>
      <c r="F17" s="50">
        <f>'Forecast'!$F$10*(1-'Assumptions'!$B$28)</f>
        <v/>
      </c>
      <c r="G17" s="50">
        <f>'Forecast'!$G$10*(1-'Assumptions'!$B$28)</f>
        <v/>
      </c>
      <c r="H17" s="11" t="inlineStr">
        <is>
          <t>Net operating profit after tax = EBIT × (1 − tax).</t>
        </is>
      </c>
    </row>
    <row r="18">
      <c r="A18" s="3" t="inlineStr">
        <is>
          <t>(+) Depreciation &amp; amortisation</t>
        </is>
      </c>
      <c r="C18" s="27">
        <f>'Forecast'!$C$11</f>
        <v/>
      </c>
      <c r="D18" s="27">
        <f>'Forecast'!$D$11</f>
        <v/>
      </c>
      <c r="E18" s="27">
        <f>'Forecast'!$E$11</f>
        <v/>
      </c>
      <c r="F18" s="27">
        <f>'Forecast'!$F$11</f>
        <v/>
      </c>
      <c r="G18" s="27">
        <f>'Forecast'!$G$11</f>
        <v/>
      </c>
      <c r="H18" s="11" t="inlineStr">
        <is>
          <t>Non-cash; added back.</t>
        </is>
      </c>
    </row>
    <row r="19">
      <c r="A19" s="3" t="inlineStr">
        <is>
          <t>(−) Capital expenditure</t>
        </is>
      </c>
      <c r="C19" s="27">
        <f>-'Forecast'!$C$8*'Assumptions'!$B$26</f>
        <v/>
      </c>
      <c r="D19" s="27">
        <f>-'Forecast'!$D$8*'Assumptions'!$B$26</f>
        <v/>
      </c>
      <c r="E19" s="27">
        <f>-'Forecast'!$E$8*'Assumptions'!$B$26</f>
        <v/>
      </c>
      <c r="F19" s="27">
        <f>-'Forecast'!$F$8*'Assumptions'!$B$26</f>
        <v/>
      </c>
      <c r="G19" s="27">
        <f>-'Forecast'!$G$8*'Assumptions'!$B$26</f>
        <v/>
      </c>
      <c r="H19" s="11" t="inlineStr">
        <is>
          <t>Revenue × capex intensity (historical average).</t>
        </is>
      </c>
    </row>
    <row r="20">
      <c r="A20" s="3" t="inlineStr">
        <is>
          <t>(−) Increase in net working capital</t>
        </is>
      </c>
      <c r="C20" s="27">
        <f>-'Assumptions'!$B$27*('Forecast'!$C$8-'Forecast'!$B$8)</f>
        <v/>
      </c>
      <c r="D20" s="27">
        <f>-'Assumptions'!$B$27*('Forecast'!$D$8-'Forecast'!$C$8)</f>
        <v/>
      </c>
      <c r="E20" s="27">
        <f>-'Assumptions'!$B$27*('Forecast'!$E$8-'Forecast'!$D$8)</f>
        <v/>
      </c>
      <c r="F20" s="27">
        <f>-'Assumptions'!$B$27*('Forecast'!$F$8-'Forecast'!$E$8)</f>
        <v/>
      </c>
      <c r="G20" s="27">
        <f>-'Assumptions'!$B$27*('Forecast'!$G$8-'Forecast'!$F$8)</f>
        <v/>
      </c>
      <c r="H20" s="11" t="inlineStr">
        <is>
          <t>WC % × change in revenue; cash use when revenue grows.</t>
        </is>
      </c>
    </row>
    <row r="21">
      <c r="A21" s="12" t="inlineStr">
        <is>
          <t>Unlevered free cash flow (FCFF)</t>
        </is>
      </c>
      <c r="C21" s="50">
        <f>'Forecast'!$C$17+'Forecast'!$C$18+'Forecast'!$C$19+'Forecast'!$C$20</f>
        <v/>
      </c>
      <c r="D21" s="50">
        <f>'Forecast'!$D$17+'Forecast'!$D$18+'Forecast'!$D$19+'Forecast'!$D$20</f>
        <v/>
      </c>
      <c r="E21" s="50">
        <f>'Forecast'!$E$17+'Forecast'!$E$18+'Forecast'!$E$19+'Forecast'!$E$20</f>
        <v/>
      </c>
      <c r="F21" s="50">
        <f>'Forecast'!$F$17+'Forecast'!$F$18+'Forecast'!$F$19+'Forecast'!$F$20</f>
        <v/>
      </c>
      <c r="G21" s="50">
        <f>'Forecast'!$G$17+'Forecast'!$G$18+'Forecast'!$G$19+'Forecast'!$G$20</f>
        <v/>
      </c>
      <c r="H21" s="11" t="inlineStr">
        <is>
          <t>NOPAT + D&amp;A − Capex − ΔWC. Discounted on the DCF sheet.</t>
        </is>
      </c>
    </row>
    <row r="23" ht="20" customHeight="1">
      <c r="A23" s="5" t="inlineStr">
        <is>
          <t>Forecast Method</t>
        </is>
      </c>
    </row>
    <row r="24">
      <c r="A24" s="20" t="inlineStr">
        <is>
          <t>Revenue method: trend + mean-reversion (growth fades from FY—0 drivers to the long-run rate). If unit volume and price are entered on Inputs, a bottom-up volume × price override can be used instead. Operating costs, capex, D&amp;A and working capital are tied to revenue, so the forecast is driver-based rather than a flat assumption.</t>
        </is>
      </c>
    </row>
    <row r="25"/>
    <row r="26"/>
  </sheetData>
  <mergeCells count="6">
    <mergeCell ref="A3:H3"/>
    <mergeCell ref="A2:H2"/>
    <mergeCell ref="A24:H26"/>
    <mergeCell ref="A14:H14"/>
    <mergeCell ref="A1:H1"/>
    <mergeCell ref="A23:H23"/>
  </mergeCells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H45"/>
  <sheetViews>
    <sheetView showGridLines="0" zoomScale="10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0" customWidth="1" min="8" max="8"/>
  </cols>
  <sheetData>
    <row r="1" ht="30" customHeight="1">
      <c r="A1" s="1" t="inlineStr">
        <is>
          <t>DCF VALUATION</t>
        </is>
      </c>
    </row>
    <row r="2" ht="16" customHeight="1">
      <c r="A2" s="2" t="inlineStr">
        <is>
          <t>Discounted unlevered free cash flow — every step shown</t>
        </is>
      </c>
    </row>
    <row r="3">
      <c r="A3" s="11" t="inlineStr">
        <is>
          <t>Investment-Grade Company Analysis Engine  ·  v1.0</t>
        </is>
      </c>
    </row>
    <row r="4">
      <c r="A4" s="3" t="inlineStr">
        <is>
          <t>Active scenario:</t>
        </is>
      </c>
      <c r="B4" s="4">
        <f>'Assumptions'!$G$6</f>
        <v/>
      </c>
      <c r="H4" s="11" t="inlineStr">
        <is>
          <t>All figures in USD millions unless stated.</t>
        </is>
      </c>
    </row>
    <row r="6" ht="20" customHeight="1">
      <c r="A6" s="5" t="inlineStr">
        <is>
          <t>1 · Present Value of Explicit Free Cash Flows</t>
        </is>
      </c>
    </row>
    <row r="7">
      <c r="A7" s="24" t="inlineStr">
        <is>
          <t>Forecast year</t>
        </is>
      </c>
      <c r="B7" s="25" t="inlineStr">
        <is>
          <t>Year +1</t>
        </is>
      </c>
      <c r="C7" s="25" t="inlineStr">
        <is>
          <t>Year +2</t>
        </is>
      </c>
      <c r="D7" s="25" t="inlineStr">
        <is>
          <t>Year +3</t>
        </is>
      </c>
      <c r="E7" s="25" t="inlineStr">
        <is>
          <t>Year +4</t>
        </is>
      </c>
      <c r="F7" s="25" t="inlineStr">
        <is>
          <t>Year +5</t>
        </is>
      </c>
      <c r="G7" s="25" t="inlineStr">
        <is>
          <t>Total</t>
        </is>
      </c>
    </row>
    <row r="8">
      <c r="A8" s="3" t="inlineStr">
        <is>
          <t>Unlevered FCF (FCFF)</t>
        </is>
      </c>
      <c r="B8" s="28">
        <f>'Forecast'!$C$21</f>
        <v/>
      </c>
      <c r="C8" s="28">
        <f>'Forecast'!$D$21</f>
        <v/>
      </c>
      <c r="D8" s="28">
        <f>'Forecast'!$E$21</f>
        <v/>
      </c>
      <c r="E8" s="28">
        <f>'Forecast'!$F$21</f>
        <v/>
      </c>
      <c r="F8" s="28">
        <f>'Forecast'!$G$21</f>
        <v/>
      </c>
    </row>
    <row r="9">
      <c r="A9" s="3" t="inlineStr">
        <is>
          <t>Discount period (years)</t>
        </is>
      </c>
      <c r="B9" s="51" t="n">
        <v>1</v>
      </c>
      <c r="C9" s="51" t="n">
        <v>2</v>
      </c>
      <c r="D9" s="51" t="n">
        <v>3</v>
      </c>
      <c r="E9" s="51" t="n">
        <v>4</v>
      </c>
      <c r="F9" s="51" t="n">
        <v>5</v>
      </c>
      <c r="H9" s="11" t="inlineStr">
        <is>
          <t>End-of-year discounting convention.</t>
        </is>
      </c>
    </row>
    <row r="10">
      <c r="A10" s="3" t="inlineStr">
        <is>
          <t>Discount factor = 1/(1+WACC)^t</t>
        </is>
      </c>
      <c r="B10" s="52">
        <f>1/(1+'WACC'!$B$24)^'DCF'!$B$9</f>
        <v/>
      </c>
      <c r="C10" s="52">
        <f>1/(1+'WACC'!$B$24)^'DCF'!$C$9</f>
        <v/>
      </c>
      <c r="D10" s="52">
        <f>1/(1+'WACC'!$B$24)^'DCF'!$D$9</f>
        <v/>
      </c>
      <c r="E10" s="52">
        <f>1/(1+'WACC'!$B$24)^'DCF'!$E$9</f>
        <v/>
      </c>
      <c r="F10" s="52">
        <f>1/(1+'WACC'!$B$24)^'DCF'!$F$9</f>
        <v/>
      </c>
    </row>
    <row r="11">
      <c r="A11" s="12" t="inlineStr">
        <is>
          <t>PV of FCFF</t>
        </is>
      </c>
      <c r="B11" s="29">
        <f>'Forecast'!$C$21*'DCF'!$B$10</f>
        <v/>
      </c>
      <c r="C11" s="29">
        <f>'Forecast'!$D$21*'DCF'!$C$10</f>
        <v/>
      </c>
      <c r="D11" s="29">
        <f>'Forecast'!$E$21*'DCF'!$D$10</f>
        <v/>
      </c>
      <c r="E11" s="29">
        <f>'Forecast'!$F$21*'DCF'!$E$10</f>
        <v/>
      </c>
      <c r="F11" s="29">
        <f>'Forecast'!$G$21*'DCF'!$F$10</f>
        <v/>
      </c>
      <c r="G11" s="50">
        <f>SUM($B$11:$F$11)</f>
        <v/>
      </c>
      <c r="H11" s="11" t="inlineStr">
        <is>
          <t>Sum of discounted explicit-period cash flows.</t>
        </is>
      </c>
    </row>
    <row r="13" ht="20" customHeight="1">
      <c r="A13" s="5" t="inlineStr">
        <is>
          <t>2 · Terminal Value</t>
        </is>
      </c>
    </row>
    <row r="14">
      <c r="A14" s="53" t="inlineStr">
        <is>
          <t>— Method A: Perpetuity growth (Gordon) —</t>
        </is>
      </c>
    </row>
    <row r="15">
      <c r="A15" s="3" t="inlineStr">
        <is>
          <t>Terminal-year FCFF (year N)</t>
        </is>
      </c>
      <c r="B15" s="27">
        <f>'Forecast'!$G$21</f>
        <v/>
      </c>
      <c r="H15" s="11" t="inlineStr">
        <is>
          <t>Last explicit-year unlevered cash flow.</t>
        </is>
      </c>
    </row>
    <row r="16">
      <c r="A16" s="3" t="inlineStr">
        <is>
          <t>Terminal growth (g)</t>
        </is>
      </c>
      <c r="B16" s="32">
        <f>'Assumptions'!$B$35</f>
        <v/>
      </c>
      <c r="H16" s="11" t="inlineStr">
        <is>
          <t>Perpetuity growth, from active assumptions.</t>
        </is>
      </c>
    </row>
    <row r="17">
      <c r="A17" s="3" t="inlineStr">
        <is>
          <t>WACC</t>
        </is>
      </c>
      <c r="B17" s="32">
        <f>'WACC'!$B$24</f>
        <v/>
      </c>
      <c r="H17" s="11" t="inlineStr">
        <is>
          <t>From the WACC sheet.</t>
        </is>
      </c>
    </row>
    <row r="18">
      <c r="A18" s="12" t="inlineStr">
        <is>
          <t>Terminal value at year N = FCFF×(1+g)/(WACC−g)</t>
        </is>
      </c>
      <c r="B18" s="50">
        <f>IFERROR('DCF'!$B$15*(1+'DCF'!$B$16)/('DCF'!$B$17-'DCF'!$B$16),"n/m")</f>
        <v/>
      </c>
      <c r="H18" s="11" t="inlineStr">
        <is>
          <t>Gordon growth perpetuity, valued as of year N.</t>
        </is>
      </c>
    </row>
    <row r="19">
      <c r="A19" s="12" t="inlineStr">
        <is>
          <t>PV of terminal value</t>
        </is>
      </c>
      <c r="B19" s="50">
        <f>'DCF'!$B$18*'DCF'!$F$10</f>
        <v/>
      </c>
      <c r="H19" s="11" t="inlineStr">
        <is>
          <t>Terminal value discounted to today.</t>
        </is>
      </c>
    </row>
    <row r="21">
      <c r="A21" s="53" t="inlineStr">
        <is>
          <t>— Method B: Exit multiple (cross-check only) —</t>
        </is>
      </c>
    </row>
    <row r="22">
      <c r="A22" s="3" t="inlineStr">
        <is>
          <t>Terminal-year EBITDA</t>
        </is>
      </c>
      <c r="B22" s="27">
        <f>'Forecast'!$G$12</f>
        <v/>
      </c>
      <c r="H22" s="11" t="inlineStr">
        <is>
          <t>Year-N EBITDA from the forecast.</t>
        </is>
      </c>
    </row>
    <row r="23">
      <c r="A23" s="3" t="inlineStr">
        <is>
          <t>Exit EBITDA multiple</t>
        </is>
      </c>
      <c r="B23" s="54">
        <f>'Assumptions'!$B$29</f>
        <v/>
      </c>
      <c r="H23" s="11" t="inlineStr">
        <is>
          <t>Generic assumption; not used in the headline value.</t>
        </is>
      </c>
    </row>
    <row r="24">
      <c r="A24" s="3" t="inlineStr">
        <is>
          <t>TV (exit multiple) at year N</t>
        </is>
      </c>
      <c r="B24" s="27">
        <f>'DCF'!$B$22*'DCF'!$B$23</f>
        <v/>
      </c>
      <c r="H24" s="11" t="inlineStr">
        <is>
          <t>Sanity check against the perpetuity TV.</t>
        </is>
      </c>
    </row>
    <row r="25">
      <c r="A25" s="3" t="inlineStr">
        <is>
          <t>PV of TV (exit multiple)</t>
        </is>
      </c>
      <c r="B25" s="27">
        <f>'DCF'!$B$24*'DCF'!$F$10</f>
        <v/>
      </c>
      <c r="H25" s="11" t="inlineStr">
        <is>
          <t>For comparison with the perpetuity PV of TV.</t>
        </is>
      </c>
    </row>
    <row r="28" ht="20" customHeight="1">
      <c r="A28" s="5" t="inlineStr">
        <is>
          <t>3 · Enterprise Value → Equity Value → Per Share</t>
        </is>
      </c>
    </row>
    <row r="29">
      <c r="A29" s="3" t="inlineStr">
        <is>
          <t>Σ PV of explicit FCFF</t>
        </is>
      </c>
      <c r="B29" s="27">
        <f>'DCF'!$G$11</f>
        <v/>
      </c>
      <c r="H29" s="11" t="inlineStr">
        <is>
          <t>From section 1.</t>
        </is>
      </c>
    </row>
    <row r="30">
      <c r="A30" s="3" t="inlineStr">
        <is>
          <t>(+) PV of terminal value</t>
        </is>
      </c>
      <c r="B30" s="27">
        <f>'DCF'!$B$19</f>
        <v/>
      </c>
      <c r="H30" s="11" t="inlineStr">
        <is>
          <t>Perpetuity method (section 2A).</t>
        </is>
      </c>
    </row>
    <row r="31">
      <c r="A31" s="12" t="inlineStr">
        <is>
          <t>Enterprise value (EV)</t>
        </is>
      </c>
      <c r="B31" s="50">
        <f>'DCF'!$B$29+'DCF'!$B$30</f>
        <v/>
      </c>
      <c r="H31" s="11" t="inlineStr">
        <is>
          <t>Value of the operating business to all capital providers.</t>
        </is>
      </c>
    </row>
    <row r="32">
      <c r="A32" s="3" t="inlineStr">
        <is>
          <t>(−) Net debt</t>
        </is>
      </c>
      <c r="B32" s="27">
        <f>-'Historical'!$F$46</f>
        <v/>
      </c>
      <c r="H32" s="11" t="inlineStr">
        <is>
          <t>Total debt less cash &amp; investments (latest balance sheet).</t>
        </is>
      </c>
    </row>
    <row r="33">
      <c r="A33" s="3" t="inlineStr">
        <is>
          <t>(−) Minority interest</t>
        </is>
      </c>
      <c r="B33" s="27">
        <f>-'Inputs'!$F$72</f>
        <v/>
      </c>
      <c r="H33" s="11" t="inlineStr">
        <is>
          <t>Equity not attributable to shareholders.</t>
        </is>
      </c>
    </row>
    <row r="34">
      <c r="A34" s="12" t="inlineStr">
        <is>
          <t>Equity value</t>
        </is>
      </c>
      <c r="B34" s="50">
        <f>'DCF'!$B$31+'DCF'!$B$32+'DCF'!$B$33</f>
        <v/>
      </c>
      <c r="H34" s="11" t="inlineStr">
        <is>
          <t>Intrinsic value attributable to shareholders.</t>
        </is>
      </c>
    </row>
    <row r="35">
      <c r="A35" s="3" t="inlineStr">
        <is>
          <t>Shares outstanding</t>
        </is>
      </c>
      <c r="B35" s="55">
        <f>IF(ISNUMBER('Inputs'!$B$113),'Inputs'!$B$113,'Inputs'!$F$96)</f>
        <v/>
      </c>
      <c r="H35" s="11" t="inlineStr">
        <is>
          <t>Current shares; falls back to diluted weighted-average.</t>
        </is>
      </c>
    </row>
    <row r="36">
      <c r="A36" s="12" t="inlineStr">
        <is>
          <t>Implied value per share</t>
        </is>
      </c>
      <c r="B36" s="6">
        <f>IF(AND(ISNUMBER('DCF'!$B$34),ISNUMBER('DCF'!$B$35),'DCF'!$B$35&lt;&gt;0),'DCF'!$B$34/'DCF'!$B$35,"n/m")</f>
        <v/>
      </c>
      <c r="H36" s="11" t="inlineStr">
        <is>
          <t>Headline DCF output.</t>
        </is>
      </c>
    </row>
    <row r="38" ht="20" customHeight="1">
      <c r="A38" s="5" t="inlineStr">
        <is>
          <t>4 · Cross-Checks &amp; Valuation Read</t>
        </is>
      </c>
    </row>
    <row r="39">
      <c r="A39" s="3" t="inlineStr">
        <is>
          <t>Current share price</t>
        </is>
      </c>
      <c r="B39" s="7">
        <f>'Inputs'!$B$112</f>
        <v/>
      </c>
      <c r="H39" s="11" t="inlineStr">
        <is>
          <t>Market reference input (blank if unknown).</t>
        </is>
      </c>
    </row>
    <row r="40">
      <c r="A40" s="12" t="inlineStr">
        <is>
          <t>Upside / (downside) to DCF value</t>
        </is>
      </c>
      <c r="B40" s="9">
        <f>IFERROR('DCF'!$B$36/'DCF'!$B$39-1,"n/a")</f>
        <v/>
      </c>
      <c r="H40" s="11" t="inlineStr">
        <is>
          <t>How far the price sits from intrinsic value.</t>
        </is>
      </c>
    </row>
    <row r="41">
      <c r="A41" s="12" t="inlineStr">
        <is>
          <t>Valuation read</t>
        </is>
      </c>
      <c r="B41" s="4">
        <f>IF(NOT(AND(ISNUMBER('DCF'!$B$36),ISNUMBER('DCF'!$B$39),'DCF'!$B$39&gt;0)),"n/a",IF('DCF'!$B$36&gt;'DCF'!$B$39*(1+0.15),"Undervalued",IF('DCF'!$B$36&lt;'DCF'!$B$39*(1-0.15),"Overvalued","Fairly valued")))</f>
        <v/>
      </c>
      <c r="H41" s="11" t="inlineStr">
        <is>
          <t>±15% band around the price defines 'fairly valued'.</t>
        </is>
      </c>
    </row>
    <row r="43">
      <c r="A43" s="3" t="inlineStr">
        <is>
          <t>Terminal value as % of EV</t>
        </is>
      </c>
      <c r="B43" s="32">
        <f>IF(AND(ISNUMBER('DCF'!$B$30),ISNUMBER('DCF'!$B$31),'DCF'!$B$31&lt;&gt;0),'DCF'!$B$30/'DCF'!$B$31,"n/m")</f>
        <v/>
      </c>
      <c r="H43" s="11">
        <f>IF('DCF'!$B$43&gt;0.8,"TV-heavy — scrutinise terminal assumptions","Reasonable split between explicit and terminal value")</f>
        <v/>
      </c>
    </row>
    <row r="44">
      <c r="A44" s="3" t="inlineStr">
        <is>
          <t>Implied exit multiple (from perpetuity TV)</t>
        </is>
      </c>
      <c r="B44" s="54">
        <f>IF(AND(ISNUMBER('DCF'!$B$18),ISNUMBER('DCF'!$B$22),'DCF'!$B$22&lt;&gt;0),'DCF'!$B$18/'DCF'!$B$22,"n/m")</f>
        <v/>
      </c>
      <c r="H44" s="11" t="inlineStr">
        <is>
          <t>Cross-check: compare with the assumed exit multiple above.</t>
        </is>
      </c>
    </row>
    <row r="45">
      <c r="A45" s="3" t="inlineStr">
        <is>
          <t>EV / next-year EBITDA</t>
        </is>
      </c>
      <c r="B45" s="54">
        <f>IF(AND(ISNUMBER('DCF'!$B$31),ISNUMBER('Forecast'!$C$12),'Forecast'!$C$12&lt;&gt;0),'DCF'!$B$31/'Forecast'!$C$12,"n/m")</f>
        <v/>
      </c>
      <c r="H45" s="11" t="inlineStr">
        <is>
          <t>Forward valuation multiple implied by the DCF.</t>
        </is>
      </c>
    </row>
  </sheetData>
  <mergeCells count="10">
    <mergeCell ref="A3:H3"/>
    <mergeCell ref="A21:H21"/>
    <mergeCell ref="B41:D41"/>
    <mergeCell ref="A38:H38"/>
    <mergeCell ref="A2:H2"/>
    <mergeCell ref="A28:H28"/>
    <mergeCell ref="A13:H13"/>
    <mergeCell ref="A14:H14"/>
    <mergeCell ref="A1:H1"/>
    <mergeCell ref="A6:H6"/>
  </mergeCells>
  <conditionalFormatting sqref="B41">
    <cfRule type="expression" priority="1" dxfId="0" stopIfTrue="1">
      <formula>OR(ISNUMBER(SEARCH("Strong",B41)),ISNUMBER(SEARCH("Improving",B41)),ISNUMBER(SEARCH("Expanding",B41)),ISNUMBER(SEARCH("Accelerating",B41)),ISNUMBER(SEARCH("Conservative",B41)),ISNUMBER(SEARCH("Undervalued",B41)),ISNUMBER(SEARCH("Value-creating",B41)),ISNUMBER(SEARCH("Robust",B41)),ISNUMBER(SEARCH("Healthy",B41)),ISNUMBER(SEARCH("Low risk",B41)),ISNUMBER(SEARCH("PASS",B41)),ISNUMBER(SEARCH("Balanced",B41)),ISNUMBER(SEARCH("Ties",B41)),ISNUMBER(SEARCH("Acyclic",B41)),ISNUMBER(SEARCH("Present",B41)),ISNUMBER(SEARCH("Consistent",B41)),ISNUMBER(SEARCH("Positive",B41)))</formula>
    </cfRule>
    <cfRule type="expression" priority="2" dxfId="1" stopIfTrue="1">
      <formula>OR(ISNUMBER(SEARCH("Weak",B41)),ISNUMBER(SEARCH("Deteriorating",B41)),ISNUMBER(SEARCH("Compressing",B41)),ISNUMBER(SEARCH("Elevated",B41)),ISNUMBER(SEARCH("Stretched",B41)),ISNUMBER(SEARCH("Overvalued",B41)),ISNUMBER(SEARCH("Value-destroying",B41)),ISNUMBER(SEARCH("Severe",B41)),ISNUMBER(SEARCH("High risk",B41)),ISNUMBER(SEARCH("Negative",B41)),ISNUMBER(SEARCH("Breach",B41)),ISNUMBER(SEARCH("FAIL",B41)),ISNUMBER(SEARCH("Imbalanced",B41)),ISNUMBER(SEARCH("Outlier",B41)),ISNUMBER(SEARCH("Missing",B41)))</formula>
    </cfRule>
    <cfRule type="expression" priority="3" dxfId="2" stopIfTrue="1">
      <formula>OR(ISNUMBER(SEARCH("Moderate",B41)),ISNUMBER(SEARCH("Caution",B41)),ISNUMBER(SEARCH("Decelerating",B41)),ISNUMBER(SEARCH("Watch",B41)),ISNUMBER(SEARCH("Partial",B41)),ISNUMBER(SEARCH("Thin",B41)),ISNUMBER(SEARCH("REVIEW",B41)),ISNUMBER(SEARCH("TV-heavy",B41)),ISNUMBER(SEARCH("Outside",B41)))</formula>
    </cfRule>
  </conditionalFormatting>
  <conditionalFormatting sqref="H43">
    <cfRule type="expression" priority="4" dxfId="0" stopIfTrue="1">
      <formula>OR(ISNUMBER(SEARCH("Strong",H43)),ISNUMBER(SEARCH("Improving",H43)),ISNUMBER(SEARCH("Expanding",H43)),ISNUMBER(SEARCH("Accelerating",H43)),ISNUMBER(SEARCH("Conservative",H43)),ISNUMBER(SEARCH("Undervalued",H43)),ISNUMBER(SEARCH("Value-creating",H43)),ISNUMBER(SEARCH("Robust",H43)),ISNUMBER(SEARCH("Healthy",H43)),ISNUMBER(SEARCH("Low risk",H43)),ISNUMBER(SEARCH("PASS",H43)),ISNUMBER(SEARCH("Balanced",H43)),ISNUMBER(SEARCH("Ties",H43)),ISNUMBER(SEARCH("Acyclic",H43)),ISNUMBER(SEARCH("Present",H43)),ISNUMBER(SEARCH("Consistent",H43)),ISNUMBER(SEARCH("Positive",H43)))</formula>
    </cfRule>
    <cfRule type="expression" priority="5" dxfId="1" stopIfTrue="1">
      <formula>OR(ISNUMBER(SEARCH("Weak",H43)),ISNUMBER(SEARCH("Deteriorating",H43)),ISNUMBER(SEARCH("Compressing",H43)),ISNUMBER(SEARCH("Elevated",H43)),ISNUMBER(SEARCH("Stretched",H43)),ISNUMBER(SEARCH("Overvalued",H43)),ISNUMBER(SEARCH("Value-destroying",H43)),ISNUMBER(SEARCH("Severe",H43)),ISNUMBER(SEARCH("High risk",H43)),ISNUMBER(SEARCH("Negative",H43)),ISNUMBER(SEARCH("Breach",H43)),ISNUMBER(SEARCH("FAIL",H43)),ISNUMBER(SEARCH("Imbalanced",H43)),ISNUMBER(SEARCH("Outlier",H43)),ISNUMBER(SEARCH("Missing",H43)))</formula>
    </cfRule>
    <cfRule type="expression" priority="6" dxfId="2" stopIfTrue="1">
      <formula>OR(ISNUMBER(SEARCH("Moderate",H43)),ISNUMBER(SEARCH("Caution",H43)),ISNUMBER(SEARCH("Decelerating",H43)),ISNUMBER(SEARCH("Watch",H43)),ISNUMBER(SEARCH("Partial",H43)),ISNUMBER(SEARCH("Thin",H43)),ISNUMBER(SEARCH("REVIEW",H43)),ISNUMBER(SEARCH("TV-heavy",H43)),ISNUMBER(SEARCH("Outside",H43)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4A789C"/>
    <outlinePr summaryBelow="1" summaryRight="1"/>
    <pageSetUpPr fitToPage="1"/>
  </sheetPr>
  <dimension ref="A1:H33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SENSITIVITY ANALYSIS</t>
        </is>
      </c>
    </row>
    <row r="2" ht="16" customHeight="1">
      <c r="A2" s="2" t="inlineStr">
        <is>
          <t>Implied value per share across key assumptions</t>
        </is>
      </c>
    </row>
    <row r="3">
      <c r="A3" s="11" t="inlineStr">
        <is>
          <t>Investment-Grade Company Analysis Engine  ·  v1.0</t>
        </is>
      </c>
    </row>
    <row r="4">
      <c r="A4" s="11" t="inlineStr">
        <is>
          <t>Each cell recomputes the full valuation for its row/column pair. Centre cell (boxed) = active base case.</t>
        </is>
      </c>
    </row>
    <row r="6" ht="20" customHeight="1">
      <c r="A6" s="5" t="inlineStr">
        <is>
          <t>Table 1 · WACC (down) × Terminal growth g (across)</t>
        </is>
      </c>
    </row>
    <row r="7">
      <c r="A7" s="53" t="inlineStr">
        <is>
          <t>Value / share</t>
        </is>
      </c>
      <c r="B7" s="53" t="inlineStr"/>
      <c r="C7" s="56">
        <f>'Assumptions'!$B$35-0.01</f>
        <v/>
      </c>
      <c r="D7" s="56">
        <f>'Assumptions'!$B$35-0.005</f>
        <v/>
      </c>
      <c r="E7" s="56">
        <f>'Assumptions'!$B$35+0</f>
        <v/>
      </c>
      <c r="F7" s="56">
        <f>'Assumptions'!$B$35+0.005</f>
        <v/>
      </c>
      <c r="G7" s="56">
        <f>'Assumptions'!$B$35+0.01</f>
        <v/>
      </c>
    </row>
    <row r="8">
      <c r="B8" s="57">
        <f>'WACC'!$B$24-0.015</f>
        <v/>
      </c>
      <c r="C8" s="31">
        <f>IF($B$8-$C$7&lt;=0.005,"n/m",IFERROR(((('Forecast'!$C$21/(1+$B$8)^1+'Forecast'!$D$21/(1+$B$8)^2+'Forecast'!$E$21/(1+$B$8)^3+'Forecast'!$F$21/(1+$B$8)^4+'Forecast'!$G$21/(1+$B$8)^5)+('Forecast'!$G$21*(1+$C$7)/($B$8-$C$7))/(1+$B$8)^5)-'Historical'!$F$46-'Inputs'!$F$72)/'DCF'!$B$35,"n/m"))</f>
        <v/>
      </c>
      <c r="D8" s="31">
        <f>IF($B$8-$D$7&lt;=0.005,"n/m",IFERROR(((('Forecast'!$C$21/(1+$B$8)^1+'Forecast'!$D$21/(1+$B$8)^2+'Forecast'!$E$21/(1+$B$8)^3+'Forecast'!$F$21/(1+$B$8)^4+'Forecast'!$G$21/(1+$B$8)^5)+('Forecast'!$G$21*(1+$D$7)/($B$8-$D$7))/(1+$B$8)^5)-'Historical'!$F$46-'Inputs'!$F$72)/'DCF'!$B$35,"n/m"))</f>
        <v/>
      </c>
      <c r="E8" s="31">
        <f>IF($B$8-$E$7&lt;=0.005,"n/m",IFERROR(((('Forecast'!$C$21/(1+$B$8)^1+'Forecast'!$D$21/(1+$B$8)^2+'Forecast'!$E$21/(1+$B$8)^3+'Forecast'!$F$21/(1+$B$8)^4+'Forecast'!$G$21/(1+$B$8)^5)+('Forecast'!$G$21*(1+$E$7)/($B$8-$E$7))/(1+$B$8)^5)-'Historical'!$F$46-'Inputs'!$F$72)/'DCF'!$B$35,"n/m"))</f>
        <v/>
      </c>
      <c r="F8" s="31">
        <f>IF($B$8-$F$7&lt;=0.005,"n/m",IFERROR(((('Forecast'!$C$21/(1+$B$8)^1+'Forecast'!$D$21/(1+$B$8)^2+'Forecast'!$E$21/(1+$B$8)^3+'Forecast'!$F$21/(1+$B$8)^4+'Forecast'!$G$21/(1+$B$8)^5)+('Forecast'!$G$21*(1+$F$7)/($B$8-$F$7))/(1+$B$8)^5)-'Historical'!$F$46-'Inputs'!$F$72)/'DCF'!$B$35,"n/m"))</f>
        <v/>
      </c>
      <c r="G8" s="31">
        <f>IF($B$8-$G$7&lt;=0.005,"n/m",IFERROR(((('Forecast'!$C$21/(1+$B$8)^1+'Forecast'!$D$21/(1+$B$8)^2+'Forecast'!$E$21/(1+$B$8)^3+'Forecast'!$F$21/(1+$B$8)^4+'Forecast'!$G$21/(1+$B$8)^5)+('Forecast'!$G$21*(1+$G$7)/($B$8-$G$7))/(1+$B$8)^5)-'Historical'!$F$46-'Inputs'!$F$72)/'DCF'!$B$35,"n/m"))</f>
        <v/>
      </c>
    </row>
    <row r="9">
      <c r="B9" s="57">
        <f>'WACC'!$B$24-0.0075</f>
        <v/>
      </c>
      <c r="C9" s="31">
        <f>IF($B$9-$C$7&lt;=0.005,"n/m",IFERROR(((('Forecast'!$C$21/(1+$B$9)^1+'Forecast'!$D$21/(1+$B$9)^2+'Forecast'!$E$21/(1+$B$9)^3+'Forecast'!$F$21/(1+$B$9)^4+'Forecast'!$G$21/(1+$B$9)^5)+('Forecast'!$G$21*(1+$C$7)/($B$9-$C$7))/(1+$B$9)^5)-'Historical'!$F$46-'Inputs'!$F$72)/'DCF'!$B$35,"n/m"))</f>
        <v/>
      </c>
      <c r="D9" s="31">
        <f>IF($B$9-$D$7&lt;=0.005,"n/m",IFERROR(((('Forecast'!$C$21/(1+$B$9)^1+'Forecast'!$D$21/(1+$B$9)^2+'Forecast'!$E$21/(1+$B$9)^3+'Forecast'!$F$21/(1+$B$9)^4+'Forecast'!$G$21/(1+$B$9)^5)+('Forecast'!$G$21*(1+$D$7)/($B$9-$D$7))/(1+$B$9)^5)-'Historical'!$F$46-'Inputs'!$F$72)/'DCF'!$B$35,"n/m"))</f>
        <v/>
      </c>
      <c r="E9" s="31">
        <f>IF($B$9-$E$7&lt;=0.005,"n/m",IFERROR(((('Forecast'!$C$21/(1+$B$9)^1+'Forecast'!$D$21/(1+$B$9)^2+'Forecast'!$E$21/(1+$B$9)^3+'Forecast'!$F$21/(1+$B$9)^4+'Forecast'!$G$21/(1+$B$9)^5)+('Forecast'!$G$21*(1+$E$7)/($B$9-$E$7))/(1+$B$9)^5)-'Historical'!$F$46-'Inputs'!$F$72)/'DCF'!$B$35,"n/m"))</f>
        <v/>
      </c>
      <c r="F9" s="31">
        <f>IF($B$9-$F$7&lt;=0.005,"n/m",IFERROR(((('Forecast'!$C$21/(1+$B$9)^1+'Forecast'!$D$21/(1+$B$9)^2+'Forecast'!$E$21/(1+$B$9)^3+'Forecast'!$F$21/(1+$B$9)^4+'Forecast'!$G$21/(1+$B$9)^5)+('Forecast'!$G$21*(1+$F$7)/($B$9-$F$7))/(1+$B$9)^5)-'Historical'!$F$46-'Inputs'!$F$72)/'DCF'!$B$35,"n/m"))</f>
        <v/>
      </c>
      <c r="G9" s="31">
        <f>IF($B$9-$G$7&lt;=0.005,"n/m",IFERROR(((('Forecast'!$C$21/(1+$B$9)^1+'Forecast'!$D$21/(1+$B$9)^2+'Forecast'!$E$21/(1+$B$9)^3+'Forecast'!$F$21/(1+$B$9)^4+'Forecast'!$G$21/(1+$B$9)^5)+('Forecast'!$G$21*(1+$G$7)/($B$9-$G$7))/(1+$B$9)^5)-'Historical'!$F$46-'Inputs'!$F$72)/'DCF'!$B$35,"n/m"))</f>
        <v/>
      </c>
    </row>
    <row r="10">
      <c r="B10" s="57">
        <f>'WACC'!$B$24+0</f>
        <v/>
      </c>
      <c r="C10" s="31">
        <f>IF($B$10-$C$7&lt;=0.005,"n/m",IFERROR(((('Forecast'!$C$21/(1+$B$10)^1+'Forecast'!$D$21/(1+$B$10)^2+'Forecast'!$E$21/(1+$B$10)^3+'Forecast'!$F$21/(1+$B$10)^4+'Forecast'!$G$21/(1+$B$10)^5)+('Forecast'!$G$21*(1+$C$7)/($B$10-$C$7))/(1+$B$10)^5)-'Historical'!$F$46-'Inputs'!$F$72)/'DCF'!$B$35,"n/m"))</f>
        <v/>
      </c>
      <c r="D10" s="31">
        <f>IF($B$10-$D$7&lt;=0.005,"n/m",IFERROR(((('Forecast'!$C$21/(1+$B$10)^1+'Forecast'!$D$21/(1+$B$10)^2+'Forecast'!$E$21/(1+$B$10)^3+'Forecast'!$F$21/(1+$B$10)^4+'Forecast'!$G$21/(1+$B$10)^5)+('Forecast'!$G$21*(1+$D$7)/($B$10-$D$7))/(1+$B$10)^5)-'Historical'!$F$46-'Inputs'!$F$72)/'DCF'!$B$35,"n/m"))</f>
        <v/>
      </c>
      <c r="E10" s="58">
        <f>IF($B$10-$E$7&lt;=0.005,"n/m",IFERROR(((('Forecast'!$C$21/(1+$B$10)^1+'Forecast'!$D$21/(1+$B$10)^2+'Forecast'!$E$21/(1+$B$10)^3+'Forecast'!$F$21/(1+$B$10)^4+'Forecast'!$G$21/(1+$B$10)^5)+('Forecast'!$G$21*(1+$E$7)/($B$10-$E$7))/(1+$B$10)^5)-'Historical'!$F$46-'Inputs'!$F$72)/'DCF'!$B$35,"n/m"))</f>
        <v/>
      </c>
      <c r="F10" s="31">
        <f>IF($B$10-$F$7&lt;=0.005,"n/m",IFERROR(((('Forecast'!$C$21/(1+$B$10)^1+'Forecast'!$D$21/(1+$B$10)^2+'Forecast'!$E$21/(1+$B$10)^3+'Forecast'!$F$21/(1+$B$10)^4+'Forecast'!$G$21/(1+$B$10)^5)+('Forecast'!$G$21*(1+$F$7)/($B$10-$F$7))/(1+$B$10)^5)-'Historical'!$F$46-'Inputs'!$F$72)/'DCF'!$B$35,"n/m"))</f>
        <v/>
      </c>
      <c r="G10" s="31">
        <f>IF($B$10-$G$7&lt;=0.005,"n/m",IFERROR(((('Forecast'!$C$21/(1+$B$10)^1+'Forecast'!$D$21/(1+$B$10)^2+'Forecast'!$E$21/(1+$B$10)^3+'Forecast'!$F$21/(1+$B$10)^4+'Forecast'!$G$21/(1+$B$10)^5)+('Forecast'!$G$21*(1+$G$7)/($B$10-$G$7))/(1+$B$10)^5)-'Historical'!$F$46-'Inputs'!$F$72)/'DCF'!$B$35,"n/m"))</f>
        <v/>
      </c>
    </row>
    <row r="11">
      <c r="B11" s="57">
        <f>'WACC'!$B$24+0.0075</f>
        <v/>
      </c>
      <c r="C11" s="31">
        <f>IF($B$11-$C$7&lt;=0.005,"n/m",IFERROR(((('Forecast'!$C$21/(1+$B$11)^1+'Forecast'!$D$21/(1+$B$11)^2+'Forecast'!$E$21/(1+$B$11)^3+'Forecast'!$F$21/(1+$B$11)^4+'Forecast'!$G$21/(1+$B$11)^5)+('Forecast'!$G$21*(1+$C$7)/($B$11-$C$7))/(1+$B$11)^5)-'Historical'!$F$46-'Inputs'!$F$72)/'DCF'!$B$35,"n/m"))</f>
        <v/>
      </c>
      <c r="D11" s="31">
        <f>IF($B$11-$D$7&lt;=0.005,"n/m",IFERROR(((('Forecast'!$C$21/(1+$B$11)^1+'Forecast'!$D$21/(1+$B$11)^2+'Forecast'!$E$21/(1+$B$11)^3+'Forecast'!$F$21/(1+$B$11)^4+'Forecast'!$G$21/(1+$B$11)^5)+('Forecast'!$G$21*(1+$D$7)/($B$11-$D$7))/(1+$B$11)^5)-'Historical'!$F$46-'Inputs'!$F$72)/'DCF'!$B$35,"n/m"))</f>
        <v/>
      </c>
      <c r="E11" s="31">
        <f>IF($B$11-$E$7&lt;=0.005,"n/m",IFERROR(((('Forecast'!$C$21/(1+$B$11)^1+'Forecast'!$D$21/(1+$B$11)^2+'Forecast'!$E$21/(1+$B$11)^3+'Forecast'!$F$21/(1+$B$11)^4+'Forecast'!$G$21/(1+$B$11)^5)+('Forecast'!$G$21*(1+$E$7)/($B$11-$E$7))/(1+$B$11)^5)-'Historical'!$F$46-'Inputs'!$F$72)/'DCF'!$B$35,"n/m"))</f>
        <v/>
      </c>
      <c r="F11" s="31">
        <f>IF($B$11-$F$7&lt;=0.005,"n/m",IFERROR(((('Forecast'!$C$21/(1+$B$11)^1+'Forecast'!$D$21/(1+$B$11)^2+'Forecast'!$E$21/(1+$B$11)^3+'Forecast'!$F$21/(1+$B$11)^4+'Forecast'!$G$21/(1+$B$11)^5)+('Forecast'!$G$21*(1+$F$7)/($B$11-$F$7))/(1+$B$11)^5)-'Historical'!$F$46-'Inputs'!$F$72)/'DCF'!$B$35,"n/m"))</f>
        <v/>
      </c>
      <c r="G11" s="31">
        <f>IF($B$11-$G$7&lt;=0.005,"n/m",IFERROR(((('Forecast'!$C$21/(1+$B$11)^1+'Forecast'!$D$21/(1+$B$11)^2+'Forecast'!$E$21/(1+$B$11)^3+'Forecast'!$F$21/(1+$B$11)^4+'Forecast'!$G$21/(1+$B$11)^5)+('Forecast'!$G$21*(1+$G$7)/($B$11-$G$7))/(1+$B$11)^5)-'Historical'!$F$46-'Inputs'!$F$72)/'DCF'!$B$35,"n/m"))</f>
        <v/>
      </c>
    </row>
    <row r="12">
      <c r="B12" s="57">
        <f>'WACC'!$B$24+0.015</f>
        <v/>
      </c>
      <c r="C12" s="31">
        <f>IF($B$12-$C$7&lt;=0.005,"n/m",IFERROR(((('Forecast'!$C$21/(1+$B$12)^1+'Forecast'!$D$21/(1+$B$12)^2+'Forecast'!$E$21/(1+$B$12)^3+'Forecast'!$F$21/(1+$B$12)^4+'Forecast'!$G$21/(1+$B$12)^5)+('Forecast'!$G$21*(1+$C$7)/($B$12-$C$7))/(1+$B$12)^5)-'Historical'!$F$46-'Inputs'!$F$72)/'DCF'!$B$35,"n/m"))</f>
        <v/>
      </c>
      <c r="D12" s="31">
        <f>IF($B$12-$D$7&lt;=0.005,"n/m",IFERROR(((('Forecast'!$C$21/(1+$B$12)^1+'Forecast'!$D$21/(1+$B$12)^2+'Forecast'!$E$21/(1+$B$12)^3+'Forecast'!$F$21/(1+$B$12)^4+'Forecast'!$G$21/(1+$B$12)^5)+('Forecast'!$G$21*(1+$D$7)/($B$12-$D$7))/(1+$B$12)^5)-'Historical'!$F$46-'Inputs'!$F$72)/'DCF'!$B$35,"n/m"))</f>
        <v/>
      </c>
      <c r="E12" s="31">
        <f>IF($B$12-$E$7&lt;=0.005,"n/m",IFERROR(((('Forecast'!$C$21/(1+$B$12)^1+'Forecast'!$D$21/(1+$B$12)^2+'Forecast'!$E$21/(1+$B$12)^3+'Forecast'!$F$21/(1+$B$12)^4+'Forecast'!$G$21/(1+$B$12)^5)+('Forecast'!$G$21*(1+$E$7)/($B$12-$E$7))/(1+$B$12)^5)-'Historical'!$F$46-'Inputs'!$F$72)/'DCF'!$B$35,"n/m"))</f>
        <v/>
      </c>
      <c r="F12" s="31">
        <f>IF($B$12-$F$7&lt;=0.005,"n/m",IFERROR(((('Forecast'!$C$21/(1+$B$12)^1+'Forecast'!$D$21/(1+$B$12)^2+'Forecast'!$E$21/(1+$B$12)^3+'Forecast'!$F$21/(1+$B$12)^4+'Forecast'!$G$21/(1+$B$12)^5)+('Forecast'!$G$21*(1+$F$7)/($B$12-$F$7))/(1+$B$12)^5)-'Historical'!$F$46-'Inputs'!$F$72)/'DCF'!$B$35,"n/m"))</f>
        <v/>
      </c>
      <c r="G12" s="31">
        <f>IF($B$12-$G$7&lt;=0.005,"n/m",IFERROR(((('Forecast'!$C$21/(1+$B$12)^1+'Forecast'!$D$21/(1+$B$12)^2+'Forecast'!$E$21/(1+$B$12)^3+'Forecast'!$F$21/(1+$B$12)^4+'Forecast'!$G$21/(1+$B$12)^5)+('Forecast'!$G$21*(1+$G$7)/($B$12-$G$7))/(1+$B$12)^5)-'Historical'!$F$46-'Inputs'!$F$72)/'DCF'!$B$35,"n/m"))</f>
        <v/>
      </c>
    </row>
    <row r="15" ht="20" customHeight="1">
      <c r="A15" s="5" t="inlineStr">
        <is>
          <t>Table 2 · WACC (down) × Exit EBITDA multiple (across)</t>
        </is>
      </c>
    </row>
    <row r="16">
      <c r="A16" s="53" t="inlineStr">
        <is>
          <t>Value / share</t>
        </is>
      </c>
      <c r="B16" s="53" t="inlineStr"/>
      <c r="C16" s="59">
        <f>'Assumptions'!$B$29-2</f>
        <v/>
      </c>
      <c r="D16" s="59">
        <f>'Assumptions'!$B$29-1</f>
        <v/>
      </c>
      <c r="E16" s="59">
        <f>'Assumptions'!$B$29+0</f>
        <v/>
      </c>
      <c r="F16" s="59">
        <f>'Assumptions'!$B$29+1</f>
        <v/>
      </c>
      <c r="G16" s="59">
        <f>'Assumptions'!$B$29+2</f>
        <v/>
      </c>
    </row>
    <row r="17">
      <c r="B17" s="57">
        <f>'WACC'!$B$24-0.015</f>
        <v/>
      </c>
      <c r="C17" s="31">
        <f>IFERROR(((('Forecast'!$C$21/(1+$B$17)^1+'Forecast'!$D$21/(1+$B$17)^2+'Forecast'!$E$21/(1+$B$17)^3+'Forecast'!$F$21/(1+$B$17)^4+'Forecast'!$G$21/(1+$B$17)^5)+('Forecast'!$G$12*$C$16)/(1+$B$17)^5)-'Historical'!$F$46-'Inputs'!$F$72)/'DCF'!$B$35,"n/m")</f>
        <v/>
      </c>
      <c r="D17" s="31">
        <f>IFERROR(((('Forecast'!$C$21/(1+$B$17)^1+'Forecast'!$D$21/(1+$B$17)^2+'Forecast'!$E$21/(1+$B$17)^3+'Forecast'!$F$21/(1+$B$17)^4+'Forecast'!$G$21/(1+$B$17)^5)+('Forecast'!$G$12*$D$16)/(1+$B$17)^5)-'Historical'!$F$46-'Inputs'!$F$72)/'DCF'!$B$35,"n/m")</f>
        <v/>
      </c>
      <c r="E17" s="31">
        <f>IFERROR(((('Forecast'!$C$21/(1+$B$17)^1+'Forecast'!$D$21/(1+$B$17)^2+'Forecast'!$E$21/(1+$B$17)^3+'Forecast'!$F$21/(1+$B$17)^4+'Forecast'!$G$21/(1+$B$17)^5)+('Forecast'!$G$12*$E$16)/(1+$B$17)^5)-'Historical'!$F$46-'Inputs'!$F$72)/'DCF'!$B$35,"n/m")</f>
        <v/>
      </c>
      <c r="F17" s="31">
        <f>IFERROR(((('Forecast'!$C$21/(1+$B$17)^1+'Forecast'!$D$21/(1+$B$17)^2+'Forecast'!$E$21/(1+$B$17)^3+'Forecast'!$F$21/(1+$B$17)^4+'Forecast'!$G$21/(1+$B$17)^5)+('Forecast'!$G$12*$F$16)/(1+$B$17)^5)-'Historical'!$F$46-'Inputs'!$F$72)/'DCF'!$B$35,"n/m")</f>
        <v/>
      </c>
      <c r="G17" s="31">
        <f>IFERROR(((('Forecast'!$C$21/(1+$B$17)^1+'Forecast'!$D$21/(1+$B$17)^2+'Forecast'!$E$21/(1+$B$17)^3+'Forecast'!$F$21/(1+$B$17)^4+'Forecast'!$G$21/(1+$B$17)^5)+('Forecast'!$G$12*$G$16)/(1+$B$17)^5)-'Historical'!$F$46-'Inputs'!$F$72)/'DCF'!$B$35,"n/m")</f>
        <v/>
      </c>
    </row>
    <row r="18">
      <c r="B18" s="57">
        <f>'WACC'!$B$24-0.0075</f>
        <v/>
      </c>
      <c r="C18" s="31">
        <f>IFERROR(((('Forecast'!$C$21/(1+$B$18)^1+'Forecast'!$D$21/(1+$B$18)^2+'Forecast'!$E$21/(1+$B$18)^3+'Forecast'!$F$21/(1+$B$18)^4+'Forecast'!$G$21/(1+$B$18)^5)+('Forecast'!$G$12*$C$16)/(1+$B$18)^5)-'Historical'!$F$46-'Inputs'!$F$72)/'DCF'!$B$35,"n/m")</f>
        <v/>
      </c>
      <c r="D18" s="31">
        <f>IFERROR(((('Forecast'!$C$21/(1+$B$18)^1+'Forecast'!$D$21/(1+$B$18)^2+'Forecast'!$E$21/(1+$B$18)^3+'Forecast'!$F$21/(1+$B$18)^4+'Forecast'!$G$21/(1+$B$18)^5)+('Forecast'!$G$12*$D$16)/(1+$B$18)^5)-'Historical'!$F$46-'Inputs'!$F$72)/'DCF'!$B$35,"n/m")</f>
        <v/>
      </c>
      <c r="E18" s="31">
        <f>IFERROR(((('Forecast'!$C$21/(1+$B$18)^1+'Forecast'!$D$21/(1+$B$18)^2+'Forecast'!$E$21/(1+$B$18)^3+'Forecast'!$F$21/(1+$B$18)^4+'Forecast'!$G$21/(1+$B$18)^5)+('Forecast'!$G$12*$E$16)/(1+$B$18)^5)-'Historical'!$F$46-'Inputs'!$F$72)/'DCF'!$B$35,"n/m")</f>
        <v/>
      </c>
      <c r="F18" s="31">
        <f>IFERROR(((('Forecast'!$C$21/(1+$B$18)^1+'Forecast'!$D$21/(1+$B$18)^2+'Forecast'!$E$21/(1+$B$18)^3+'Forecast'!$F$21/(1+$B$18)^4+'Forecast'!$G$21/(1+$B$18)^5)+('Forecast'!$G$12*$F$16)/(1+$B$18)^5)-'Historical'!$F$46-'Inputs'!$F$72)/'DCF'!$B$35,"n/m")</f>
        <v/>
      </c>
      <c r="G18" s="31">
        <f>IFERROR(((('Forecast'!$C$21/(1+$B$18)^1+'Forecast'!$D$21/(1+$B$18)^2+'Forecast'!$E$21/(1+$B$18)^3+'Forecast'!$F$21/(1+$B$18)^4+'Forecast'!$G$21/(1+$B$18)^5)+('Forecast'!$G$12*$G$16)/(1+$B$18)^5)-'Historical'!$F$46-'Inputs'!$F$72)/'DCF'!$B$35,"n/m")</f>
        <v/>
      </c>
    </row>
    <row r="19">
      <c r="B19" s="57">
        <f>'WACC'!$B$24+0</f>
        <v/>
      </c>
      <c r="C19" s="31">
        <f>IFERROR(((('Forecast'!$C$21/(1+$B$19)^1+'Forecast'!$D$21/(1+$B$19)^2+'Forecast'!$E$21/(1+$B$19)^3+'Forecast'!$F$21/(1+$B$19)^4+'Forecast'!$G$21/(1+$B$19)^5)+('Forecast'!$G$12*$C$16)/(1+$B$19)^5)-'Historical'!$F$46-'Inputs'!$F$72)/'DCF'!$B$35,"n/m")</f>
        <v/>
      </c>
      <c r="D19" s="31">
        <f>IFERROR(((('Forecast'!$C$21/(1+$B$19)^1+'Forecast'!$D$21/(1+$B$19)^2+'Forecast'!$E$21/(1+$B$19)^3+'Forecast'!$F$21/(1+$B$19)^4+'Forecast'!$G$21/(1+$B$19)^5)+('Forecast'!$G$12*$D$16)/(1+$B$19)^5)-'Historical'!$F$46-'Inputs'!$F$72)/'DCF'!$B$35,"n/m")</f>
        <v/>
      </c>
      <c r="E19" s="58">
        <f>IFERROR(((('Forecast'!$C$21/(1+$B$19)^1+'Forecast'!$D$21/(1+$B$19)^2+'Forecast'!$E$21/(1+$B$19)^3+'Forecast'!$F$21/(1+$B$19)^4+'Forecast'!$G$21/(1+$B$19)^5)+('Forecast'!$G$12*$E$16)/(1+$B$19)^5)-'Historical'!$F$46-'Inputs'!$F$72)/'DCF'!$B$35,"n/m")</f>
        <v/>
      </c>
      <c r="F19" s="31">
        <f>IFERROR(((('Forecast'!$C$21/(1+$B$19)^1+'Forecast'!$D$21/(1+$B$19)^2+'Forecast'!$E$21/(1+$B$19)^3+'Forecast'!$F$21/(1+$B$19)^4+'Forecast'!$G$21/(1+$B$19)^5)+('Forecast'!$G$12*$F$16)/(1+$B$19)^5)-'Historical'!$F$46-'Inputs'!$F$72)/'DCF'!$B$35,"n/m")</f>
        <v/>
      </c>
      <c r="G19" s="31">
        <f>IFERROR(((('Forecast'!$C$21/(1+$B$19)^1+'Forecast'!$D$21/(1+$B$19)^2+'Forecast'!$E$21/(1+$B$19)^3+'Forecast'!$F$21/(1+$B$19)^4+'Forecast'!$G$21/(1+$B$19)^5)+('Forecast'!$G$12*$G$16)/(1+$B$19)^5)-'Historical'!$F$46-'Inputs'!$F$72)/'DCF'!$B$35,"n/m")</f>
        <v/>
      </c>
    </row>
    <row r="20">
      <c r="B20" s="57">
        <f>'WACC'!$B$24+0.0075</f>
        <v/>
      </c>
      <c r="C20" s="31">
        <f>IFERROR(((('Forecast'!$C$21/(1+$B$20)^1+'Forecast'!$D$21/(1+$B$20)^2+'Forecast'!$E$21/(1+$B$20)^3+'Forecast'!$F$21/(1+$B$20)^4+'Forecast'!$G$21/(1+$B$20)^5)+('Forecast'!$G$12*$C$16)/(1+$B$20)^5)-'Historical'!$F$46-'Inputs'!$F$72)/'DCF'!$B$35,"n/m")</f>
        <v/>
      </c>
      <c r="D20" s="31">
        <f>IFERROR(((('Forecast'!$C$21/(1+$B$20)^1+'Forecast'!$D$21/(1+$B$20)^2+'Forecast'!$E$21/(1+$B$20)^3+'Forecast'!$F$21/(1+$B$20)^4+'Forecast'!$G$21/(1+$B$20)^5)+('Forecast'!$G$12*$D$16)/(1+$B$20)^5)-'Historical'!$F$46-'Inputs'!$F$72)/'DCF'!$B$35,"n/m")</f>
        <v/>
      </c>
      <c r="E20" s="31">
        <f>IFERROR(((('Forecast'!$C$21/(1+$B$20)^1+'Forecast'!$D$21/(1+$B$20)^2+'Forecast'!$E$21/(1+$B$20)^3+'Forecast'!$F$21/(1+$B$20)^4+'Forecast'!$G$21/(1+$B$20)^5)+('Forecast'!$G$12*$E$16)/(1+$B$20)^5)-'Historical'!$F$46-'Inputs'!$F$72)/'DCF'!$B$35,"n/m")</f>
        <v/>
      </c>
      <c r="F20" s="31">
        <f>IFERROR(((('Forecast'!$C$21/(1+$B$20)^1+'Forecast'!$D$21/(1+$B$20)^2+'Forecast'!$E$21/(1+$B$20)^3+'Forecast'!$F$21/(1+$B$20)^4+'Forecast'!$G$21/(1+$B$20)^5)+('Forecast'!$G$12*$F$16)/(1+$B$20)^5)-'Historical'!$F$46-'Inputs'!$F$72)/'DCF'!$B$35,"n/m")</f>
        <v/>
      </c>
      <c r="G20" s="31">
        <f>IFERROR(((('Forecast'!$C$21/(1+$B$20)^1+'Forecast'!$D$21/(1+$B$20)^2+'Forecast'!$E$21/(1+$B$20)^3+'Forecast'!$F$21/(1+$B$20)^4+'Forecast'!$G$21/(1+$B$20)^5)+('Forecast'!$G$12*$G$16)/(1+$B$20)^5)-'Historical'!$F$46-'Inputs'!$F$72)/'DCF'!$B$35,"n/m")</f>
        <v/>
      </c>
    </row>
    <row r="21">
      <c r="B21" s="57">
        <f>'WACC'!$B$24+0.015</f>
        <v/>
      </c>
      <c r="C21" s="31">
        <f>IFERROR(((('Forecast'!$C$21/(1+$B$21)^1+'Forecast'!$D$21/(1+$B$21)^2+'Forecast'!$E$21/(1+$B$21)^3+'Forecast'!$F$21/(1+$B$21)^4+'Forecast'!$G$21/(1+$B$21)^5)+('Forecast'!$G$12*$C$16)/(1+$B$21)^5)-'Historical'!$F$46-'Inputs'!$F$72)/'DCF'!$B$35,"n/m")</f>
        <v/>
      </c>
      <c r="D21" s="31">
        <f>IFERROR(((('Forecast'!$C$21/(1+$B$21)^1+'Forecast'!$D$21/(1+$B$21)^2+'Forecast'!$E$21/(1+$B$21)^3+'Forecast'!$F$21/(1+$B$21)^4+'Forecast'!$G$21/(1+$B$21)^5)+('Forecast'!$G$12*$D$16)/(1+$B$21)^5)-'Historical'!$F$46-'Inputs'!$F$72)/'DCF'!$B$35,"n/m")</f>
        <v/>
      </c>
      <c r="E21" s="31">
        <f>IFERROR(((('Forecast'!$C$21/(1+$B$21)^1+'Forecast'!$D$21/(1+$B$21)^2+'Forecast'!$E$21/(1+$B$21)^3+'Forecast'!$F$21/(1+$B$21)^4+'Forecast'!$G$21/(1+$B$21)^5)+('Forecast'!$G$12*$E$16)/(1+$B$21)^5)-'Historical'!$F$46-'Inputs'!$F$72)/'DCF'!$B$35,"n/m")</f>
        <v/>
      </c>
      <c r="F21" s="31">
        <f>IFERROR(((('Forecast'!$C$21/(1+$B$21)^1+'Forecast'!$D$21/(1+$B$21)^2+'Forecast'!$E$21/(1+$B$21)^3+'Forecast'!$F$21/(1+$B$21)^4+'Forecast'!$G$21/(1+$B$21)^5)+('Forecast'!$G$12*$F$16)/(1+$B$21)^5)-'Historical'!$F$46-'Inputs'!$F$72)/'DCF'!$B$35,"n/m")</f>
        <v/>
      </c>
      <c r="G21" s="31">
        <f>IFERROR(((('Forecast'!$C$21/(1+$B$21)^1+'Forecast'!$D$21/(1+$B$21)^2+'Forecast'!$E$21/(1+$B$21)^3+'Forecast'!$F$21/(1+$B$21)^4+'Forecast'!$G$21/(1+$B$21)^5)+('Forecast'!$G$12*$G$16)/(1+$B$21)^5)-'Historical'!$F$46-'Inputs'!$F$72)/'DCF'!$B$35,"n/m")</f>
        <v/>
      </c>
    </row>
    <row r="23">
      <c r="A23" s="11" t="inlineStr">
        <is>
          <t>Exit-multiple TV is a cross-check; the headline uses the perpetuity method.</t>
        </is>
      </c>
    </row>
    <row r="25" ht="20" customHeight="1">
      <c r="A25" s="5" t="inlineStr">
        <is>
          <t>Table 3 · Start revenue growth (down) × Terminal EBIT margin (across)</t>
        </is>
      </c>
    </row>
    <row r="26">
      <c r="A26" s="53" t="inlineStr">
        <is>
          <t>Value / share</t>
        </is>
      </c>
      <c r="B26" s="53" t="inlineStr"/>
      <c r="C26" s="56">
        <f>'Assumptions'!$B$36-0.03</f>
        <v/>
      </c>
      <c r="D26" s="56">
        <f>'Assumptions'!$B$36-0.015</f>
        <v/>
      </c>
      <c r="E26" s="56">
        <f>'Assumptions'!$B$36+0</f>
        <v/>
      </c>
      <c r="F26" s="56">
        <f>'Assumptions'!$B$36+0.015</f>
        <v/>
      </c>
      <c r="G26" s="56">
        <f>'Assumptions'!$B$36+0.03</f>
        <v/>
      </c>
    </row>
    <row r="27">
      <c r="B27" s="56">
        <f>'Assumptions'!$B$34-0.03</f>
        <v/>
      </c>
      <c r="C27" s="31">
        <f>IFERROR((((('Forecast'!$B$8*((1+$B$27)*($C$26*(1-'Assumptions'!$B$28)+'Assumptions'!$B$25-'Assumptions'!$B$26)-'Assumptions'!$B$27*$B$27)/(1+'WACC'!$B$24))*(1-((1+$B$27)/(1+'WACC'!$B$24))^5)/(1-((1+$B$27)/(1+'WACC'!$B$24))))+('Forecast'!$B$8*((1+$B$27)*($C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D27" s="31">
        <f>IFERROR((((('Forecast'!$B$8*((1+$B$27)*($D$26*(1-'Assumptions'!$B$28)+'Assumptions'!$B$25-'Assumptions'!$B$26)-'Assumptions'!$B$27*$B$27)/(1+'WACC'!$B$24))*(1-((1+$B$27)/(1+'WACC'!$B$24))^5)/(1-((1+$B$27)/(1+'WACC'!$B$24))))+('Forecast'!$B$8*((1+$B$27)*($D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E27" s="31">
        <f>IFERROR((((('Forecast'!$B$8*((1+$B$27)*($E$26*(1-'Assumptions'!$B$28)+'Assumptions'!$B$25-'Assumptions'!$B$26)-'Assumptions'!$B$27*$B$27)/(1+'WACC'!$B$24))*(1-((1+$B$27)/(1+'WACC'!$B$24))^5)/(1-((1+$B$27)/(1+'WACC'!$B$24))))+('Forecast'!$B$8*((1+$B$27)*($E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F27" s="31">
        <f>IFERROR((((('Forecast'!$B$8*((1+$B$27)*($F$26*(1-'Assumptions'!$B$28)+'Assumptions'!$B$25-'Assumptions'!$B$26)-'Assumptions'!$B$27*$B$27)/(1+'WACC'!$B$24))*(1-((1+$B$27)/(1+'WACC'!$B$24))^5)/(1-((1+$B$27)/(1+'WACC'!$B$24))))+('Forecast'!$B$8*((1+$B$27)*($F$26*(1-'Assumptions'!$B$28)+'Assumptions'!$B$25-'Assumptions'!$B$26)-'Assumptions'!$B$27*$B$27)*(1+$B$27)^4*(1+'Assumptions'!$B$35)/('WACC'!$B$24-'Assumptions'!$B$35))/(1+'WACC'!$B$24)^5)-'Historical'!$F$46-'Inputs'!$F$72)/'DCF'!$B$35,"n/m")</f>
        <v/>
      </c>
      <c r="G27" s="31">
        <f>IFERROR((((('Forecast'!$B$8*((1+$B$27)*($G$26*(1-'Assumptions'!$B$28)+'Assumptions'!$B$25-'Assumptions'!$B$26)-'Assumptions'!$B$27*$B$27)/(1+'WACC'!$B$24))*(1-((1+$B$27)/(1+'WACC'!$B$24))^5)/(1-((1+$B$27)/(1+'WACC'!$B$24))))+('Forecast'!$B$8*((1+$B$27)*($G$26*(1-'Assumptions'!$B$28)+'Assumptions'!$B$25-'Assumptions'!$B$26)-'Assumptions'!$B$27*$B$27)*(1+$B$27)^4*(1+'Assumptions'!$B$35)/('WACC'!$B$24-'Assumptions'!$B$35))/(1+'WACC'!$B$24)^5)-'Historical'!$F$46-'Inputs'!$F$72)/'DCF'!$B$35,"n/m")</f>
        <v/>
      </c>
    </row>
    <row r="28">
      <c r="B28" s="56">
        <f>'Assumptions'!$B$34-0.015</f>
        <v/>
      </c>
      <c r="C28" s="31">
        <f>IFERROR((((('Forecast'!$B$8*((1+$B$28)*($C$26*(1-'Assumptions'!$B$28)+'Assumptions'!$B$25-'Assumptions'!$B$26)-'Assumptions'!$B$27*$B$28)/(1+'WACC'!$B$24))*(1-((1+$B$28)/(1+'WACC'!$B$24))^5)/(1-((1+$B$28)/(1+'WACC'!$B$24))))+('Forecast'!$B$8*((1+$B$28)*($C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D28" s="31">
        <f>IFERROR((((('Forecast'!$B$8*((1+$B$28)*($D$26*(1-'Assumptions'!$B$28)+'Assumptions'!$B$25-'Assumptions'!$B$26)-'Assumptions'!$B$27*$B$28)/(1+'WACC'!$B$24))*(1-((1+$B$28)/(1+'WACC'!$B$24))^5)/(1-((1+$B$28)/(1+'WACC'!$B$24))))+('Forecast'!$B$8*((1+$B$28)*($D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E28" s="31">
        <f>IFERROR((((('Forecast'!$B$8*((1+$B$28)*($E$26*(1-'Assumptions'!$B$28)+'Assumptions'!$B$25-'Assumptions'!$B$26)-'Assumptions'!$B$27*$B$28)/(1+'WACC'!$B$24))*(1-((1+$B$28)/(1+'WACC'!$B$24))^5)/(1-((1+$B$28)/(1+'WACC'!$B$24))))+('Forecast'!$B$8*((1+$B$28)*($E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F28" s="31">
        <f>IFERROR((((('Forecast'!$B$8*((1+$B$28)*($F$26*(1-'Assumptions'!$B$28)+'Assumptions'!$B$25-'Assumptions'!$B$26)-'Assumptions'!$B$27*$B$28)/(1+'WACC'!$B$24))*(1-((1+$B$28)/(1+'WACC'!$B$24))^5)/(1-((1+$B$28)/(1+'WACC'!$B$24))))+('Forecast'!$B$8*((1+$B$28)*($F$26*(1-'Assumptions'!$B$28)+'Assumptions'!$B$25-'Assumptions'!$B$26)-'Assumptions'!$B$27*$B$28)*(1+$B$28)^4*(1+'Assumptions'!$B$35)/('WACC'!$B$24-'Assumptions'!$B$35))/(1+'WACC'!$B$24)^5)-'Historical'!$F$46-'Inputs'!$F$72)/'DCF'!$B$35,"n/m")</f>
        <v/>
      </c>
      <c r="G28" s="31">
        <f>IFERROR((((('Forecast'!$B$8*((1+$B$28)*($G$26*(1-'Assumptions'!$B$28)+'Assumptions'!$B$25-'Assumptions'!$B$26)-'Assumptions'!$B$27*$B$28)/(1+'WACC'!$B$24))*(1-((1+$B$28)/(1+'WACC'!$B$24))^5)/(1-((1+$B$28)/(1+'WACC'!$B$24))))+('Forecast'!$B$8*((1+$B$28)*($G$26*(1-'Assumptions'!$B$28)+'Assumptions'!$B$25-'Assumptions'!$B$26)-'Assumptions'!$B$27*$B$28)*(1+$B$28)^4*(1+'Assumptions'!$B$35)/('WACC'!$B$24-'Assumptions'!$B$35))/(1+'WACC'!$B$24)^5)-'Historical'!$F$46-'Inputs'!$F$72)/'DCF'!$B$35,"n/m")</f>
        <v/>
      </c>
    </row>
    <row r="29">
      <c r="B29" s="56">
        <f>'Assumptions'!$B$34+0</f>
        <v/>
      </c>
      <c r="C29" s="31">
        <f>IFERROR((((('Forecast'!$B$8*((1+$B$29)*($C$26*(1-'Assumptions'!$B$28)+'Assumptions'!$B$25-'Assumptions'!$B$26)-'Assumptions'!$B$27*$B$29)/(1+'WACC'!$B$24))*(1-((1+$B$29)/(1+'WACC'!$B$24))^5)/(1-((1+$B$29)/(1+'WACC'!$B$24))))+('Forecast'!$B$8*((1+$B$29)*($C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D29" s="31">
        <f>IFERROR((((('Forecast'!$B$8*((1+$B$29)*($D$26*(1-'Assumptions'!$B$28)+'Assumptions'!$B$25-'Assumptions'!$B$26)-'Assumptions'!$B$27*$B$29)/(1+'WACC'!$B$24))*(1-((1+$B$29)/(1+'WACC'!$B$24))^5)/(1-((1+$B$29)/(1+'WACC'!$B$24))))+('Forecast'!$B$8*((1+$B$29)*($D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E29" s="58">
        <f>IFERROR((((('Forecast'!$B$8*((1+$B$29)*($E$26*(1-'Assumptions'!$B$28)+'Assumptions'!$B$25-'Assumptions'!$B$26)-'Assumptions'!$B$27*$B$29)/(1+'WACC'!$B$24))*(1-((1+$B$29)/(1+'WACC'!$B$24))^5)/(1-((1+$B$29)/(1+'WACC'!$B$24))))+('Forecast'!$B$8*((1+$B$29)*($E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F29" s="31">
        <f>IFERROR((((('Forecast'!$B$8*((1+$B$29)*($F$26*(1-'Assumptions'!$B$28)+'Assumptions'!$B$25-'Assumptions'!$B$26)-'Assumptions'!$B$27*$B$29)/(1+'WACC'!$B$24))*(1-((1+$B$29)/(1+'WACC'!$B$24))^5)/(1-((1+$B$29)/(1+'WACC'!$B$24))))+('Forecast'!$B$8*((1+$B$29)*($F$26*(1-'Assumptions'!$B$28)+'Assumptions'!$B$25-'Assumptions'!$B$26)-'Assumptions'!$B$27*$B$29)*(1+$B$29)^4*(1+'Assumptions'!$B$35)/('WACC'!$B$24-'Assumptions'!$B$35))/(1+'WACC'!$B$24)^5)-'Historical'!$F$46-'Inputs'!$F$72)/'DCF'!$B$35,"n/m")</f>
        <v/>
      </c>
      <c r="G29" s="31">
        <f>IFERROR((((('Forecast'!$B$8*((1+$B$29)*($G$26*(1-'Assumptions'!$B$28)+'Assumptions'!$B$25-'Assumptions'!$B$26)-'Assumptions'!$B$27*$B$29)/(1+'WACC'!$B$24))*(1-((1+$B$29)/(1+'WACC'!$B$24))^5)/(1-((1+$B$29)/(1+'WACC'!$B$24))))+('Forecast'!$B$8*((1+$B$29)*($G$26*(1-'Assumptions'!$B$28)+'Assumptions'!$B$25-'Assumptions'!$B$26)-'Assumptions'!$B$27*$B$29)*(1+$B$29)^4*(1+'Assumptions'!$B$35)/('WACC'!$B$24-'Assumptions'!$B$35))/(1+'WACC'!$B$24)^5)-'Historical'!$F$46-'Inputs'!$F$72)/'DCF'!$B$35,"n/m")</f>
        <v/>
      </c>
    </row>
    <row r="30">
      <c r="B30" s="56">
        <f>'Assumptions'!$B$34+0.015</f>
        <v/>
      </c>
      <c r="C30" s="31">
        <f>IFERROR((((('Forecast'!$B$8*((1+$B$30)*($C$26*(1-'Assumptions'!$B$28)+'Assumptions'!$B$25-'Assumptions'!$B$26)-'Assumptions'!$B$27*$B$30)/(1+'WACC'!$B$24))*(1-((1+$B$30)/(1+'WACC'!$B$24))^5)/(1-((1+$B$30)/(1+'WACC'!$B$24))))+('Forecast'!$B$8*((1+$B$30)*($C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D30" s="31">
        <f>IFERROR((((('Forecast'!$B$8*((1+$B$30)*($D$26*(1-'Assumptions'!$B$28)+'Assumptions'!$B$25-'Assumptions'!$B$26)-'Assumptions'!$B$27*$B$30)/(1+'WACC'!$B$24))*(1-((1+$B$30)/(1+'WACC'!$B$24))^5)/(1-((1+$B$30)/(1+'WACC'!$B$24))))+('Forecast'!$B$8*((1+$B$30)*($D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E30" s="31">
        <f>IFERROR((((('Forecast'!$B$8*((1+$B$30)*($E$26*(1-'Assumptions'!$B$28)+'Assumptions'!$B$25-'Assumptions'!$B$26)-'Assumptions'!$B$27*$B$30)/(1+'WACC'!$B$24))*(1-((1+$B$30)/(1+'WACC'!$B$24))^5)/(1-((1+$B$30)/(1+'WACC'!$B$24))))+('Forecast'!$B$8*((1+$B$30)*($E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F30" s="31">
        <f>IFERROR((((('Forecast'!$B$8*((1+$B$30)*($F$26*(1-'Assumptions'!$B$28)+'Assumptions'!$B$25-'Assumptions'!$B$26)-'Assumptions'!$B$27*$B$30)/(1+'WACC'!$B$24))*(1-((1+$B$30)/(1+'WACC'!$B$24))^5)/(1-((1+$B$30)/(1+'WACC'!$B$24))))+('Forecast'!$B$8*((1+$B$30)*($F$26*(1-'Assumptions'!$B$28)+'Assumptions'!$B$25-'Assumptions'!$B$26)-'Assumptions'!$B$27*$B$30)*(1+$B$30)^4*(1+'Assumptions'!$B$35)/('WACC'!$B$24-'Assumptions'!$B$35))/(1+'WACC'!$B$24)^5)-'Historical'!$F$46-'Inputs'!$F$72)/'DCF'!$B$35,"n/m")</f>
        <v/>
      </c>
      <c r="G30" s="31">
        <f>IFERROR((((('Forecast'!$B$8*((1+$B$30)*($G$26*(1-'Assumptions'!$B$28)+'Assumptions'!$B$25-'Assumptions'!$B$26)-'Assumptions'!$B$27*$B$30)/(1+'WACC'!$B$24))*(1-((1+$B$30)/(1+'WACC'!$B$24))^5)/(1-((1+$B$30)/(1+'WACC'!$B$24))))+('Forecast'!$B$8*((1+$B$30)*($G$26*(1-'Assumptions'!$B$28)+'Assumptions'!$B$25-'Assumptions'!$B$26)-'Assumptions'!$B$27*$B$30)*(1+$B$30)^4*(1+'Assumptions'!$B$35)/('WACC'!$B$24-'Assumptions'!$B$35))/(1+'WACC'!$B$24)^5)-'Historical'!$F$46-'Inputs'!$F$72)/'DCF'!$B$35,"n/m")</f>
        <v/>
      </c>
    </row>
    <row r="31">
      <c r="B31" s="56">
        <f>'Assumptions'!$B$34+0.03</f>
        <v/>
      </c>
      <c r="C31" s="31">
        <f>IFERROR((((('Forecast'!$B$8*((1+$B$31)*($C$26*(1-'Assumptions'!$B$28)+'Assumptions'!$B$25-'Assumptions'!$B$26)-'Assumptions'!$B$27*$B$31)/(1+'WACC'!$B$24))*(1-((1+$B$31)/(1+'WACC'!$B$24))^5)/(1-((1+$B$31)/(1+'WACC'!$B$24))))+('Forecast'!$B$8*((1+$B$31)*($C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D31" s="31">
        <f>IFERROR((((('Forecast'!$B$8*((1+$B$31)*($D$26*(1-'Assumptions'!$B$28)+'Assumptions'!$B$25-'Assumptions'!$B$26)-'Assumptions'!$B$27*$B$31)/(1+'WACC'!$B$24))*(1-((1+$B$31)/(1+'WACC'!$B$24))^5)/(1-((1+$B$31)/(1+'WACC'!$B$24))))+('Forecast'!$B$8*((1+$B$31)*($D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E31" s="31">
        <f>IFERROR((((('Forecast'!$B$8*((1+$B$31)*($E$26*(1-'Assumptions'!$B$28)+'Assumptions'!$B$25-'Assumptions'!$B$26)-'Assumptions'!$B$27*$B$31)/(1+'WACC'!$B$24))*(1-((1+$B$31)/(1+'WACC'!$B$24))^5)/(1-((1+$B$31)/(1+'WACC'!$B$24))))+('Forecast'!$B$8*((1+$B$31)*($E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F31" s="31">
        <f>IFERROR((((('Forecast'!$B$8*((1+$B$31)*($F$26*(1-'Assumptions'!$B$28)+'Assumptions'!$B$25-'Assumptions'!$B$26)-'Assumptions'!$B$27*$B$31)/(1+'WACC'!$B$24))*(1-((1+$B$31)/(1+'WACC'!$B$24))^5)/(1-((1+$B$31)/(1+'WACC'!$B$24))))+('Forecast'!$B$8*((1+$B$31)*($F$26*(1-'Assumptions'!$B$28)+'Assumptions'!$B$25-'Assumptions'!$B$26)-'Assumptions'!$B$27*$B$31)*(1+$B$31)^4*(1+'Assumptions'!$B$35)/('WACC'!$B$24-'Assumptions'!$B$35))/(1+'WACC'!$B$24)^5)-'Historical'!$F$46-'Inputs'!$F$72)/'DCF'!$B$35,"n/m")</f>
        <v/>
      </c>
      <c r="G31" s="31">
        <f>IFERROR((((('Forecast'!$B$8*((1+$B$31)*($G$26*(1-'Assumptions'!$B$28)+'Assumptions'!$B$25-'Assumptions'!$B$26)-'Assumptions'!$B$27*$B$31)/(1+'WACC'!$B$24))*(1-((1+$B$31)/(1+'WACC'!$B$24))^5)/(1-((1+$B$31)/(1+'WACC'!$B$24))))+('Forecast'!$B$8*((1+$B$31)*($G$26*(1-'Assumptions'!$B$28)+'Assumptions'!$B$25-'Assumptions'!$B$26)-'Assumptions'!$B$27*$B$31)*(1+$B$31)^4*(1+'Assumptions'!$B$35)/('WACC'!$B$24-'Assumptions'!$B$35))/(1+'WACC'!$B$24)^5)-'Historical'!$F$46-'Inputs'!$F$72)/'DCF'!$B$35,"n/m")</f>
        <v/>
      </c>
    </row>
    <row r="33">
      <c r="A33" s="11" t="inlineStr">
        <is>
          <t>Simplified constant-growth model for this 2-way view (the staged DCF fades growth &amp; margin, so levels differ slightly from the headline).</t>
        </is>
      </c>
    </row>
  </sheetData>
  <mergeCells count="9">
    <mergeCell ref="A4:H4"/>
    <mergeCell ref="A3:H3"/>
    <mergeCell ref="A15:H15"/>
    <mergeCell ref="A25:H25"/>
    <mergeCell ref="A2:H2"/>
    <mergeCell ref="A33:H33"/>
    <mergeCell ref="A1:H1"/>
    <mergeCell ref="A23:H23"/>
    <mergeCell ref="A6:H6"/>
  </mergeCells>
  <conditionalFormatting sqref="C8:G12">
    <cfRule type="colorScale" priority="1">
      <colorScale>
        <cfvo type="min"/>
        <cfvo type="percentile" val="50"/>
        <cfvo type="max"/>
        <color rgb="00F8D7D5"/>
        <color rgb="00FFF1CC"/>
        <color rgb="00D6EAD9"/>
      </colorScale>
    </cfRule>
  </conditionalFormatting>
  <conditionalFormatting sqref="C17:G21">
    <cfRule type="colorScale" priority="2">
      <colorScale>
        <cfvo type="min"/>
        <cfvo type="percentile" val="50"/>
        <cfvo type="max"/>
        <color rgb="00F8D7D5"/>
        <color rgb="00FFF1CC"/>
        <color rgb="00D6EAD9"/>
      </colorScale>
    </cfRule>
  </conditionalFormatting>
  <conditionalFormatting sqref="C27:G31">
    <cfRule type="colorScale" priority="3">
      <colorScale>
        <cfvo type="min"/>
        <cfvo type="percentile" val="50"/>
        <cfvo type="max"/>
        <color rgb="00F8D7D5"/>
        <color rgb="00FFF1CC"/>
        <color rgb="00D6EAD9"/>
      </colorScale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4A789C"/>
    <outlinePr summaryBelow="1" summaryRight="1"/>
    <pageSetUpPr fitToPage="1"/>
  </sheetPr>
  <dimension ref="A1:F40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 ht="30" customHeight="1">
      <c r="A1" s="1" t="inlineStr">
        <is>
          <t>SCENARIO ANALYSIS</t>
        </is>
      </c>
    </row>
    <row r="2" ht="16" customHeight="1">
      <c r="A2" s="2" t="inlineStr">
        <is>
          <t>Four full DCF runs — base, bull, bear and downside stress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Scenario Assumptions</t>
        </is>
      </c>
    </row>
    <row r="6">
      <c r="A6" s="24" t="inlineStr"/>
      <c r="B6" s="25" t="inlineStr">
        <is>
          <t>Base</t>
        </is>
      </c>
      <c r="C6" s="25" t="inlineStr">
        <is>
          <t>Bull</t>
        </is>
      </c>
      <c r="D6" s="25" t="inlineStr">
        <is>
          <t>Bear</t>
        </is>
      </c>
      <c r="E6" s="25" t="inlineStr">
        <is>
          <t>Downside</t>
        </is>
      </c>
    </row>
    <row r="7">
      <c r="A7" s="3" t="inlineStr">
        <is>
          <t>Year-1 revenue growth</t>
        </is>
      </c>
      <c r="B7" s="38">
        <f>'Assumptions'!$B$20</f>
        <v/>
      </c>
      <c r="C7" s="38">
        <f>'Assumptions'!$C$20</f>
        <v/>
      </c>
      <c r="D7" s="38">
        <f>'Assumptions'!$D$20</f>
        <v/>
      </c>
      <c r="E7" s="38">
        <f>'Assumptions'!$E$20</f>
        <v/>
      </c>
    </row>
    <row r="8">
      <c r="A8" s="3" t="inlineStr">
        <is>
          <t>Terminal growth (g)</t>
        </is>
      </c>
      <c r="B8" s="38">
        <f>'Assumptions'!$B$21</f>
        <v/>
      </c>
      <c r="C8" s="38">
        <f>'Assumptions'!$C$21</f>
        <v/>
      </c>
      <c r="D8" s="38">
        <f>'Assumptions'!$D$21</f>
        <v/>
      </c>
      <c r="E8" s="38">
        <f>'Assumptions'!$E$21</f>
        <v/>
      </c>
    </row>
    <row r="9">
      <c r="A9" s="3" t="inlineStr">
        <is>
          <t>Terminal EBIT margin</t>
        </is>
      </c>
      <c r="B9" s="38">
        <f>'Assumptions'!$B$22</f>
        <v/>
      </c>
      <c r="C9" s="38">
        <f>'Assumptions'!$C$22</f>
        <v/>
      </c>
      <c r="D9" s="38">
        <f>'Assumptions'!$D$22</f>
        <v/>
      </c>
      <c r="E9" s="38">
        <f>'Assumptions'!$E$22</f>
        <v/>
      </c>
    </row>
    <row r="11" ht="20" customHeight="1">
      <c r="A11" s="5" t="inlineStr">
        <is>
          <t>Revenue by Forecast Year</t>
        </is>
      </c>
    </row>
    <row r="12">
      <c r="A12" s="24" t="inlineStr"/>
      <c r="B12" s="25" t="inlineStr">
        <is>
          <t>Base</t>
        </is>
      </c>
      <c r="C12" s="25" t="inlineStr">
        <is>
          <t>Bull</t>
        </is>
      </c>
      <c r="D12" s="25" t="inlineStr">
        <is>
          <t>Bear</t>
        </is>
      </c>
      <c r="E12" s="25" t="inlineStr">
        <is>
          <t>Downside</t>
        </is>
      </c>
    </row>
    <row r="13">
      <c r="A13" s="3" t="inlineStr">
        <is>
          <t>Year +1</t>
        </is>
      </c>
      <c r="B13" s="27">
        <f>'Forecast'!$B$8*(1+('Assumptions'!$B$20+('Assumptions'!$B$21-'Assumptions'!$B$20)*0.000000))</f>
        <v/>
      </c>
      <c r="C13" s="27">
        <f>'Forecast'!$B$8*(1+('Assumptions'!$C$20+('Assumptions'!$C$21-'Assumptions'!$C$20)*0.000000))</f>
        <v/>
      </c>
      <c r="D13" s="27">
        <f>'Forecast'!$B$8*(1+('Assumptions'!$D$20+('Assumptions'!$D$21-'Assumptions'!$D$20)*0.000000))</f>
        <v/>
      </c>
      <c r="E13" s="27">
        <f>'Forecast'!$B$8*(1+('Assumptions'!$E$20+('Assumptions'!$E$21-'Assumptions'!$E$20)*0.000000))</f>
        <v/>
      </c>
    </row>
    <row r="14">
      <c r="A14" s="3" t="inlineStr">
        <is>
          <t>Year +2</t>
        </is>
      </c>
      <c r="B14" s="27">
        <f>'Scenario'!$B$13*(1+('Assumptions'!$B$20+('Assumptions'!$B$21-'Assumptions'!$B$20)*0.250000))</f>
        <v/>
      </c>
      <c r="C14" s="27">
        <f>'Scenario'!$C$13*(1+('Assumptions'!$C$20+('Assumptions'!$C$21-'Assumptions'!$C$20)*0.250000))</f>
        <v/>
      </c>
      <c r="D14" s="27">
        <f>'Scenario'!$D$13*(1+('Assumptions'!$D$20+('Assumptions'!$D$21-'Assumptions'!$D$20)*0.250000))</f>
        <v/>
      </c>
      <c r="E14" s="27">
        <f>'Scenario'!$E$13*(1+('Assumptions'!$E$20+('Assumptions'!$E$21-'Assumptions'!$E$20)*0.250000))</f>
        <v/>
      </c>
    </row>
    <row r="15">
      <c r="A15" s="3" t="inlineStr">
        <is>
          <t>Year +3</t>
        </is>
      </c>
      <c r="B15" s="27">
        <f>'Scenario'!$B$14*(1+('Assumptions'!$B$20+('Assumptions'!$B$21-'Assumptions'!$B$20)*0.500000))</f>
        <v/>
      </c>
      <c r="C15" s="27">
        <f>'Scenario'!$C$14*(1+('Assumptions'!$C$20+('Assumptions'!$C$21-'Assumptions'!$C$20)*0.500000))</f>
        <v/>
      </c>
      <c r="D15" s="27">
        <f>'Scenario'!$D$14*(1+('Assumptions'!$D$20+('Assumptions'!$D$21-'Assumptions'!$D$20)*0.500000))</f>
        <v/>
      </c>
      <c r="E15" s="27">
        <f>'Scenario'!$E$14*(1+('Assumptions'!$E$20+('Assumptions'!$E$21-'Assumptions'!$E$20)*0.500000))</f>
        <v/>
      </c>
    </row>
    <row r="16">
      <c r="A16" s="3" t="inlineStr">
        <is>
          <t>Year +4</t>
        </is>
      </c>
      <c r="B16" s="27">
        <f>'Scenario'!$B$15*(1+('Assumptions'!$B$20+('Assumptions'!$B$21-'Assumptions'!$B$20)*0.750000))</f>
        <v/>
      </c>
      <c r="C16" s="27">
        <f>'Scenario'!$C$15*(1+('Assumptions'!$C$20+('Assumptions'!$C$21-'Assumptions'!$C$20)*0.750000))</f>
        <v/>
      </c>
      <c r="D16" s="27">
        <f>'Scenario'!$D$15*(1+('Assumptions'!$D$20+('Assumptions'!$D$21-'Assumptions'!$D$20)*0.750000))</f>
        <v/>
      </c>
      <c r="E16" s="27">
        <f>'Scenario'!$E$15*(1+('Assumptions'!$E$20+('Assumptions'!$E$21-'Assumptions'!$E$20)*0.750000))</f>
        <v/>
      </c>
    </row>
    <row r="17">
      <c r="A17" s="3" t="inlineStr">
        <is>
          <t>Year +5</t>
        </is>
      </c>
      <c r="B17" s="27">
        <f>'Scenario'!$B$16*(1+('Assumptions'!$B$20+('Assumptions'!$B$21-'Assumptions'!$B$20)*1.000000))</f>
        <v/>
      </c>
      <c r="C17" s="27">
        <f>'Scenario'!$C$16*(1+('Assumptions'!$C$20+('Assumptions'!$C$21-'Assumptions'!$C$20)*1.000000))</f>
        <v/>
      </c>
      <c r="D17" s="27">
        <f>'Scenario'!$D$16*(1+('Assumptions'!$D$20+('Assumptions'!$D$21-'Assumptions'!$D$20)*1.000000))</f>
        <v/>
      </c>
      <c r="E17" s="27">
        <f>'Scenario'!$E$16*(1+('Assumptions'!$E$20+('Assumptions'!$E$21-'Assumptions'!$E$20)*1.000000))</f>
        <v/>
      </c>
    </row>
    <row r="19" ht="20" customHeight="1">
      <c r="A19" s="5" t="inlineStr">
        <is>
          <t>Unlevered Free Cash Flow by Year</t>
        </is>
      </c>
    </row>
    <row r="20">
      <c r="A20" s="24" t="inlineStr"/>
      <c r="B20" s="25" t="inlineStr">
        <is>
          <t>Base</t>
        </is>
      </c>
      <c r="C20" s="25" t="inlineStr">
        <is>
          <t>Bull</t>
        </is>
      </c>
      <c r="D20" s="25" t="inlineStr">
        <is>
          <t>Bear</t>
        </is>
      </c>
      <c r="E20" s="25" t="inlineStr">
        <is>
          <t>Downside</t>
        </is>
      </c>
    </row>
    <row r="21">
      <c r="A21" s="3" t="inlineStr">
        <is>
          <t>Year +1</t>
        </is>
      </c>
      <c r="B21" s="27">
        <f>'Scenario'!$B$13*('Forecast'!$B$9+('Assumptions'!$B$22-'Forecast'!$B$9)*0.200000)*(1-'Assumptions'!$B$28)+'Scenario'!$B$13*'Assumptions'!$B$25-'Scenario'!$B$13*'Assumptions'!$B$26-'Assumptions'!$B$27*('Scenario'!$B$13-'Forecast'!$B$8)</f>
        <v/>
      </c>
      <c r="C21" s="27">
        <f>'Scenario'!$C$13*('Forecast'!$B$9+('Assumptions'!$C$22-'Forecast'!$B$9)*0.200000)*(1-'Assumptions'!$B$28)+'Scenario'!$C$13*'Assumptions'!$B$25-'Scenario'!$C$13*'Assumptions'!$B$26-'Assumptions'!$B$27*('Scenario'!$C$13-'Forecast'!$B$8)</f>
        <v/>
      </c>
      <c r="D21" s="27">
        <f>'Scenario'!$D$13*('Forecast'!$B$9+('Assumptions'!$D$22-'Forecast'!$B$9)*0.200000)*(1-'Assumptions'!$B$28)+'Scenario'!$D$13*'Assumptions'!$B$25-'Scenario'!$D$13*'Assumptions'!$B$26-'Assumptions'!$B$27*('Scenario'!$D$13-'Forecast'!$B$8)</f>
        <v/>
      </c>
      <c r="E21" s="27">
        <f>'Scenario'!$E$13*('Forecast'!$B$9+('Assumptions'!$E$22-'Forecast'!$B$9)*0.200000)*(1-'Assumptions'!$B$28)+'Scenario'!$E$13*'Assumptions'!$B$25-'Scenario'!$E$13*'Assumptions'!$B$26-'Assumptions'!$B$27*('Scenario'!$E$13-'Forecast'!$B$8)</f>
        <v/>
      </c>
    </row>
    <row r="22">
      <c r="A22" s="3" t="inlineStr">
        <is>
          <t>Year +2</t>
        </is>
      </c>
      <c r="B22" s="27">
        <f>'Scenario'!$B$14*('Forecast'!$B$9+('Assumptions'!$B$22-'Forecast'!$B$9)*0.400000)*(1-'Assumptions'!$B$28)+'Scenario'!$B$14*'Assumptions'!$B$25-'Scenario'!$B$14*'Assumptions'!$B$26-'Assumptions'!$B$27*('Scenario'!$B$14-'Scenario'!$B$13)</f>
        <v/>
      </c>
      <c r="C22" s="27">
        <f>'Scenario'!$C$14*('Forecast'!$B$9+('Assumptions'!$C$22-'Forecast'!$B$9)*0.400000)*(1-'Assumptions'!$B$28)+'Scenario'!$C$14*'Assumptions'!$B$25-'Scenario'!$C$14*'Assumptions'!$B$26-'Assumptions'!$B$27*('Scenario'!$C$14-'Scenario'!$C$13)</f>
        <v/>
      </c>
      <c r="D22" s="27">
        <f>'Scenario'!$D$14*('Forecast'!$B$9+('Assumptions'!$D$22-'Forecast'!$B$9)*0.400000)*(1-'Assumptions'!$B$28)+'Scenario'!$D$14*'Assumptions'!$B$25-'Scenario'!$D$14*'Assumptions'!$B$26-'Assumptions'!$B$27*('Scenario'!$D$14-'Scenario'!$D$13)</f>
        <v/>
      </c>
      <c r="E22" s="27">
        <f>'Scenario'!$E$14*('Forecast'!$B$9+('Assumptions'!$E$22-'Forecast'!$B$9)*0.400000)*(1-'Assumptions'!$B$28)+'Scenario'!$E$14*'Assumptions'!$B$25-'Scenario'!$E$14*'Assumptions'!$B$26-'Assumptions'!$B$27*('Scenario'!$E$14-'Scenario'!$E$13)</f>
        <v/>
      </c>
    </row>
    <row r="23">
      <c r="A23" s="3" t="inlineStr">
        <is>
          <t>Year +3</t>
        </is>
      </c>
      <c r="B23" s="27">
        <f>'Scenario'!$B$15*('Forecast'!$B$9+('Assumptions'!$B$22-'Forecast'!$B$9)*0.600000)*(1-'Assumptions'!$B$28)+'Scenario'!$B$15*'Assumptions'!$B$25-'Scenario'!$B$15*'Assumptions'!$B$26-'Assumptions'!$B$27*('Scenario'!$B$15-'Scenario'!$B$14)</f>
        <v/>
      </c>
      <c r="C23" s="27">
        <f>'Scenario'!$C$15*('Forecast'!$B$9+('Assumptions'!$C$22-'Forecast'!$B$9)*0.600000)*(1-'Assumptions'!$B$28)+'Scenario'!$C$15*'Assumptions'!$B$25-'Scenario'!$C$15*'Assumptions'!$B$26-'Assumptions'!$B$27*('Scenario'!$C$15-'Scenario'!$C$14)</f>
        <v/>
      </c>
      <c r="D23" s="27">
        <f>'Scenario'!$D$15*('Forecast'!$B$9+('Assumptions'!$D$22-'Forecast'!$B$9)*0.600000)*(1-'Assumptions'!$B$28)+'Scenario'!$D$15*'Assumptions'!$B$25-'Scenario'!$D$15*'Assumptions'!$B$26-'Assumptions'!$B$27*('Scenario'!$D$15-'Scenario'!$D$14)</f>
        <v/>
      </c>
      <c r="E23" s="27">
        <f>'Scenario'!$E$15*('Forecast'!$B$9+('Assumptions'!$E$22-'Forecast'!$B$9)*0.600000)*(1-'Assumptions'!$B$28)+'Scenario'!$E$15*'Assumptions'!$B$25-'Scenario'!$E$15*'Assumptions'!$B$26-'Assumptions'!$B$27*('Scenario'!$E$15-'Scenario'!$E$14)</f>
        <v/>
      </c>
    </row>
    <row r="24">
      <c r="A24" s="3" t="inlineStr">
        <is>
          <t>Year +4</t>
        </is>
      </c>
      <c r="B24" s="27">
        <f>'Scenario'!$B$16*('Forecast'!$B$9+('Assumptions'!$B$22-'Forecast'!$B$9)*0.800000)*(1-'Assumptions'!$B$28)+'Scenario'!$B$16*'Assumptions'!$B$25-'Scenario'!$B$16*'Assumptions'!$B$26-'Assumptions'!$B$27*('Scenario'!$B$16-'Scenario'!$B$15)</f>
        <v/>
      </c>
      <c r="C24" s="27">
        <f>'Scenario'!$C$16*('Forecast'!$B$9+('Assumptions'!$C$22-'Forecast'!$B$9)*0.800000)*(1-'Assumptions'!$B$28)+'Scenario'!$C$16*'Assumptions'!$B$25-'Scenario'!$C$16*'Assumptions'!$B$26-'Assumptions'!$B$27*('Scenario'!$C$16-'Scenario'!$C$15)</f>
        <v/>
      </c>
      <c r="D24" s="27">
        <f>'Scenario'!$D$16*('Forecast'!$B$9+('Assumptions'!$D$22-'Forecast'!$B$9)*0.800000)*(1-'Assumptions'!$B$28)+'Scenario'!$D$16*'Assumptions'!$B$25-'Scenario'!$D$16*'Assumptions'!$B$26-'Assumptions'!$B$27*('Scenario'!$D$16-'Scenario'!$D$15)</f>
        <v/>
      </c>
      <c r="E24" s="27">
        <f>'Scenario'!$E$16*('Forecast'!$B$9+('Assumptions'!$E$22-'Forecast'!$B$9)*0.800000)*(1-'Assumptions'!$B$28)+'Scenario'!$E$16*'Assumptions'!$B$25-'Scenario'!$E$16*'Assumptions'!$B$26-'Assumptions'!$B$27*('Scenario'!$E$16-'Scenario'!$E$15)</f>
        <v/>
      </c>
    </row>
    <row r="25">
      <c r="A25" s="3" t="inlineStr">
        <is>
          <t>Year +5</t>
        </is>
      </c>
      <c r="B25" s="27">
        <f>'Scenario'!$B$17*('Forecast'!$B$9+('Assumptions'!$B$22-'Forecast'!$B$9)*1.000000)*(1-'Assumptions'!$B$28)+'Scenario'!$B$17*'Assumptions'!$B$25-'Scenario'!$B$17*'Assumptions'!$B$26-'Assumptions'!$B$27*('Scenario'!$B$17-'Scenario'!$B$16)</f>
        <v/>
      </c>
      <c r="C25" s="27">
        <f>'Scenario'!$C$17*('Forecast'!$B$9+('Assumptions'!$C$22-'Forecast'!$B$9)*1.000000)*(1-'Assumptions'!$B$28)+'Scenario'!$C$17*'Assumptions'!$B$25-'Scenario'!$C$17*'Assumptions'!$B$26-'Assumptions'!$B$27*('Scenario'!$C$17-'Scenario'!$C$16)</f>
        <v/>
      </c>
      <c r="D25" s="27">
        <f>'Scenario'!$D$17*('Forecast'!$B$9+('Assumptions'!$D$22-'Forecast'!$B$9)*1.000000)*(1-'Assumptions'!$B$28)+'Scenario'!$D$17*'Assumptions'!$B$25-'Scenario'!$D$17*'Assumptions'!$B$26-'Assumptions'!$B$27*('Scenario'!$D$17-'Scenario'!$D$16)</f>
        <v/>
      </c>
      <c r="E25" s="27">
        <f>'Scenario'!$E$17*('Forecast'!$B$9+('Assumptions'!$E$22-'Forecast'!$B$9)*1.000000)*(1-'Assumptions'!$B$28)+'Scenario'!$E$17*'Assumptions'!$B$25-'Scenario'!$E$17*'Assumptions'!$B$26-'Assumptions'!$B$27*('Scenario'!$E$17-'Scenario'!$E$16)</f>
        <v/>
      </c>
    </row>
    <row r="27" ht="20" customHeight="1">
      <c r="A27" s="5" t="inlineStr">
        <is>
          <t>Valuation by Scenario</t>
        </is>
      </c>
    </row>
    <row r="28">
      <c r="A28" s="24" t="inlineStr"/>
      <c r="B28" s="25" t="inlineStr">
        <is>
          <t>Base</t>
        </is>
      </c>
      <c r="C28" s="25" t="inlineStr">
        <is>
          <t>Bull</t>
        </is>
      </c>
      <c r="D28" s="25" t="inlineStr">
        <is>
          <t>Bear</t>
        </is>
      </c>
      <c r="E28" s="25" t="inlineStr">
        <is>
          <t>Downside</t>
        </is>
      </c>
    </row>
    <row r="29">
      <c r="A29" s="3" t="inlineStr">
        <is>
          <t>Σ PV of explicit FCFF</t>
        </is>
      </c>
      <c r="B29" s="27">
        <f>('Scenario'!$B$21/(1+'WACC'!$B$24)^1+'Scenario'!$B$22/(1+'WACC'!$B$24)^2+'Scenario'!$B$23/(1+'WACC'!$B$24)^3+'Scenario'!$B$24/(1+'WACC'!$B$24)^4+'Scenario'!$B$25/(1+'WACC'!$B$24)^5)</f>
        <v/>
      </c>
      <c r="C29" s="27">
        <f>('Scenario'!$C$21/(1+'WACC'!$B$24)^1+'Scenario'!$C$22/(1+'WACC'!$B$24)^2+'Scenario'!$C$23/(1+'WACC'!$B$24)^3+'Scenario'!$C$24/(1+'WACC'!$B$24)^4+'Scenario'!$C$25/(1+'WACC'!$B$24)^5)</f>
        <v/>
      </c>
      <c r="D29" s="27">
        <f>('Scenario'!$D$21/(1+'WACC'!$B$24)^1+'Scenario'!$D$22/(1+'WACC'!$B$24)^2+'Scenario'!$D$23/(1+'WACC'!$B$24)^3+'Scenario'!$D$24/(1+'WACC'!$B$24)^4+'Scenario'!$D$25/(1+'WACC'!$B$24)^5)</f>
        <v/>
      </c>
      <c r="E29" s="27">
        <f>('Scenario'!$E$21/(1+'WACC'!$B$24)^1+'Scenario'!$E$22/(1+'WACC'!$B$24)^2+'Scenario'!$E$23/(1+'WACC'!$B$24)^3+'Scenario'!$E$24/(1+'WACC'!$B$24)^4+'Scenario'!$E$25/(1+'WACC'!$B$24)^5)</f>
        <v/>
      </c>
    </row>
    <row r="30">
      <c r="A30" s="3" t="inlineStr">
        <is>
          <t>Terminal value (perpetuity)</t>
        </is>
      </c>
      <c r="B30" s="27">
        <f>IFERROR('Scenario'!$B$25*(1+'Assumptions'!$B$21)/('WACC'!$B$24-'Assumptions'!$B$21),"n/m")</f>
        <v/>
      </c>
      <c r="C30" s="27">
        <f>IFERROR('Scenario'!$C$25*(1+'Assumptions'!$C$21)/('WACC'!$B$24-'Assumptions'!$C$21),"n/m")</f>
        <v/>
      </c>
      <c r="D30" s="27">
        <f>IFERROR('Scenario'!$D$25*(1+'Assumptions'!$D$21)/('WACC'!$B$24-'Assumptions'!$D$21),"n/m")</f>
        <v/>
      </c>
      <c r="E30" s="27">
        <f>IFERROR('Scenario'!$E$25*(1+'Assumptions'!$E$21)/('WACC'!$B$24-'Assumptions'!$E$21),"n/m")</f>
        <v/>
      </c>
    </row>
    <row r="31">
      <c r="A31" s="3" t="inlineStr">
        <is>
          <t>PV of terminal value</t>
        </is>
      </c>
      <c r="B31" s="27">
        <f>'Scenario'!$B$30/(1+'WACC'!$B$24)^5</f>
        <v/>
      </c>
      <c r="C31" s="27">
        <f>'Scenario'!$C$30/(1+'WACC'!$B$24)^5</f>
        <v/>
      </c>
      <c r="D31" s="27">
        <f>'Scenario'!$D$30/(1+'WACC'!$B$24)^5</f>
        <v/>
      </c>
      <c r="E31" s="27">
        <f>'Scenario'!$E$30/(1+'WACC'!$B$24)^5</f>
        <v/>
      </c>
    </row>
    <row r="32">
      <c r="A32" s="12" t="inlineStr">
        <is>
          <t>Enterprise value</t>
        </is>
      </c>
      <c r="B32" s="50">
        <f>'Scenario'!$B$29+'Scenario'!$B$31</f>
        <v/>
      </c>
      <c r="C32" s="50">
        <f>'Scenario'!$C$29+'Scenario'!$C$31</f>
        <v/>
      </c>
      <c r="D32" s="50">
        <f>'Scenario'!$D$29+'Scenario'!$D$31</f>
        <v/>
      </c>
      <c r="E32" s="50">
        <f>'Scenario'!$E$29+'Scenario'!$E$31</f>
        <v/>
      </c>
    </row>
    <row r="33">
      <c r="A33" s="3" t="inlineStr">
        <is>
          <t>Equity value</t>
        </is>
      </c>
      <c r="B33" s="27">
        <f>'Scenario'!$B$32-'Historical'!$F$46-'Inputs'!$F$72</f>
        <v/>
      </c>
      <c r="C33" s="27">
        <f>'Scenario'!$C$32-'Historical'!$F$46-'Inputs'!$F$72</f>
        <v/>
      </c>
      <c r="D33" s="27">
        <f>'Scenario'!$D$32-'Historical'!$F$46-'Inputs'!$F$72</f>
        <v/>
      </c>
      <c r="E33" s="27">
        <f>'Scenario'!$E$32-'Historical'!$F$46-'Inputs'!$F$72</f>
        <v/>
      </c>
    </row>
    <row r="34">
      <c r="A34" s="12" t="inlineStr">
        <is>
          <t>Implied value per share</t>
        </is>
      </c>
      <c r="B34" s="6">
        <f>IFERROR('Scenario'!$B$33/'DCF'!$B$35,"n/m")</f>
        <v/>
      </c>
      <c r="C34" s="6">
        <f>IFERROR('Scenario'!$C$33/'DCF'!$B$35,"n/m")</f>
        <v/>
      </c>
      <c r="D34" s="6">
        <f>IFERROR('Scenario'!$D$33/'DCF'!$B$35,"n/m")</f>
        <v/>
      </c>
      <c r="E34" s="6">
        <f>IFERROR('Scenario'!$E$33/'DCF'!$B$35,"n/m")</f>
        <v/>
      </c>
    </row>
    <row r="35">
      <c r="A35" s="3" t="inlineStr">
        <is>
          <t>Upside / (downside) vs price</t>
        </is>
      </c>
      <c r="B35" s="9">
        <f>IFERROR('Scenario'!$B$34/'Inputs'!$B$112-1,"n/a")</f>
        <v/>
      </c>
      <c r="C35" s="9">
        <f>IFERROR('Scenario'!$C$34/'Inputs'!$B$112-1,"n/a")</f>
        <v/>
      </c>
      <c r="D35" s="9">
        <f>IFERROR('Scenario'!$D$34/'Inputs'!$B$112-1,"n/a")</f>
        <v/>
      </c>
      <c r="E35" s="9">
        <f>IFERROR('Scenario'!$E$34/'Inputs'!$B$112-1,"n/a")</f>
        <v/>
      </c>
    </row>
    <row r="36">
      <c r="A36" s="3" t="inlineStr">
        <is>
          <t>Valuation read</t>
        </is>
      </c>
      <c r="B36" s="60">
        <f>IF(NOT(AND(ISNUMBER('Scenario'!$B$34),ISNUMBER('Inputs'!$B$112),'Inputs'!$B$112&gt;0)),"n/a",IF('Scenario'!$B$34&gt;'Inputs'!$B$112*(1+0.15),"Undervalued",IF('Scenario'!$B$34&lt;'Inputs'!$B$112*(1-0.15),"Overvalued","Fairly valued")))</f>
        <v/>
      </c>
      <c r="C36" s="60">
        <f>IF(NOT(AND(ISNUMBER('Scenario'!$C$34),ISNUMBER('Inputs'!$B$112),'Inputs'!$B$112&gt;0)),"n/a",IF('Scenario'!$C$34&gt;'Inputs'!$B$112*(1+0.15),"Undervalued",IF('Scenario'!$C$34&lt;'Inputs'!$B$112*(1-0.15),"Overvalued","Fairly valued")))</f>
        <v/>
      </c>
      <c r="D36" s="60">
        <f>IF(NOT(AND(ISNUMBER('Scenario'!$D$34),ISNUMBER('Inputs'!$B$112),'Inputs'!$B$112&gt;0)),"n/a",IF('Scenario'!$D$34&gt;'Inputs'!$B$112*(1+0.15),"Undervalued",IF('Scenario'!$D$34&lt;'Inputs'!$B$112*(1-0.15),"Overvalued","Fairly valued")))</f>
        <v/>
      </c>
      <c r="E36" s="60">
        <f>IF(NOT(AND(ISNUMBER('Scenario'!$E$34),ISNUMBER('Inputs'!$B$112),'Inputs'!$B$112&gt;0)),"n/a",IF('Scenario'!$E$34&gt;'Inputs'!$B$112*(1+0.15),"Undervalued",IF('Scenario'!$E$34&lt;'Inputs'!$B$112*(1-0.15),"Overvalued","Fairly valued")))</f>
        <v/>
      </c>
    </row>
    <row r="38">
      <c r="A38" s="3" t="inlineStr">
        <is>
          <t>Current share price (reference):</t>
        </is>
      </c>
      <c r="B38" s="7">
        <f>'Inputs'!$B$112</f>
        <v/>
      </c>
    </row>
    <row r="40">
      <c r="A40" s="11" t="inlineStr">
        <is>
          <t>Base reproduces the headline DCF; Downside is a stress case (low growth, compressed margins).</t>
        </is>
      </c>
    </row>
  </sheetData>
  <mergeCells count="8">
    <mergeCell ref="A2:F2"/>
    <mergeCell ref="A11:F11"/>
    <mergeCell ref="A19:F19"/>
    <mergeCell ref="A1:F1"/>
    <mergeCell ref="A5:F5"/>
    <mergeCell ref="A27:F27"/>
    <mergeCell ref="A40:F40"/>
    <mergeCell ref="A3:F3"/>
  </mergeCells>
  <conditionalFormatting sqref="B36:E36">
    <cfRule type="expression" priority="1" dxfId="0" stopIfTrue="1">
      <formula>OR(ISNUMBER(SEARCH("Strong",B36)),ISNUMBER(SEARCH("Improving",B36)),ISNUMBER(SEARCH("Expanding",B36)),ISNUMBER(SEARCH("Accelerating",B36)),ISNUMBER(SEARCH("Conservative",B36)),ISNUMBER(SEARCH("Undervalued",B36)),ISNUMBER(SEARCH("Value-creating",B36)),ISNUMBER(SEARCH("Robust",B36)),ISNUMBER(SEARCH("Healthy",B36)),ISNUMBER(SEARCH("Low risk",B36)),ISNUMBER(SEARCH("PASS",B36)),ISNUMBER(SEARCH("Balanced",B36)),ISNUMBER(SEARCH("Ties",B36)),ISNUMBER(SEARCH("Acyclic",B36)),ISNUMBER(SEARCH("Present",B36)),ISNUMBER(SEARCH("Consistent",B36)),ISNUMBER(SEARCH("Positive",B36)))</formula>
    </cfRule>
    <cfRule type="expression" priority="2" dxfId="1" stopIfTrue="1">
      <formula>OR(ISNUMBER(SEARCH("Weak",B36)),ISNUMBER(SEARCH("Deteriorating",B36)),ISNUMBER(SEARCH("Compressing",B36)),ISNUMBER(SEARCH("Elevated",B36)),ISNUMBER(SEARCH("Stretched",B36)),ISNUMBER(SEARCH("Overvalued",B36)),ISNUMBER(SEARCH("Value-destroying",B36)),ISNUMBER(SEARCH("Severe",B36)),ISNUMBER(SEARCH("High risk",B36)),ISNUMBER(SEARCH("Negative",B36)),ISNUMBER(SEARCH("Breach",B36)),ISNUMBER(SEARCH("FAIL",B36)),ISNUMBER(SEARCH("Imbalanced",B36)),ISNUMBER(SEARCH("Outlier",B36)),ISNUMBER(SEARCH("Missing",B36)))</formula>
    </cfRule>
    <cfRule type="expression" priority="3" dxfId="2" stopIfTrue="1">
      <formula>OR(ISNUMBER(SEARCH("Moderate",B36)),ISNUMBER(SEARCH("Caution",B36)),ISNUMBER(SEARCH("Decelerating",B36)),ISNUMBER(SEARCH("Watch",B36)),ISNUMBER(SEARCH("Partial",B36)),ISNUMBER(SEARCH("Thin",B36)),ISNUMBER(SEARCH("REVIEW",B36)),ISNUMBER(SEARCH("TV-heavy",B36)),ISNUMBER(SEARCH("Outside",B36)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9C6500"/>
    <outlinePr summaryBelow="1" summaryRight="1"/>
    <pageSetUpPr fitToPage="1"/>
  </sheetPr>
  <dimension ref="A1:D32"/>
  <sheetViews>
    <sheetView showGridLines="0" zoomScale="10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64" customWidth="1" min="4" max="4"/>
  </cols>
  <sheetData>
    <row r="1" ht="30" customHeight="1">
      <c r="A1" s="1" t="inlineStr">
        <is>
          <t>CHECKS &amp; DIAGNOSTICS</t>
        </is>
      </c>
    </row>
    <row r="2" ht="16" customHeight="1">
      <c r="A2" s="2" t="inlineStr">
        <is>
          <t>Automated integrity, sanity and data-gap checks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Overall Data Health</t>
        </is>
      </c>
    </row>
    <row r="6">
      <c r="A6" s="12" t="inlineStr">
        <is>
          <t>Overall verdict</t>
        </is>
      </c>
      <c r="B6" s="61">
        <f>IF('Checks'!$B$7&gt;0,"FAIL — fix flagged items",IF('Checks'!$B$8&gt;0,"REVIEW — some items to check","PASS — all checks clear"))</f>
        <v/>
      </c>
      <c r="C6" s="21" t="n"/>
      <c r="D6" s="22" t="n"/>
    </row>
    <row r="7">
      <c r="A7" s="3" t="inlineStr">
        <is>
          <t>Checks failed (FAIL)</t>
        </is>
      </c>
      <c r="B7" s="55">
        <f>COUNTIF(C11:C32,"FAIL")</f>
        <v/>
      </c>
    </row>
    <row r="8">
      <c r="A8" s="3" t="inlineStr">
        <is>
          <t>Checks to review (REVIEW)</t>
        </is>
      </c>
      <c r="B8" s="55">
        <f>COUNTIF(C11:C32,"REVIEW")</f>
        <v/>
      </c>
    </row>
    <row r="10" ht="20" customHeight="1">
      <c r="A10" s="5" t="inlineStr">
        <is>
          <t>Financial-Statement Integrity</t>
        </is>
      </c>
    </row>
    <row r="11">
      <c r="A11" s="3" t="inlineStr">
        <is>
          <t>Balance sheet balances (max |A − (L+E)|)</t>
        </is>
      </c>
      <c r="B11" s="27">
        <f>MAX(ABS('Inputs'!$B$62-'Inputs'!$B$73),ABS('Inputs'!$C$62-'Inputs'!$C$73),ABS('Inputs'!$D$62-'Inputs'!$D$73),ABS('Inputs'!$E$62-'Inputs'!$E$73),ABS('Inputs'!$F$62-'Inputs'!$F$73))</f>
        <v/>
      </c>
      <c r="C11" s="8">
        <f>IF($B$11&lt;=1,"PASS",IF($B$11&lt;=0.005*'Inputs'!$F$62,"REVIEW","FAIL"))</f>
        <v/>
      </c>
      <c r="D11" s="11" t="inlineStr">
        <is>
          <t>Assets should equal liabilities + equity every year (rounding aside).</t>
        </is>
      </c>
    </row>
    <row r="12">
      <c r="A12" s="3" t="inlineStr">
        <is>
          <t>Cash flow ties (max |Δcash − net CF|)</t>
        </is>
      </c>
      <c r="B12" s="27">
        <f>MAX(ABS('Inputs'!$C$91-('Inputs'!$C$52-'Inputs'!$B$52)),ABS('Inputs'!$D$91-('Inputs'!$D$52-'Inputs'!$C$52)),ABS('Inputs'!$E$91-('Inputs'!$E$52-'Inputs'!$D$52)),ABS('Inputs'!$F$91-('Inputs'!$F$52-'Inputs'!$E$52)))</f>
        <v/>
      </c>
      <c r="C12" s="8">
        <f>IF($B$12&lt;=1,"PASS",IF($B$12&lt;=0.01*'Inputs'!$F$52,"REVIEW","FAIL"))</f>
        <v/>
      </c>
      <c r="D12" s="11" t="inlineStr">
        <is>
          <t>CFO + CFI + CFF should equal the change in the cash balance.</t>
        </is>
      </c>
    </row>
    <row r="13">
      <c r="A13" s="3" t="inlineStr">
        <is>
          <t>Net income: IS vs cash-flow statement</t>
        </is>
      </c>
      <c r="B13" s="27">
        <f>ABS('Inputs'!$F$48-'Inputs'!$F$77)</f>
        <v/>
      </c>
      <c r="C13" s="8">
        <f>IF($B$13&lt;=1,"PASS",IF($B$13&lt;=5,"REVIEW","FAIL"))</f>
        <v/>
      </c>
      <c r="D13" s="11" t="inlineStr">
        <is>
          <t>Net income on the income statement should match the cash-flow start line.</t>
        </is>
      </c>
    </row>
    <row r="15" ht="20" customHeight="1">
      <c r="A15" s="5" t="inlineStr">
        <is>
          <t>Sign, Units &amp; Data Presence</t>
        </is>
      </c>
    </row>
    <row r="16">
      <c r="A16" s="3" t="inlineStr">
        <is>
          <t>Sign sanity (cost/return lines entered positive)</t>
        </is>
      </c>
      <c r="B16" s="55">
        <f>SUM(IF('Inputs'!$F$33&lt;0,1,0),IF('Inputs'!$F$34&lt;0,1,0),IF('Inputs'!$F$82&lt;0,1,0),IF('Inputs'!$F$87&lt;0,1,0),IF('Inputs'!$F$88&lt;0,1,0))</f>
        <v/>
      </c>
      <c r="C16" s="8">
        <f>IF($B$16=0,"PASS","REVIEW")</f>
        <v/>
      </c>
      <c r="D16" s="11" t="inlineStr">
        <is>
          <t>Revenue, COGS, capex, dividends and buybacks should be entered as positives.</t>
        </is>
      </c>
    </row>
    <row r="17">
      <c r="A17" s="3" t="inlineStr">
        <is>
          <t>Key inputs present (latest year)</t>
        </is>
      </c>
      <c r="B17" s="55">
        <f>IF(NOT(ISNUMBER('Inputs'!$F$33)),1,0)+IF(NOT(ISNUMBER('Inputs'!$F$34)),1,0)+IF(NOT(ISNUMBER('Inputs'!$F$71)),1,0)+IF(NOT(ISNUMBER('Inputs'!$F$62)),1,0)+IF(NOT(ISNUMBER('Inputs'!$F$52)),1,0)+IF(NOT(ISNUMBER('Inputs'!$F$96)),1,0)+IF(NOT(ISNUMBER('Inputs'!$F$78)),1,0)+IF(NOT(ISNUMBER('Inputs'!$F$82)),1,0)</f>
        <v/>
      </c>
      <c r="C17" s="8">
        <f>IF($B$17=0,"PASS",IF($B$17&lt;=2,"REVIEW","FAIL"))</f>
        <v/>
      </c>
      <c r="D17" s="11" t="inlineStr">
        <is>
          <t>Count of essential latest-year inputs that are blank/missing.</t>
        </is>
      </c>
    </row>
    <row r="18">
      <c r="A18" s="3" t="inlineStr">
        <is>
          <t>Currency &amp; units specified</t>
        </is>
      </c>
      <c r="C18" s="8">
        <f>IF(AND(ISTEXT('Inputs'!$B$9),ISTEXT('Inputs'!$B$10)),"PASS","REVIEW")</f>
        <v/>
      </c>
      <c r="D18" s="11" t="inlineStr">
        <is>
          <t>Currency and units should be stated so figures are unambiguous.</t>
        </is>
      </c>
    </row>
    <row r="20" ht="20" customHeight="1">
      <c r="A20" s="5" t="inlineStr">
        <is>
          <t>Valuation &amp; Assumption Sanity</t>
        </is>
      </c>
    </row>
    <row r="21">
      <c r="A21" s="3" t="inlineStr">
        <is>
          <t>WACC within plausible range</t>
        </is>
      </c>
      <c r="B21" s="62">
        <f>'WACC'!$B$24</f>
        <v/>
      </c>
      <c r="C21" s="8">
        <f>IF(AND(ISNUMBER($B$21),$B$21&gt;=0.04,$B$21&lt;=0.18),"PASS","REVIEW")</f>
        <v/>
      </c>
      <c r="D21" s="11" t="inlineStr">
        <is>
          <t>WACC should sit roughly within 4–18%.</t>
        </is>
      </c>
    </row>
    <row r="22">
      <c r="A22" s="3" t="inlineStr">
        <is>
          <t>WACC exceeds terminal growth (g)</t>
        </is>
      </c>
      <c r="B22" s="62">
        <f>'WACC'!$B$24-'Assumptions'!$B$35</f>
        <v/>
      </c>
      <c r="C22" s="8">
        <f>IF(AND(ISNUMBER($B$22),$B$22&gt;=0.01),"PASS","REVIEW")</f>
        <v/>
      </c>
      <c r="D22" s="11" t="inlineStr">
        <is>
          <t>WACC must exceed g, with a safety margin, or terminal value is unstable.</t>
        </is>
      </c>
    </row>
    <row r="23">
      <c r="A23" s="3" t="inlineStr">
        <is>
          <t>Terminal growth within sane bounds</t>
        </is>
      </c>
      <c r="B23" s="32">
        <f>'Assumptions'!$B$35</f>
        <v/>
      </c>
      <c r="C23" s="8">
        <f>IF(AND(ISNUMBER($B$23),$B$23&gt;=-0.01,$B$23&lt;=0.04),"PASS","REVIEW")</f>
        <v/>
      </c>
      <c r="D23" s="11" t="inlineStr">
        <is>
          <t>Perpetuity growth should not exceed long-run nominal GDP (~4%).</t>
        </is>
      </c>
    </row>
    <row r="24">
      <c r="A24" s="3" t="inlineStr">
        <is>
          <t>Terminal value as % of enterprise value</t>
        </is>
      </c>
      <c r="B24" s="32">
        <f>'DCF'!$B$43</f>
        <v/>
      </c>
      <c r="C24" s="8">
        <f>IF(AND(ISNUMBER($B$24),$B$24&lt;=0.8),"PASS","REVIEW")</f>
        <v/>
      </c>
      <c r="D24" s="11" t="inlineStr">
        <is>
          <t>A very high share means value rests heavily on terminal assumptions.</t>
        </is>
      </c>
    </row>
    <row r="25">
      <c r="A25" s="3" t="inlineStr">
        <is>
          <t>Enterprise &amp; equity value positive</t>
        </is>
      </c>
      <c r="B25" s="27">
        <f>MIN('DCF'!$B$31,'DCF'!$B$34)</f>
        <v/>
      </c>
      <c r="C25" s="8">
        <f>IF(AND(ISNUMBER($B$25),$B$25&gt;0),"PASS","FAIL")</f>
        <v/>
      </c>
      <c r="D25" s="11" t="inlineStr">
        <is>
          <t>Negative EV or equity value would signal a broken or distressed case.</t>
        </is>
      </c>
    </row>
    <row r="27" ht="20" customHeight="1">
      <c r="A27" s="5" t="inlineStr">
        <is>
          <t>Historical &amp; Forecast Sanity</t>
        </is>
      </c>
    </row>
    <row r="28">
      <c r="A28" s="3" t="inlineStr">
        <is>
          <t>Gross margin within [0, 100%] (latest)</t>
        </is>
      </c>
      <c r="B28" s="32">
        <f>IFERROR('Historical'!$F$17,-1)</f>
        <v/>
      </c>
      <c r="C28" s="8">
        <f>IF(AND(ISNUMBER($B$28),$B$28&gt;=0,$B$28&lt;=1),"PASS","REVIEW")</f>
        <v/>
      </c>
      <c r="D28" s="11" t="inlineStr">
        <is>
          <t>A gross margin outside 0–100% points to a sign or mapping error.</t>
        </is>
      </c>
    </row>
    <row r="29">
      <c r="A29" s="3" t="inlineStr">
        <is>
          <t>Revenue positive in every year</t>
        </is>
      </c>
      <c r="B29" s="27">
        <f>MIN('Inputs'!$B$33,'Inputs'!$C$33,'Inputs'!$D$33,'Inputs'!$E$33,'Inputs'!$F$33)</f>
        <v/>
      </c>
      <c r="C29" s="8">
        <f>IF(AND(ISNUMBER($B$29),$B$29&gt;0),"PASS","FAIL")</f>
        <v/>
      </c>
      <c r="D29" s="11" t="inlineStr">
        <is>
          <t>Zero/negative revenue breaks growth and margin calculations.</t>
        </is>
      </c>
    </row>
    <row r="30">
      <c r="A30" s="3" t="inlineStr">
        <is>
          <t>Revenue-growth outliers (max |YoY|)</t>
        </is>
      </c>
      <c r="B30" s="32">
        <f>MAX(ABS(IFERROR('Inputs'!$C$33/'Inputs'!$B$33-1,0)),ABS(IFERROR('Inputs'!$D$33/'Inputs'!$C$33-1,0)),ABS(IFERROR('Inputs'!$E$33/'Inputs'!$D$33-1,0)),ABS(IFERROR('Inputs'!$F$33/'Inputs'!$E$33-1,0)))</f>
        <v/>
      </c>
      <c r="C30" s="8">
        <f>IF($B$30&lt;=1,"PASS","REVIEW")</f>
        <v/>
      </c>
      <c r="D30" s="11" t="inlineStr">
        <is>
          <t>A year-on-year move above 100% may indicate a data-entry error.</t>
        </is>
      </c>
    </row>
    <row r="31">
      <c r="A31" s="3" t="inlineStr">
        <is>
          <t>Forecast FCFF non-negative</t>
        </is>
      </c>
      <c r="B31" s="27">
        <f>MIN('Forecast'!$C$21,'Forecast'!$D$21,'Forecast'!$E$21,'Forecast'!$F$21,'Forecast'!$G$21)</f>
        <v/>
      </c>
      <c r="C31" s="8">
        <f>IF($B$31&gt;=0,"PASS","REVIEW")</f>
        <v/>
      </c>
      <c r="D31" s="11" t="inlineStr">
        <is>
          <t>Negative forecast FCF is allowed (heavy investment) but worth noting.</t>
        </is>
      </c>
    </row>
    <row r="32">
      <c r="A32" s="3" t="inlineStr">
        <is>
          <t>Model integrity (no circular references)</t>
        </is>
      </c>
      <c r="C32" s="8">
        <f>"PASS"</f>
        <v/>
      </c>
      <c r="D32" s="11" t="inlineStr">
        <is>
          <t>The workbook is acyclic by construction — outputs trace one way to inputs.</t>
        </is>
      </c>
    </row>
  </sheetData>
  <mergeCells count="9">
    <mergeCell ref="A1:D1"/>
    <mergeCell ref="A5:D5"/>
    <mergeCell ref="A27:D27"/>
    <mergeCell ref="A3:D3"/>
    <mergeCell ref="A20:D20"/>
    <mergeCell ref="A15:D15"/>
    <mergeCell ref="A2:D2"/>
    <mergeCell ref="A10:D10"/>
    <mergeCell ref="B6:D6"/>
  </mergeCells>
  <conditionalFormatting sqref="C11:C32">
    <cfRule type="expression" priority="1" dxfId="0" stopIfTrue="1">
      <formula>OR(ISNUMBER(SEARCH("Strong",C11)),ISNUMBER(SEARCH("Improving",C11)),ISNUMBER(SEARCH("Expanding",C11)),ISNUMBER(SEARCH("Accelerating",C11)),ISNUMBER(SEARCH("Conservative",C11)),ISNUMBER(SEARCH("Undervalued",C11)),ISNUMBER(SEARCH("Value-creating",C11)),ISNUMBER(SEARCH("Robust",C11)),ISNUMBER(SEARCH("Healthy",C11)),ISNUMBER(SEARCH("Low risk",C11)),ISNUMBER(SEARCH("PASS",C11)),ISNUMBER(SEARCH("Balanced",C11)),ISNUMBER(SEARCH("Ties",C11)),ISNUMBER(SEARCH("Acyclic",C11)),ISNUMBER(SEARCH("Present",C11)),ISNUMBER(SEARCH("Consistent",C11)),ISNUMBER(SEARCH("Positive",C11)))</formula>
    </cfRule>
    <cfRule type="expression" priority="2" dxfId="1" stopIfTrue="1">
      <formula>OR(ISNUMBER(SEARCH("Weak",C11)),ISNUMBER(SEARCH("Deteriorating",C11)),ISNUMBER(SEARCH("Compressing",C11)),ISNUMBER(SEARCH("Elevated",C11)),ISNUMBER(SEARCH("Stretched",C11)),ISNUMBER(SEARCH("Overvalued",C11)),ISNUMBER(SEARCH("Value-destroying",C11)),ISNUMBER(SEARCH("Severe",C11)),ISNUMBER(SEARCH("High risk",C11)),ISNUMBER(SEARCH("Negative",C11)),ISNUMBER(SEARCH("Breach",C11)),ISNUMBER(SEARCH("FAIL",C11)),ISNUMBER(SEARCH("Imbalanced",C11)),ISNUMBER(SEARCH("Outlier",C11)),ISNUMBER(SEARCH("Missing",C11)))</formula>
    </cfRule>
    <cfRule type="expression" priority="3" dxfId="2" stopIfTrue="1">
      <formula>OR(ISNUMBER(SEARCH("Moderate",C11)),ISNUMBER(SEARCH("Caution",C11)),ISNUMBER(SEARCH("Decelerating",C11)),ISNUMBER(SEARCH("Watch",C11)),ISNUMBER(SEARCH("Partial",C11)),ISNUMBER(SEARCH("Thin",C11)),ISNUMBER(SEARCH("REVIEW",C11)),ISNUMBER(SEARCH("TV-heavy",C11)),ISNUMBER(SEARCH("Outside",C11)))</formula>
    </cfRule>
  </conditionalFormatting>
  <conditionalFormatting sqref="B6">
    <cfRule type="expression" priority="4" dxfId="0" stopIfTrue="1">
      <formula>OR(ISNUMBER(SEARCH("Strong",B6)),ISNUMBER(SEARCH("Improving",B6)),ISNUMBER(SEARCH("Expanding",B6)),ISNUMBER(SEARCH("Accelerating",B6)),ISNUMBER(SEARCH("Conservative",B6)),ISNUMBER(SEARCH("Undervalued",B6)),ISNUMBER(SEARCH("Value-creating",B6)),ISNUMBER(SEARCH("Robust",B6)),ISNUMBER(SEARCH("Healthy",B6)),ISNUMBER(SEARCH("Low risk",B6)),ISNUMBER(SEARCH("PASS",B6)),ISNUMBER(SEARCH("Balanced",B6)),ISNUMBER(SEARCH("Ties",B6)),ISNUMBER(SEARCH("Acyclic",B6)),ISNUMBER(SEARCH("Present",B6)),ISNUMBER(SEARCH("Consistent",B6)),ISNUMBER(SEARCH("Positive",B6)))</formula>
    </cfRule>
    <cfRule type="expression" priority="5" dxfId="1" stopIfTrue="1">
      <formula>OR(ISNUMBER(SEARCH("Weak",B6)),ISNUMBER(SEARCH("Deteriorating",B6)),ISNUMBER(SEARCH("Compressing",B6)),ISNUMBER(SEARCH("Elevated",B6)),ISNUMBER(SEARCH("Stretched",B6)),ISNUMBER(SEARCH("Overvalued",B6)),ISNUMBER(SEARCH("Value-destroying",B6)),ISNUMBER(SEARCH("Severe",B6)),ISNUMBER(SEARCH("High risk",B6)),ISNUMBER(SEARCH("Negative",B6)),ISNUMBER(SEARCH("Breach",B6)),ISNUMBER(SEARCH("FAIL",B6)),ISNUMBER(SEARCH("Imbalanced",B6)),ISNUMBER(SEARCH("Outlier",B6)),ISNUMBER(SEARCH("Missing",B6)))</formula>
    </cfRule>
    <cfRule type="expression" priority="6" dxfId="2" stopIfTrue="1">
      <formula>OR(ISNUMBER(SEARCH("Moderate",B6)),ISNUMBER(SEARCH("Caution",B6)),ISNUMBER(SEARCH("Decelerating",B6)),ISNUMBER(SEARCH("Watch",B6)),ISNUMBER(SEARCH("Partial",B6)),ISNUMBER(SEARCH("Thin",B6)),ISNUMBER(SEARCH("REVIEW",B6)),ISNUMBER(SEARCH("TV-heavy",B6)),ISNUMBER(SEARCH("Outside",B6)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G4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3" customWidth="1" min="4" max="4"/>
    <col width="28" customWidth="1" min="5" max="5"/>
    <col width="13" customWidth="1" min="6" max="6"/>
    <col width="15" customWidth="1" min="7" max="7"/>
  </cols>
  <sheetData>
    <row r="1" ht="30" customHeight="1">
      <c r="A1" s="1" t="inlineStr">
        <is>
          <t>INVESTMENT DASHBOARD</t>
        </is>
      </c>
    </row>
    <row r="2" ht="16" customHeight="1">
      <c r="A2" s="2" t="inlineStr">
        <is>
          <t>&lt;Company name&gt; — summary analysis pack</t>
        </is>
      </c>
    </row>
    <row r="3">
      <c r="A3" s="11" t="inlineStr">
        <is>
          <t>Investment-Grade Company Analysis Engine  ·  v1.0</t>
        </is>
      </c>
    </row>
    <row r="5" ht="20" customHeight="1">
      <c r="A5" s="53" t="inlineStr">
        <is>
          <t>Company Snapshot</t>
        </is>
      </c>
      <c r="E5" s="53" t="inlineStr">
        <is>
          <t>Headline Valuation</t>
        </is>
      </c>
    </row>
    <row r="6">
      <c r="A6" s="3" t="inlineStr">
        <is>
          <t>Company</t>
        </is>
      </c>
      <c r="B6" s="60">
        <f>'Inputs'!$B$6</f>
        <v/>
      </c>
      <c r="E6" s="12" t="inlineStr">
        <is>
          <t>DCF value per share</t>
        </is>
      </c>
      <c r="F6" s="6">
        <f>'DCF'!$B$36</f>
        <v/>
      </c>
    </row>
    <row r="7">
      <c r="A7" s="3" t="inlineStr">
        <is>
          <t>Ticker</t>
        </is>
      </c>
      <c r="B7" s="60">
        <f>'Inputs'!$B$7</f>
        <v/>
      </c>
      <c r="E7" s="3" t="inlineStr">
        <is>
          <t>Current share price</t>
        </is>
      </c>
      <c r="F7" s="7">
        <f>'DCF'!$B$39</f>
        <v/>
      </c>
    </row>
    <row r="8">
      <c r="A8" s="3" t="inlineStr">
        <is>
          <t>Business type</t>
        </is>
      </c>
      <c r="B8" s="60">
        <f>'Inputs'!$B$8</f>
        <v/>
      </c>
      <c r="E8" s="12" t="inlineStr">
        <is>
          <t>Upside / (downside)</t>
        </is>
      </c>
      <c r="F8" s="9">
        <f>'DCF'!$B$40</f>
        <v/>
      </c>
    </row>
    <row r="9">
      <c r="A9" s="3" t="inlineStr">
        <is>
          <t>Currency / units</t>
        </is>
      </c>
      <c r="B9" s="60">
        <f>'Inputs'!$B$9&amp;" "&amp;'Inputs'!$B$10</f>
        <v/>
      </c>
      <c r="E9" s="12" t="inlineStr">
        <is>
          <t>Valuation read</t>
        </is>
      </c>
      <c r="F9" s="8">
        <f>'DCF'!$B$41</f>
        <v/>
      </c>
    </row>
    <row r="10">
      <c r="A10" s="3" t="inlineStr">
        <is>
          <t>Fiscal year end</t>
        </is>
      </c>
      <c r="B10" s="60">
        <f>'Inputs'!$B$11</f>
        <v/>
      </c>
      <c r="E10" s="3" t="inlineStr">
        <is>
          <t>WACC</t>
        </is>
      </c>
      <c r="F10" s="10">
        <f>'WACC'!$B$24</f>
        <v/>
      </c>
    </row>
    <row r="11">
      <c r="A11" s="3" t="inlineStr">
        <is>
          <t>Revenue (FY—0)</t>
        </is>
      </c>
      <c r="B11" s="28">
        <f>'Inputs'!$F$33</f>
        <v/>
      </c>
      <c r="E11" s="3" t="inlineStr">
        <is>
          <t>Enterprise value</t>
        </is>
      </c>
      <c r="F11" s="28">
        <f>'DCF'!$B$31</f>
        <v/>
      </c>
    </row>
    <row r="13" ht="20" customHeight="1">
      <c r="A13" s="53" t="inlineStr">
        <is>
          <t>Operating KPIs (latest)</t>
        </is>
      </c>
      <c r="E13" s="53" t="inlineStr">
        <is>
          <t>Returns &amp; Balance-Sheet Health</t>
        </is>
      </c>
    </row>
    <row r="14">
      <c r="A14" s="3" t="inlineStr">
        <is>
          <t>Revenue growth</t>
        </is>
      </c>
      <c r="B14" s="38">
        <f>'Historical'!$F$8</f>
        <v/>
      </c>
      <c r="C14" s="8">
        <f>'Historical'!$G$8</f>
        <v/>
      </c>
      <c r="E14" s="3" t="inlineStr">
        <is>
          <t>ROE</t>
        </is>
      </c>
      <c r="F14" s="38">
        <f>'Historical'!$F$32</f>
        <v/>
      </c>
      <c r="G14" s="8">
        <f>'Historical'!$G$32</f>
        <v/>
      </c>
    </row>
    <row r="15">
      <c r="A15" s="3" t="inlineStr">
        <is>
          <t>Gross margin</t>
        </is>
      </c>
      <c r="B15" s="38">
        <f>'Historical'!$F$17</f>
        <v/>
      </c>
      <c r="C15" s="8">
        <f>'Historical'!$G$17</f>
        <v/>
      </c>
      <c r="E15" s="3" t="inlineStr">
        <is>
          <t>ROIC</t>
        </is>
      </c>
      <c r="F15" s="38">
        <f>'Historical'!$F$34</f>
        <v/>
      </c>
      <c r="G15" s="8">
        <f>'Historical'!$G$34</f>
        <v/>
      </c>
    </row>
    <row r="16">
      <c r="A16" s="3" t="inlineStr">
        <is>
          <t>EBITDA margin</t>
        </is>
      </c>
      <c r="B16" s="38">
        <f>'Historical'!$F$18</f>
        <v/>
      </c>
      <c r="C16" s="8">
        <f>'Historical'!$G$18</f>
        <v/>
      </c>
      <c r="E16" s="3" t="inlineStr">
        <is>
          <t>ROIC vs WACC</t>
        </is>
      </c>
      <c r="F16" s="38">
        <f>IFERROR('Historical'!$F$34-'WACC'!$B$24,"n/a")</f>
        <v/>
      </c>
      <c r="G16" s="8">
        <f>IF(NOT(AND(ISNUMBER('Historical'!$F$34),ISNUMBER('WACC'!$B$24))),"n/a",IF('Historical'!$F$34&gt;'WACC'!$B$24+0.01,"Value-creating",IF('Historical'!$F$34&lt;'WACC'!$B$24-0.01,"Value-destroying","Roughly neutral")))</f>
        <v/>
      </c>
    </row>
    <row r="17">
      <c r="A17" s="3" t="inlineStr">
        <is>
          <t>EBIT margin</t>
        </is>
      </c>
      <c r="B17" s="38">
        <f>'Historical'!$F$19</f>
        <v/>
      </c>
      <c r="C17" s="8">
        <f>'Historical'!$G$19</f>
        <v/>
      </c>
      <c r="E17" s="3" t="inlineStr">
        <is>
          <t>Net debt / EBITDA</t>
        </is>
      </c>
      <c r="F17" s="42">
        <f>'Historical'!$F$48</f>
        <v/>
      </c>
      <c r="G17" s="8">
        <f>'Historical'!$G$48</f>
        <v/>
      </c>
    </row>
    <row r="18">
      <c r="A18" s="3" t="inlineStr">
        <is>
          <t>Net margin</t>
        </is>
      </c>
      <c r="B18" s="38">
        <f>'Historical'!$F$20</f>
        <v/>
      </c>
      <c r="C18" s="8">
        <f>'Historical'!$G$20</f>
        <v/>
      </c>
      <c r="E18" s="3" t="inlineStr">
        <is>
          <t>Interest coverage</t>
        </is>
      </c>
      <c r="F18" s="42">
        <f>'Historical'!$F$49</f>
        <v/>
      </c>
      <c r="G18" s="8">
        <f>'Historical'!$G$49</f>
        <v/>
      </c>
    </row>
    <row r="19">
      <c r="A19" s="3" t="inlineStr">
        <is>
          <t>FCF margin</t>
        </is>
      </c>
      <c r="B19" s="38">
        <f>'Historical'!$F$67</f>
        <v/>
      </c>
      <c r="C19" s="8">
        <f>'Historical'!$G$67</f>
        <v/>
      </c>
      <c r="E19" s="3" t="inlineStr">
        <is>
          <t>Current ratio</t>
        </is>
      </c>
      <c r="F19" s="41">
        <f>'Historical'!$F$39</f>
        <v/>
      </c>
      <c r="G19" s="8">
        <f>'Historical'!$G$39</f>
        <v/>
      </c>
    </row>
    <row r="21" ht="20" customHeight="1">
      <c r="A21" s="53" t="inlineStr">
        <is>
          <t>DCF Bridge</t>
        </is>
      </c>
      <c r="E21" s="53" t="inlineStr">
        <is>
          <t>Scenario Range (value / share)</t>
        </is>
      </c>
    </row>
    <row r="22">
      <c r="A22" s="3" t="inlineStr">
        <is>
          <t>Σ PV explicit FCFF</t>
        </is>
      </c>
      <c r="B22" s="28">
        <f>'DCF'!$G$11</f>
        <v/>
      </c>
      <c r="E22" s="3" t="inlineStr">
        <is>
          <t>Base</t>
        </is>
      </c>
      <c r="F22" s="7">
        <f>'Scenario'!$B$34</f>
        <v/>
      </c>
      <c r="G22" s="63">
        <f>'Scenario'!$B$35</f>
        <v/>
      </c>
    </row>
    <row r="23">
      <c r="A23" s="3" t="inlineStr">
        <is>
          <t>(+) PV terminal value</t>
        </is>
      </c>
      <c r="B23" s="28">
        <f>'DCF'!$B$19</f>
        <v/>
      </c>
      <c r="E23" s="3" t="inlineStr">
        <is>
          <t>Bull</t>
        </is>
      </c>
      <c r="F23" s="7">
        <f>'Scenario'!$C$34</f>
        <v/>
      </c>
      <c r="G23" s="63">
        <f>'Scenario'!$C$35</f>
        <v/>
      </c>
    </row>
    <row r="24">
      <c r="A24" s="12" t="inlineStr">
        <is>
          <t>Enterprise value</t>
        </is>
      </c>
      <c r="B24" s="49">
        <f>'DCF'!$B$31</f>
        <v/>
      </c>
      <c r="E24" s="3" t="inlineStr">
        <is>
          <t>Bear</t>
        </is>
      </c>
      <c r="F24" s="7">
        <f>'Scenario'!$D$34</f>
        <v/>
      </c>
      <c r="G24" s="63">
        <f>'Scenario'!$D$35</f>
        <v/>
      </c>
    </row>
    <row r="25">
      <c r="A25" s="3" t="inlineStr">
        <is>
          <t>(−) Net debt</t>
        </is>
      </c>
      <c r="B25" s="28">
        <f>'DCF'!$B$32</f>
        <v/>
      </c>
      <c r="E25" s="3" t="inlineStr">
        <is>
          <t>Downside</t>
        </is>
      </c>
      <c r="F25" s="7">
        <f>'Scenario'!$E$34</f>
        <v/>
      </c>
      <c r="G25" s="63">
        <f>'Scenario'!$E$35</f>
        <v/>
      </c>
    </row>
    <row r="26">
      <c r="A26" s="12" t="inlineStr">
        <is>
          <t>Equity value</t>
        </is>
      </c>
      <c r="B26" s="49">
        <f>'DCF'!$B$34</f>
        <v/>
      </c>
    </row>
    <row r="27">
      <c r="A27" s="3" t="inlineStr">
        <is>
          <t>TV % of EV</t>
        </is>
      </c>
      <c r="B27" s="38">
        <f>'DCF'!$B$43</f>
        <v/>
      </c>
    </row>
    <row r="29" ht="20" customHeight="1">
      <c r="A29" s="5" t="inlineStr">
        <is>
          <t>Risk Flags</t>
        </is>
      </c>
    </row>
    <row r="30">
      <c r="A30" s="3" t="inlineStr">
        <is>
          <t>Leverage (net debt / EBITDA)</t>
        </is>
      </c>
      <c r="B30" s="8">
        <f>'Historical'!$G$48</f>
        <v/>
      </c>
      <c r="E30" s="3" t="inlineStr">
        <is>
          <t>Interest coverage</t>
        </is>
      </c>
      <c r="F30" s="8">
        <f>'Historical'!$G$49</f>
        <v/>
      </c>
    </row>
    <row r="31">
      <c r="A31" s="3" t="inlineStr">
        <is>
          <t>Liquidity (current ratio)</t>
        </is>
      </c>
      <c r="B31" s="8">
        <f>'Historical'!$G$39</f>
        <v/>
      </c>
      <c r="E31" s="3" t="inlineStr">
        <is>
          <t>Revenue growth trend</t>
        </is>
      </c>
      <c r="F31" s="8">
        <f>'Historical'!$G$8</f>
        <v/>
      </c>
    </row>
    <row r="32">
      <c r="A32" s="3" t="inlineStr">
        <is>
          <t>Margin trend (gross)</t>
        </is>
      </c>
      <c r="B32" s="8">
        <f>'Historical'!$G$17</f>
        <v/>
      </c>
      <c r="E32" s="3" t="inlineStr">
        <is>
          <t>Capital efficiency (ROIC)</t>
        </is>
      </c>
      <c r="F32" s="8">
        <f>'Historical'!$G$34</f>
        <v/>
      </c>
    </row>
    <row r="33">
      <c r="A33" s="3" t="inlineStr">
        <is>
          <t>Value creation (ROIC vs WACC)</t>
        </is>
      </c>
      <c r="B33" s="8">
        <f>IF(NOT(AND(ISNUMBER('Historical'!$F$34),ISNUMBER('WACC'!$B$24))),"n/a",IF('Historical'!$F$34&gt;'WACC'!$B$24+0.01,"Value-creating",IF('Historical'!$F$34&lt;'WACC'!$B$24-0.01,"Value-destroying","Roughly neutral")))</f>
        <v/>
      </c>
      <c r="E33" s="3" t="inlineStr">
        <is>
          <t>Valuation vs price</t>
        </is>
      </c>
      <c r="F33" s="8">
        <f>'DCF'!$B$41</f>
        <v/>
      </c>
    </row>
    <row r="34">
      <c r="A34" s="3" t="inlineStr">
        <is>
          <t>Data &amp; model health</t>
        </is>
      </c>
      <c r="B34" s="8">
        <f>'Checks'!$B$6</f>
        <v/>
      </c>
    </row>
    <row r="36" ht="20" customHeight="1">
      <c r="A36" s="5" t="inlineStr">
        <is>
          <t>Investment View</t>
        </is>
      </c>
    </row>
    <row r="37" ht="20" customHeight="1">
      <c r="A37" s="64">
        <f>IF(ISNUMBER('DCF'!$B$40),IF('DCF'!$B$40&gt;0.15,"The shares look UNDERVALUED on this DCF",IF('DCF'!$B$40&lt;-0.15,"The shares look EXPENSIVE on this DCF","The shares look ~FAIRLY VALUED")),"No market price entered — see DCF value per share")&amp;" ("&amp;TEXT('DCF'!$B$36,"0.00")&amp;" vs "&amp;IF(ISNUMBER('DCF'!$B$39),TEXT('DCF'!$B$39,"0.00"),"n/a")&amp;"). "&amp;IF(AND(ISNUMBER('Historical'!$F$34),'Historical'!$F$34&gt;'WACC'!$B$24+0.01),"Returns are above the cost of capital (value-creating); ",IF(AND(ISNUMBER('Historical'!$F$34),'Historical'!$F$34&lt;'WACC'!$B$24-0.01),"Returns are below the cost of capital; ","Returns ~ cost of capital; "))&amp;"see the Conclusion sheet for the full thesis."</f>
        <v/>
      </c>
      <c r="B37" s="65" t="n"/>
      <c r="C37" s="65" t="n"/>
      <c r="D37" s="65" t="n"/>
      <c r="E37" s="65" t="n"/>
      <c r="F37" s="65" t="n"/>
      <c r="G37" s="66" t="n"/>
    </row>
    <row r="38">
      <c r="A38" s="67" t="n"/>
      <c r="G38" s="68" t="n"/>
    </row>
    <row r="39">
      <c r="A39" s="69" t="n"/>
      <c r="B39" s="70" t="n"/>
      <c r="C39" s="70" t="n"/>
      <c r="D39" s="70" t="n"/>
      <c r="E39" s="70" t="n"/>
      <c r="F39" s="70" t="n"/>
      <c r="G39" s="71" t="n"/>
    </row>
    <row r="40">
      <c r="A40" s="11" t="inlineStr">
        <is>
          <t>Tip: change the scenario selector on the Assumptions sheet (1–4) to flex the whole model; every figure here updates automatically.</t>
        </is>
      </c>
    </row>
  </sheetData>
  <mergeCells count="23">
    <mergeCell ref="E13:G13"/>
    <mergeCell ref="A21:C21"/>
    <mergeCell ref="A29:G29"/>
    <mergeCell ref="B31:C31"/>
    <mergeCell ref="F30:G30"/>
    <mergeCell ref="A40:G40"/>
    <mergeCell ref="A5:C5"/>
    <mergeCell ref="F33:G33"/>
    <mergeCell ref="F32:G32"/>
    <mergeCell ref="A36:G36"/>
    <mergeCell ref="A13:C13"/>
    <mergeCell ref="A1:G1"/>
    <mergeCell ref="B34:C34"/>
    <mergeCell ref="F31:G31"/>
    <mergeCell ref="E21:G21"/>
    <mergeCell ref="F9:G9"/>
    <mergeCell ref="B30:C30"/>
    <mergeCell ref="B33:C33"/>
    <mergeCell ref="A3:G3"/>
    <mergeCell ref="E5:G5"/>
    <mergeCell ref="A2:G2"/>
    <mergeCell ref="B32:C32"/>
    <mergeCell ref="A37:G39"/>
  </mergeCells>
  <conditionalFormatting sqref="F9">
    <cfRule type="expression" priority="1" dxfId="0" stopIfTrue="1">
      <formula>OR(ISNUMBER(SEARCH("Strong",F9)),ISNUMBER(SEARCH("Improving",F9)),ISNUMBER(SEARCH("Expanding",F9)),ISNUMBER(SEARCH("Accelerating",F9)),ISNUMBER(SEARCH("Conservative",F9)),ISNUMBER(SEARCH("Undervalued",F9)),ISNUMBER(SEARCH("Value-creating",F9)),ISNUMBER(SEARCH("Robust",F9)),ISNUMBER(SEARCH("Healthy",F9)),ISNUMBER(SEARCH("Low risk",F9)),ISNUMBER(SEARCH("PASS",F9)),ISNUMBER(SEARCH("Balanced",F9)),ISNUMBER(SEARCH("Ties",F9)),ISNUMBER(SEARCH("Acyclic",F9)),ISNUMBER(SEARCH("Present",F9)),ISNUMBER(SEARCH("Consistent",F9)),ISNUMBER(SEARCH("Positive",F9)))</formula>
    </cfRule>
    <cfRule type="expression" priority="2" dxfId="1" stopIfTrue="1">
      <formula>OR(ISNUMBER(SEARCH("Weak",F9)),ISNUMBER(SEARCH("Deteriorating",F9)),ISNUMBER(SEARCH("Compressing",F9)),ISNUMBER(SEARCH("Elevated",F9)),ISNUMBER(SEARCH("Stretched",F9)),ISNUMBER(SEARCH("Overvalued",F9)),ISNUMBER(SEARCH("Value-destroying",F9)),ISNUMBER(SEARCH("Severe",F9)),ISNUMBER(SEARCH("High risk",F9)),ISNUMBER(SEARCH("Negative",F9)),ISNUMBER(SEARCH("Breach",F9)),ISNUMBER(SEARCH("FAIL",F9)),ISNUMBER(SEARCH("Imbalanced",F9)),ISNUMBER(SEARCH("Outlier",F9)),ISNUMBER(SEARCH("Missing",F9)))</formula>
    </cfRule>
    <cfRule type="expression" priority="3" dxfId="2" stopIfTrue="1">
      <formula>OR(ISNUMBER(SEARCH("Moderate",F9)),ISNUMBER(SEARCH("Caution",F9)),ISNUMBER(SEARCH("Decelerating",F9)),ISNUMBER(SEARCH("Watch",F9)),ISNUMBER(SEARCH("Partial",F9)),ISNUMBER(SEARCH("Thin",F9)),ISNUMBER(SEARCH("REVIEW",F9)),ISNUMBER(SEARCH("TV-heavy",F9)),ISNUMBER(SEARCH("Outside",F9)))</formula>
    </cfRule>
  </conditionalFormatting>
  <conditionalFormatting sqref="C14">
    <cfRule type="expression" priority="4" dxfId="0" stopIfTrue="1">
      <formula>OR(ISNUMBER(SEARCH("Strong",C14)),ISNUMBER(SEARCH("Improving",C14)),ISNUMBER(SEARCH("Expanding",C14)),ISNUMBER(SEARCH("Accelerating",C14)),ISNUMBER(SEARCH("Conservative",C14)),ISNUMBER(SEARCH("Undervalued",C14)),ISNUMBER(SEARCH("Value-creating",C14)),ISNUMBER(SEARCH("Robust",C14)),ISNUMBER(SEARCH("Healthy",C14)),ISNUMBER(SEARCH("Low risk",C14)),ISNUMBER(SEARCH("PASS",C14)),ISNUMBER(SEARCH("Balanced",C14)),ISNUMBER(SEARCH("Ties",C14)),ISNUMBER(SEARCH("Acyclic",C14)),ISNUMBER(SEARCH("Present",C14)),ISNUMBER(SEARCH("Consistent",C14)),ISNUMBER(SEARCH("Positive",C14)))</formula>
    </cfRule>
    <cfRule type="expression" priority="5" dxfId="1" stopIfTrue="1">
      <formula>OR(ISNUMBER(SEARCH("Weak",C14)),ISNUMBER(SEARCH("Deteriorating",C14)),ISNUMBER(SEARCH("Compressing",C14)),ISNUMBER(SEARCH("Elevated",C14)),ISNUMBER(SEARCH("Stretched",C14)),ISNUMBER(SEARCH("Overvalued",C14)),ISNUMBER(SEARCH("Value-destroying",C14)),ISNUMBER(SEARCH("Severe",C14)),ISNUMBER(SEARCH("High risk",C14)),ISNUMBER(SEARCH("Negative",C14)),ISNUMBER(SEARCH("Breach",C14)),ISNUMBER(SEARCH("FAIL",C14)),ISNUMBER(SEARCH("Imbalanced",C14)),ISNUMBER(SEARCH("Outlier",C14)),ISNUMBER(SEARCH("Missing",C14)))</formula>
    </cfRule>
    <cfRule type="expression" priority="6" dxfId="2" stopIfTrue="1">
      <formula>OR(ISNUMBER(SEARCH("Moderate",C14)),ISNUMBER(SEARCH("Caution",C14)),ISNUMBER(SEARCH("Decelerating",C14)),ISNUMBER(SEARCH("Watch",C14)),ISNUMBER(SEARCH("Partial",C14)),ISNUMBER(SEARCH("Thin",C14)),ISNUMBER(SEARCH("REVIEW",C14)),ISNUMBER(SEARCH("TV-heavy",C14)),ISNUMBER(SEARCH("Outside",C14)))</formula>
    </cfRule>
  </conditionalFormatting>
  <conditionalFormatting sqref="C15">
    <cfRule type="expression" priority="7" dxfId="0" stopIfTrue="1">
      <formula>OR(ISNUMBER(SEARCH("Strong",C15)),ISNUMBER(SEARCH("Improving",C15)),ISNUMBER(SEARCH("Expanding",C15)),ISNUMBER(SEARCH("Accelerating",C15)),ISNUMBER(SEARCH("Conservative",C15)),ISNUMBER(SEARCH("Undervalued",C15)),ISNUMBER(SEARCH("Value-creating",C15)),ISNUMBER(SEARCH("Robust",C15)),ISNUMBER(SEARCH("Healthy",C15)),ISNUMBER(SEARCH("Low risk",C15)),ISNUMBER(SEARCH("PASS",C15)),ISNUMBER(SEARCH("Balanced",C15)),ISNUMBER(SEARCH("Ties",C15)),ISNUMBER(SEARCH("Acyclic",C15)),ISNUMBER(SEARCH("Present",C15)),ISNUMBER(SEARCH("Consistent",C15)),ISNUMBER(SEARCH("Positive",C15)))</formula>
    </cfRule>
    <cfRule type="expression" priority="8" dxfId="1" stopIfTrue="1">
      <formula>OR(ISNUMBER(SEARCH("Weak",C15)),ISNUMBER(SEARCH("Deteriorating",C15)),ISNUMBER(SEARCH("Compressing",C15)),ISNUMBER(SEARCH("Elevated",C15)),ISNUMBER(SEARCH("Stretched",C15)),ISNUMBER(SEARCH("Overvalued",C15)),ISNUMBER(SEARCH("Value-destroying",C15)),ISNUMBER(SEARCH("Severe",C15)),ISNUMBER(SEARCH("High risk",C15)),ISNUMBER(SEARCH("Negative",C15)),ISNUMBER(SEARCH("Breach",C15)),ISNUMBER(SEARCH("FAIL",C15)),ISNUMBER(SEARCH("Imbalanced",C15)),ISNUMBER(SEARCH("Outlier",C15)),ISNUMBER(SEARCH("Missing",C15)))</formula>
    </cfRule>
    <cfRule type="expression" priority="9" dxfId="2" stopIfTrue="1">
      <formula>OR(ISNUMBER(SEARCH("Moderate",C15)),ISNUMBER(SEARCH("Caution",C15)),ISNUMBER(SEARCH("Decelerating",C15)),ISNUMBER(SEARCH("Watch",C15)),ISNUMBER(SEARCH("Partial",C15)),ISNUMBER(SEARCH("Thin",C15)),ISNUMBER(SEARCH("REVIEW",C15)),ISNUMBER(SEARCH("TV-heavy",C15)),ISNUMBER(SEARCH("Outside",C15)))</formula>
    </cfRule>
  </conditionalFormatting>
  <conditionalFormatting sqref="C16">
    <cfRule type="expression" priority="10" dxfId="0" stopIfTrue="1">
      <formula>OR(ISNUMBER(SEARCH("Strong",C16)),ISNUMBER(SEARCH("Improving",C16)),ISNUMBER(SEARCH("Expanding",C16)),ISNUMBER(SEARCH("Accelerating",C16)),ISNUMBER(SEARCH("Conservative",C16)),ISNUMBER(SEARCH("Undervalued",C16)),ISNUMBER(SEARCH("Value-creating",C16)),ISNUMBER(SEARCH("Robust",C16)),ISNUMBER(SEARCH("Healthy",C16)),ISNUMBER(SEARCH("Low risk",C16)),ISNUMBER(SEARCH("PASS",C16)),ISNUMBER(SEARCH("Balanced",C16)),ISNUMBER(SEARCH("Ties",C16)),ISNUMBER(SEARCH("Acyclic",C16)),ISNUMBER(SEARCH("Present",C16)),ISNUMBER(SEARCH("Consistent",C16)),ISNUMBER(SEARCH("Positive",C16)))</formula>
    </cfRule>
    <cfRule type="expression" priority="11" dxfId="1" stopIfTrue="1">
      <formula>OR(ISNUMBER(SEARCH("Weak",C16)),ISNUMBER(SEARCH("Deteriorating",C16)),ISNUMBER(SEARCH("Compressing",C16)),ISNUMBER(SEARCH("Elevated",C16)),ISNUMBER(SEARCH("Stretched",C16)),ISNUMBER(SEARCH("Overvalued",C16)),ISNUMBER(SEARCH("Value-destroying",C16)),ISNUMBER(SEARCH("Severe",C16)),ISNUMBER(SEARCH("High risk",C16)),ISNUMBER(SEARCH("Negative",C16)),ISNUMBER(SEARCH("Breach",C16)),ISNUMBER(SEARCH("FAIL",C16)),ISNUMBER(SEARCH("Imbalanced",C16)),ISNUMBER(SEARCH("Outlier",C16)),ISNUMBER(SEARCH("Missing",C16)))</formula>
    </cfRule>
    <cfRule type="expression" priority="12" dxfId="2" stopIfTrue="1">
      <formula>OR(ISNUMBER(SEARCH("Moderate",C16)),ISNUMBER(SEARCH("Caution",C16)),ISNUMBER(SEARCH("Decelerating",C16)),ISNUMBER(SEARCH("Watch",C16)),ISNUMBER(SEARCH("Partial",C16)),ISNUMBER(SEARCH("Thin",C16)),ISNUMBER(SEARCH("REVIEW",C16)),ISNUMBER(SEARCH("TV-heavy",C16)),ISNUMBER(SEARCH("Outside",C16)))</formula>
    </cfRule>
  </conditionalFormatting>
  <conditionalFormatting sqref="C17">
    <cfRule type="expression" priority="13" dxfId="0" stopIfTrue="1">
      <formula>OR(ISNUMBER(SEARCH("Strong",C17)),ISNUMBER(SEARCH("Improving",C17)),ISNUMBER(SEARCH("Expanding",C17)),ISNUMBER(SEARCH("Accelerating",C17)),ISNUMBER(SEARCH("Conservative",C17)),ISNUMBER(SEARCH("Undervalued",C17)),ISNUMBER(SEARCH("Value-creating",C17)),ISNUMBER(SEARCH("Robust",C17)),ISNUMBER(SEARCH("Healthy",C17)),ISNUMBER(SEARCH("Low risk",C17)),ISNUMBER(SEARCH("PASS",C17)),ISNUMBER(SEARCH("Balanced",C17)),ISNUMBER(SEARCH("Ties",C17)),ISNUMBER(SEARCH("Acyclic",C17)),ISNUMBER(SEARCH("Present",C17)),ISNUMBER(SEARCH("Consistent",C17)),ISNUMBER(SEARCH("Positive",C17)))</formula>
    </cfRule>
    <cfRule type="expression" priority="14" dxfId="1" stopIfTrue="1">
      <formula>OR(ISNUMBER(SEARCH("Weak",C17)),ISNUMBER(SEARCH("Deteriorating",C17)),ISNUMBER(SEARCH("Compressing",C17)),ISNUMBER(SEARCH("Elevated",C17)),ISNUMBER(SEARCH("Stretched",C17)),ISNUMBER(SEARCH("Overvalued",C17)),ISNUMBER(SEARCH("Value-destroying",C17)),ISNUMBER(SEARCH("Severe",C17)),ISNUMBER(SEARCH("High risk",C17)),ISNUMBER(SEARCH("Negative",C17)),ISNUMBER(SEARCH("Breach",C17)),ISNUMBER(SEARCH("FAIL",C17)),ISNUMBER(SEARCH("Imbalanced",C17)),ISNUMBER(SEARCH("Outlier",C17)),ISNUMBER(SEARCH("Missing",C17)))</formula>
    </cfRule>
    <cfRule type="expression" priority="15" dxfId="2" stopIfTrue="1">
      <formula>OR(ISNUMBER(SEARCH("Moderate",C17)),ISNUMBER(SEARCH("Caution",C17)),ISNUMBER(SEARCH("Decelerating",C17)),ISNUMBER(SEARCH("Watch",C17)),ISNUMBER(SEARCH("Partial",C17)),ISNUMBER(SEARCH("Thin",C17)),ISNUMBER(SEARCH("REVIEW",C17)),ISNUMBER(SEARCH("TV-heavy",C17)),ISNUMBER(SEARCH("Outside",C17)))</formula>
    </cfRule>
  </conditionalFormatting>
  <conditionalFormatting sqref="C18">
    <cfRule type="expression" priority="16" dxfId="0" stopIfTrue="1">
      <formula>OR(ISNUMBER(SEARCH("Strong",C18)),ISNUMBER(SEARCH("Improving",C18)),ISNUMBER(SEARCH("Expanding",C18)),ISNUMBER(SEARCH("Accelerating",C18)),ISNUMBER(SEARCH("Conservative",C18)),ISNUMBER(SEARCH("Undervalued",C18)),ISNUMBER(SEARCH("Value-creating",C18)),ISNUMBER(SEARCH("Robust",C18)),ISNUMBER(SEARCH("Healthy",C18)),ISNUMBER(SEARCH("Low risk",C18)),ISNUMBER(SEARCH("PASS",C18)),ISNUMBER(SEARCH("Balanced",C18)),ISNUMBER(SEARCH("Ties",C18)),ISNUMBER(SEARCH("Acyclic",C18)),ISNUMBER(SEARCH("Present",C18)),ISNUMBER(SEARCH("Consistent",C18)),ISNUMBER(SEARCH("Positive",C18)))</formula>
    </cfRule>
    <cfRule type="expression" priority="17" dxfId="1" stopIfTrue="1">
      <formula>OR(ISNUMBER(SEARCH("Weak",C18)),ISNUMBER(SEARCH("Deteriorating",C18)),ISNUMBER(SEARCH("Compressing",C18)),ISNUMBER(SEARCH("Elevated",C18)),ISNUMBER(SEARCH("Stretched",C18)),ISNUMBER(SEARCH("Overvalued",C18)),ISNUMBER(SEARCH("Value-destroying",C18)),ISNUMBER(SEARCH("Severe",C18)),ISNUMBER(SEARCH("High risk",C18)),ISNUMBER(SEARCH("Negative",C18)),ISNUMBER(SEARCH("Breach",C18)),ISNUMBER(SEARCH("FAIL",C18)),ISNUMBER(SEARCH("Imbalanced",C18)),ISNUMBER(SEARCH("Outlier",C18)),ISNUMBER(SEARCH("Missing",C18)))</formula>
    </cfRule>
    <cfRule type="expression" priority="18" dxfId="2" stopIfTrue="1">
      <formula>OR(ISNUMBER(SEARCH("Moderate",C18)),ISNUMBER(SEARCH("Caution",C18)),ISNUMBER(SEARCH("Decelerating",C18)),ISNUMBER(SEARCH("Watch",C18)),ISNUMBER(SEARCH("Partial",C18)),ISNUMBER(SEARCH("Thin",C18)),ISNUMBER(SEARCH("REVIEW",C18)),ISNUMBER(SEARCH("TV-heavy",C18)),ISNUMBER(SEARCH("Outside",C18)))</formula>
    </cfRule>
  </conditionalFormatting>
  <conditionalFormatting sqref="C19">
    <cfRule type="expression" priority="19" dxfId="0" stopIfTrue="1">
      <formula>OR(ISNUMBER(SEARCH("Strong",C19)),ISNUMBER(SEARCH("Improving",C19)),ISNUMBER(SEARCH("Expanding",C19)),ISNUMBER(SEARCH("Accelerating",C19)),ISNUMBER(SEARCH("Conservative",C19)),ISNUMBER(SEARCH("Undervalued",C19)),ISNUMBER(SEARCH("Value-creating",C19)),ISNUMBER(SEARCH("Robust",C19)),ISNUMBER(SEARCH("Healthy",C19)),ISNUMBER(SEARCH("Low risk",C19)),ISNUMBER(SEARCH("PASS",C19)),ISNUMBER(SEARCH("Balanced",C19)),ISNUMBER(SEARCH("Ties",C19)),ISNUMBER(SEARCH("Acyclic",C19)),ISNUMBER(SEARCH("Present",C19)),ISNUMBER(SEARCH("Consistent",C19)),ISNUMBER(SEARCH("Positive",C19)))</formula>
    </cfRule>
    <cfRule type="expression" priority="20" dxfId="1" stopIfTrue="1">
      <formula>OR(ISNUMBER(SEARCH("Weak",C19)),ISNUMBER(SEARCH("Deteriorating",C19)),ISNUMBER(SEARCH("Compressing",C19)),ISNUMBER(SEARCH("Elevated",C19)),ISNUMBER(SEARCH("Stretched",C19)),ISNUMBER(SEARCH("Overvalued",C19)),ISNUMBER(SEARCH("Value-destroying",C19)),ISNUMBER(SEARCH("Severe",C19)),ISNUMBER(SEARCH("High risk",C19)),ISNUMBER(SEARCH("Negative",C19)),ISNUMBER(SEARCH("Breach",C19)),ISNUMBER(SEARCH("FAIL",C19)),ISNUMBER(SEARCH("Imbalanced",C19)),ISNUMBER(SEARCH("Outlier",C19)),ISNUMBER(SEARCH("Missing",C19)))</formula>
    </cfRule>
    <cfRule type="expression" priority="21" dxfId="2" stopIfTrue="1">
      <formula>OR(ISNUMBER(SEARCH("Moderate",C19)),ISNUMBER(SEARCH("Caution",C19)),ISNUMBER(SEARCH("Decelerating",C19)),ISNUMBER(SEARCH("Watch",C19)),ISNUMBER(SEARCH("Partial",C19)),ISNUMBER(SEARCH("Thin",C19)),ISNUMBER(SEARCH("REVIEW",C19)),ISNUMBER(SEARCH("TV-heavy",C19)),ISNUMBER(SEARCH("Outside",C19)))</formula>
    </cfRule>
  </conditionalFormatting>
  <conditionalFormatting sqref="G14">
    <cfRule type="expression" priority="22" dxfId="0" stopIfTrue="1">
      <formula>OR(ISNUMBER(SEARCH("Strong",G14)),ISNUMBER(SEARCH("Improving",G14)),ISNUMBER(SEARCH("Expanding",G14)),ISNUMBER(SEARCH("Accelerating",G14)),ISNUMBER(SEARCH("Conservative",G14)),ISNUMBER(SEARCH("Undervalued",G14)),ISNUMBER(SEARCH("Value-creating",G14)),ISNUMBER(SEARCH("Robust",G14)),ISNUMBER(SEARCH("Healthy",G14)),ISNUMBER(SEARCH("Low risk",G14)),ISNUMBER(SEARCH("PASS",G14)),ISNUMBER(SEARCH("Balanced",G14)),ISNUMBER(SEARCH("Ties",G14)),ISNUMBER(SEARCH("Acyclic",G14)),ISNUMBER(SEARCH("Present",G14)),ISNUMBER(SEARCH("Consistent",G14)),ISNUMBER(SEARCH("Positive",G14)))</formula>
    </cfRule>
    <cfRule type="expression" priority="23" dxfId="1" stopIfTrue="1">
      <formula>OR(ISNUMBER(SEARCH("Weak",G14)),ISNUMBER(SEARCH("Deteriorating",G14)),ISNUMBER(SEARCH("Compressing",G14)),ISNUMBER(SEARCH("Elevated",G14)),ISNUMBER(SEARCH("Stretched",G14)),ISNUMBER(SEARCH("Overvalued",G14)),ISNUMBER(SEARCH("Value-destroying",G14)),ISNUMBER(SEARCH("Severe",G14)),ISNUMBER(SEARCH("High risk",G14)),ISNUMBER(SEARCH("Negative",G14)),ISNUMBER(SEARCH("Breach",G14)),ISNUMBER(SEARCH("FAIL",G14)),ISNUMBER(SEARCH("Imbalanced",G14)),ISNUMBER(SEARCH("Outlier",G14)),ISNUMBER(SEARCH("Missing",G14)))</formula>
    </cfRule>
    <cfRule type="expression" priority="24" dxfId="2" stopIfTrue="1">
      <formula>OR(ISNUMBER(SEARCH("Moderate",G14)),ISNUMBER(SEARCH("Caution",G14)),ISNUMBER(SEARCH("Decelerating",G14)),ISNUMBER(SEARCH("Watch",G14)),ISNUMBER(SEARCH("Partial",G14)),ISNUMBER(SEARCH("Thin",G14)),ISNUMBER(SEARCH("REVIEW",G14)),ISNUMBER(SEARCH("TV-heavy",G14)),ISNUMBER(SEARCH("Outside",G14)))</formula>
    </cfRule>
  </conditionalFormatting>
  <conditionalFormatting sqref="G15">
    <cfRule type="expression" priority="25" dxfId="0" stopIfTrue="1">
      <formula>OR(ISNUMBER(SEARCH("Strong",G15)),ISNUMBER(SEARCH("Improving",G15)),ISNUMBER(SEARCH("Expanding",G15)),ISNUMBER(SEARCH("Accelerating",G15)),ISNUMBER(SEARCH("Conservative",G15)),ISNUMBER(SEARCH("Undervalued",G15)),ISNUMBER(SEARCH("Value-creating",G15)),ISNUMBER(SEARCH("Robust",G15)),ISNUMBER(SEARCH("Healthy",G15)),ISNUMBER(SEARCH("Low risk",G15)),ISNUMBER(SEARCH("PASS",G15)),ISNUMBER(SEARCH("Balanced",G15)),ISNUMBER(SEARCH("Ties",G15)),ISNUMBER(SEARCH("Acyclic",G15)),ISNUMBER(SEARCH("Present",G15)),ISNUMBER(SEARCH("Consistent",G15)),ISNUMBER(SEARCH("Positive",G15)))</formula>
    </cfRule>
    <cfRule type="expression" priority="26" dxfId="1" stopIfTrue="1">
      <formula>OR(ISNUMBER(SEARCH("Weak",G15)),ISNUMBER(SEARCH("Deteriorating",G15)),ISNUMBER(SEARCH("Compressing",G15)),ISNUMBER(SEARCH("Elevated",G15)),ISNUMBER(SEARCH("Stretched",G15)),ISNUMBER(SEARCH("Overvalued",G15)),ISNUMBER(SEARCH("Value-destroying",G15)),ISNUMBER(SEARCH("Severe",G15)),ISNUMBER(SEARCH("High risk",G15)),ISNUMBER(SEARCH("Negative",G15)),ISNUMBER(SEARCH("Breach",G15)),ISNUMBER(SEARCH("FAIL",G15)),ISNUMBER(SEARCH("Imbalanced",G15)),ISNUMBER(SEARCH("Outlier",G15)),ISNUMBER(SEARCH("Missing",G15)))</formula>
    </cfRule>
    <cfRule type="expression" priority="27" dxfId="2" stopIfTrue="1">
      <formula>OR(ISNUMBER(SEARCH("Moderate",G15)),ISNUMBER(SEARCH("Caution",G15)),ISNUMBER(SEARCH("Decelerating",G15)),ISNUMBER(SEARCH("Watch",G15)),ISNUMBER(SEARCH("Partial",G15)),ISNUMBER(SEARCH("Thin",G15)),ISNUMBER(SEARCH("REVIEW",G15)),ISNUMBER(SEARCH("TV-heavy",G15)),ISNUMBER(SEARCH("Outside",G15)))</formula>
    </cfRule>
  </conditionalFormatting>
  <conditionalFormatting sqref="G16">
    <cfRule type="expression" priority="28" dxfId="0" stopIfTrue="1">
      <formula>OR(ISNUMBER(SEARCH("Strong",G16)),ISNUMBER(SEARCH("Improving",G16)),ISNUMBER(SEARCH("Expanding",G16)),ISNUMBER(SEARCH("Accelerating",G16)),ISNUMBER(SEARCH("Conservative",G16)),ISNUMBER(SEARCH("Undervalued",G16)),ISNUMBER(SEARCH("Value-creating",G16)),ISNUMBER(SEARCH("Robust",G16)),ISNUMBER(SEARCH("Healthy",G16)),ISNUMBER(SEARCH("Low risk",G16)),ISNUMBER(SEARCH("PASS",G16)),ISNUMBER(SEARCH("Balanced",G16)),ISNUMBER(SEARCH("Ties",G16)),ISNUMBER(SEARCH("Acyclic",G16)),ISNUMBER(SEARCH("Present",G16)),ISNUMBER(SEARCH("Consistent",G16)),ISNUMBER(SEARCH("Positive",G16)))</formula>
    </cfRule>
    <cfRule type="expression" priority="29" dxfId="1" stopIfTrue="1">
      <formula>OR(ISNUMBER(SEARCH("Weak",G16)),ISNUMBER(SEARCH("Deteriorating",G16)),ISNUMBER(SEARCH("Compressing",G16)),ISNUMBER(SEARCH("Elevated",G16)),ISNUMBER(SEARCH("Stretched",G16)),ISNUMBER(SEARCH("Overvalued",G16)),ISNUMBER(SEARCH("Value-destroying",G16)),ISNUMBER(SEARCH("Severe",G16)),ISNUMBER(SEARCH("High risk",G16)),ISNUMBER(SEARCH("Negative",G16)),ISNUMBER(SEARCH("Breach",G16)),ISNUMBER(SEARCH("FAIL",G16)),ISNUMBER(SEARCH("Imbalanced",G16)),ISNUMBER(SEARCH("Outlier",G16)),ISNUMBER(SEARCH("Missing",G16)))</formula>
    </cfRule>
    <cfRule type="expression" priority="30" dxfId="2" stopIfTrue="1">
      <formula>OR(ISNUMBER(SEARCH("Moderate",G16)),ISNUMBER(SEARCH("Caution",G16)),ISNUMBER(SEARCH("Decelerating",G16)),ISNUMBER(SEARCH("Watch",G16)),ISNUMBER(SEARCH("Partial",G16)),ISNUMBER(SEARCH("Thin",G16)),ISNUMBER(SEARCH("REVIEW",G16)),ISNUMBER(SEARCH("TV-heavy",G16)),ISNUMBER(SEARCH("Outside",G16)))</formula>
    </cfRule>
  </conditionalFormatting>
  <conditionalFormatting sqref="G17">
    <cfRule type="expression" priority="31" dxfId="0" stopIfTrue="1">
      <formula>OR(ISNUMBER(SEARCH("Strong",G17)),ISNUMBER(SEARCH("Improving",G17)),ISNUMBER(SEARCH("Expanding",G17)),ISNUMBER(SEARCH("Accelerating",G17)),ISNUMBER(SEARCH("Conservative",G17)),ISNUMBER(SEARCH("Undervalued",G17)),ISNUMBER(SEARCH("Value-creating",G17)),ISNUMBER(SEARCH("Robust",G17)),ISNUMBER(SEARCH("Healthy",G17)),ISNUMBER(SEARCH("Low risk",G17)),ISNUMBER(SEARCH("PASS",G17)),ISNUMBER(SEARCH("Balanced",G17)),ISNUMBER(SEARCH("Ties",G17)),ISNUMBER(SEARCH("Acyclic",G17)),ISNUMBER(SEARCH("Present",G17)),ISNUMBER(SEARCH("Consistent",G17)),ISNUMBER(SEARCH("Positive",G17)))</formula>
    </cfRule>
    <cfRule type="expression" priority="32" dxfId="1" stopIfTrue="1">
      <formula>OR(ISNUMBER(SEARCH("Weak",G17)),ISNUMBER(SEARCH("Deteriorating",G17)),ISNUMBER(SEARCH("Compressing",G17)),ISNUMBER(SEARCH("Elevated",G17)),ISNUMBER(SEARCH("Stretched",G17)),ISNUMBER(SEARCH("Overvalued",G17)),ISNUMBER(SEARCH("Value-destroying",G17)),ISNUMBER(SEARCH("Severe",G17)),ISNUMBER(SEARCH("High risk",G17)),ISNUMBER(SEARCH("Negative",G17)),ISNUMBER(SEARCH("Breach",G17)),ISNUMBER(SEARCH("FAIL",G17)),ISNUMBER(SEARCH("Imbalanced",G17)),ISNUMBER(SEARCH("Outlier",G17)),ISNUMBER(SEARCH("Missing",G17)))</formula>
    </cfRule>
    <cfRule type="expression" priority="33" dxfId="2" stopIfTrue="1">
      <formula>OR(ISNUMBER(SEARCH("Moderate",G17)),ISNUMBER(SEARCH("Caution",G17)),ISNUMBER(SEARCH("Decelerating",G17)),ISNUMBER(SEARCH("Watch",G17)),ISNUMBER(SEARCH("Partial",G17)),ISNUMBER(SEARCH("Thin",G17)),ISNUMBER(SEARCH("REVIEW",G17)),ISNUMBER(SEARCH("TV-heavy",G17)),ISNUMBER(SEARCH("Outside",G17)))</formula>
    </cfRule>
  </conditionalFormatting>
  <conditionalFormatting sqref="G18">
    <cfRule type="expression" priority="34" dxfId="0" stopIfTrue="1">
      <formula>OR(ISNUMBER(SEARCH("Strong",G18)),ISNUMBER(SEARCH("Improving",G18)),ISNUMBER(SEARCH("Expanding",G18)),ISNUMBER(SEARCH("Accelerating",G18)),ISNUMBER(SEARCH("Conservative",G18)),ISNUMBER(SEARCH("Undervalued",G18)),ISNUMBER(SEARCH("Value-creating",G18)),ISNUMBER(SEARCH("Robust",G18)),ISNUMBER(SEARCH("Healthy",G18)),ISNUMBER(SEARCH("Low risk",G18)),ISNUMBER(SEARCH("PASS",G18)),ISNUMBER(SEARCH("Balanced",G18)),ISNUMBER(SEARCH("Ties",G18)),ISNUMBER(SEARCH("Acyclic",G18)),ISNUMBER(SEARCH("Present",G18)),ISNUMBER(SEARCH("Consistent",G18)),ISNUMBER(SEARCH("Positive",G18)))</formula>
    </cfRule>
    <cfRule type="expression" priority="35" dxfId="1" stopIfTrue="1">
      <formula>OR(ISNUMBER(SEARCH("Weak",G18)),ISNUMBER(SEARCH("Deteriorating",G18)),ISNUMBER(SEARCH("Compressing",G18)),ISNUMBER(SEARCH("Elevated",G18)),ISNUMBER(SEARCH("Stretched",G18)),ISNUMBER(SEARCH("Overvalued",G18)),ISNUMBER(SEARCH("Value-destroying",G18)),ISNUMBER(SEARCH("Severe",G18)),ISNUMBER(SEARCH("High risk",G18)),ISNUMBER(SEARCH("Negative",G18)),ISNUMBER(SEARCH("Breach",G18)),ISNUMBER(SEARCH("FAIL",G18)),ISNUMBER(SEARCH("Imbalanced",G18)),ISNUMBER(SEARCH("Outlier",G18)),ISNUMBER(SEARCH("Missing",G18)))</formula>
    </cfRule>
    <cfRule type="expression" priority="36" dxfId="2" stopIfTrue="1">
      <formula>OR(ISNUMBER(SEARCH("Moderate",G18)),ISNUMBER(SEARCH("Caution",G18)),ISNUMBER(SEARCH("Decelerating",G18)),ISNUMBER(SEARCH("Watch",G18)),ISNUMBER(SEARCH("Partial",G18)),ISNUMBER(SEARCH("Thin",G18)),ISNUMBER(SEARCH("REVIEW",G18)),ISNUMBER(SEARCH("TV-heavy",G18)),ISNUMBER(SEARCH("Outside",G18)))</formula>
    </cfRule>
  </conditionalFormatting>
  <conditionalFormatting sqref="G19">
    <cfRule type="expression" priority="37" dxfId="0" stopIfTrue="1">
      <formula>OR(ISNUMBER(SEARCH("Strong",G19)),ISNUMBER(SEARCH("Improving",G19)),ISNUMBER(SEARCH("Expanding",G19)),ISNUMBER(SEARCH("Accelerating",G19)),ISNUMBER(SEARCH("Conservative",G19)),ISNUMBER(SEARCH("Undervalued",G19)),ISNUMBER(SEARCH("Value-creating",G19)),ISNUMBER(SEARCH("Robust",G19)),ISNUMBER(SEARCH("Healthy",G19)),ISNUMBER(SEARCH("Low risk",G19)),ISNUMBER(SEARCH("PASS",G19)),ISNUMBER(SEARCH("Balanced",G19)),ISNUMBER(SEARCH("Ties",G19)),ISNUMBER(SEARCH("Acyclic",G19)),ISNUMBER(SEARCH("Present",G19)),ISNUMBER(SEARCH("Consistent",G19)),ISNUMBER(SEARCH("Positive",G19)))</formula>
    </cfRule>
    <cfRule type="expression" priority="38" dxfId="1" stopIfTrue="1">
      <formula>OR(ISNUMBER(SEARCH("Weak",G19)),ISNUMBER(SEARCH("Deteriorating",G19)),ISNUMBER(SEARCH("Compressing",G19)),ISNUMBER(SEARCH("Elevated",G19)),ISNUMBER(SEARCH("Stretched",G19)),ISNUMBER(SEARCH("Overvalued",G19)),ISNUMBER(SEARCH("Value-destroying",G19)),ISNUMBER(SEARCH("Severe",G19)),ISNUMBER(SEARCH("High risk",G19)),ISNUMBER(SEARCH("Negative",G19)),ISNUMBER(SEARCH("Breach",G19)),ISNUMBER(SEARCH("FAIL",G19)),ISNUMBER(SEARCH("Imbalanced",G19)),ISNUMBER(SEARCH("Outlier",G19)),ISNUMBER(SEARCH("Missing",G19)))</formula>
    </cfRule>
    <cfRule type="expression" priority="39" dxfId="2" stopIfTrue="1">
      <formula>OR(ISNUMBER(SEARCH("Moderate",G19)),ISNUMBER(SEARCH("Caution",G19)),ISNUMBER(SEARCH("Decelerating",G19)),ISNUMBER(SEARCH("Watch",G19)),ISNUMBER(SEARCH("Partial",G19)),ISNUMBER(SEARCH("Thin",G19)),ISNUMBER(SEARCH("REVIEW",G19)),ISNUMBER(SEARCH("TV-heavy",G19)),ISNUMBER(SEARCH("Outside",G19)))</formula>
    </cfRule>
  </conditionalFormatting>
  <conditionalFormatting sqref="B30">
    <cfRule type="expression" priority="40" dxfId="0" stopIfTrue="1">
      <formula>OR(ISNUMBER(SEARCH("Strong",B30)),ISNUMBER(SEARCH("Improving",B30)),ISNUMBER(SEARCH("Expanding",B30)),ISNUMBER(SEARCH("Accelerating",B30)),ISNUMBER(SEARCH("Conservative",B30)),ISNUMBER(SEARCH("Undervalued",B30)),ISNUMBER(SEARCH("Value-creating",B30)),ISNUMBER(SEARCH("Robust",B30)),ISNUMBER(SEARCH("Healthy",B30)),ISNUMBER(SEARCH("Low risk",B30)),ISNUMBER(SEARCH("PASS",B30)),ISNUMBER(SEARCH("Balanced",B30)),ISNUMBER(SEARCH("Ties",B30)),ISNUMBER(SEARCH("Acyclic",B30)),ISNUMBER(SEARCH("Present",B30)),ISNUMBER(SEARCH("Consistent",B30)),ISNUMBER(SEARCH("Positive",B30)))</formula>
    </cfRule>
    <cfRule type="expression" priority="41" dxfId="1" stopIfTrue="1">
      <formula>OR(ISNUMBER(SEARCH("Weak",B30)),ISNUMBER(SEARCH("Deteriorating",B30)),ISNUMBER(SEARCH("Compressing",B30)),ISNUMBER(SEARCH("Elevated",B30)),ISNUMBER(SEARCH("Stretched",B30)),ISNUMBER(SEARCH("Overvalued",B30)),ISNUMBER(SEARCH("Value-destroying",B30)),ISNUMBER(SEARCH("Severe",B30)),ISNUMBER(SEARCH("High risk",B30)),ISNUMBER(SEARCH("Negative",B30)),ISNUMBER(SEARCH("Breach",B30)),ISNUMBER(SEARCH("FAIL",B30)),ISNUMBER(SEARCH("Imbalanced",B30)),ISNUMBER(SEARCH("Outlier",B30)),ISNUMBER(SEARCH("Missing",B30)))</formula>
    </cfRule>
    <cfRule type="expression" priority="42" dxfId="2" stopIfTrue="1">
      <formula>OR(ISNUMBER(SEARCH("Moderate",B30)),ISNUMBER(SEARCH("Caution",B30)),ISNUMBER(SEARCH("Decelerating",B30)),ISNUMBER(SEARCH("Watch",B30)),ISNUMBER(SEARCH("Partial",B30)),ISNUMBER(SEARCH("Thin",B30)),ISNUMBER(SEARCH("REVIEW",B30)),ISNUMBER(SEARCH("TV-heavy",B30)),ISNUMBER(SEARCH("Outside",B30)))</formula>
    </cfRule>
  </conditionalFormatting>
  <conditionalFormatting sqref="F30">
    <cfRule type="expression" priority="43" dxfId="0" stopIfTrue="1">
      <formula>OR(ISNUMBER(SEARCH("Strong",F30)),ISNUMBER(SEARCH("Improving",F30)),ISNUMBER(SEARCH("Expanding",F30)),ISNUMBER(SEARCH("Accelerating",F30)),ISNUMBER(SEARCH("Conservative",F30)),ISNUMBER(SEARCH("Undervalued",F30)),ISNUMBER(SEARCH("Value-creating",F30)),ISNUMBER(SEARCH("Robust",F30)),ISNUMBER(SEARCH("Healthy",F30)),ISNUMBER(SEARCH("Low risk",F30)),ISNUMBER(SEARCH("PASS",F30)),ISNUMBER(SEARCH("Balanced",F30)),ISNUMBER(SEARCH("Ties",F30)),ISNUMBER(SEARCH("Acyclic",F30)),ISNUMBER(SEARCH("Present",F30)),ISNUMBER(SEARCH("Consistent",F30)),ISNUMBER(SEARCH("Positive",F30)))</formula>
    </cfRule>
    <cfRule type="expression" priority="44" dxfId="1" stopIfTrue="1">
      <formula>OR(ISNUMBER(SEARCH("Weak",F30)),ISNUMBER(SEARCH("Deteriorating",F30)),ISNUMBER(SEARCH("Compressing",F30)),ISNUMBER(SEARCH("Elevated",F30)),ISNUMBER(SEARCH("Stretched",F30)),ISNUMBER(SEARCH("Overvalued",F30)),ISNUMBER(SEARCH("Value-destroying",F30)),ISNUMBER(SEARCH("Severe",F30)),ISNUMBER(SEARCH("High risk",F30)),ISNUMBER(SEARCH("Negative",F30)),ISNUMBER(SEARCH("Breach",F30)),ISNUMBER(SEARCH("FAIL",F30)),ISNUMBER(SEARCH("Imbalanced",F30)),ISNUMBER(SEARCH("Outlier",F30)),ISNUMBER(SEARCH("Missing",F30)))</formula>
    </cfRule>
    <cfRule type="expression" priority="45" dxfId="2" stopIfTrue="1">
      <formula>OR(ISNUMBER(SEARCH("Moderate",F30)),ISNUMBER(SEARCH("Caution",F30)),ISNUMBER(SEARCH("Decelerating",F30)),ISNUMBER(SEARCH("Watch",F30)),ISNUMBER(SEARCH("Partial",F30)),ISNUMBER(SEARCH("Thin",F30)),ISNUMBER(SEARCH("REVIEW",F30)),ISNUMBER(SEARCH("TV-heavy",F30)),ISNUMBER(SEARCH("Outside",F30)))</formula>
    </cfRule>
  </conditionalFormatting>
  <conditionalFormatting sqref="B31">
    <cfRule type="expression" priority="46" dxfId="0" stopIfTrue="1">
      <formula>OR(ISNUMBER(SEARCH("Strong",B31)),ISNUMBER(SEARCH("Improving",B31)),ISNUMBER(SEARCH("Expanding",B31)),ISNUMBER(SEARCH("Accelerating",B31)),ISNUMBER(SEARCH("Conservative",B31)),ISNUMBER(SEARCH("Undervalued",B31)),ISNUMBER(SEARCH("Value-creating",B31)),ISNUMBER(SEARCH("Robust",B31)),ISNUMBER(SEARCH("Healthy",B31)),ISNUMBER(SEARCH("Low risk",B31)),ISNUMBER(SEARCH("PASS",B31)),ISNUMBER(SEARCH("Balanced",B31)),ISNUMBER(SEARCH("Ties",B31)),ISNUMBER(SEARCH("Acyclic",B31)),ISNUMBER(SEARCH("Present",B31)),ISNUMBER(SEARCH("Consistent",B31)),ISNUMBER(SEARCH("Positive",B31)))</formula>
    </cfRule>
    <cfRule type="expression" priority="47" dxfId="1" stopIfTrue="1">
      <formula>OR(ISNUMBER(SEARCH("Weak",B31)),ISNUMBER(SEARCH("Deteriorating",B31)),ISNUMBER(SEARCH("Compressing",B31)),ISNUMBER(SEARCH("Elevated",B31)),ISNUMBER(SEARCH("Stretched",B31)),ISNUMBER(SEARCH("Overvalued",B31)),ISNUMBER(SEARCH("Value-destroying",B31)),ISNUMBER(SEARCH("Severe",B31)),ISNUMBER(SEARCH("High risk",B31)),ISNUMBER(SEARCH("Negative",B31)),ISNUMBER(SEARCH("Breach",B31)),ISNUMBER(SEARCH("FAIL",B31)),ISNUMBER(SEARCH("Imbalanced",B31)),ISNUMBER(SEARCH("Outlier",B31)),ISNUMBER(SEARCH("Missing",B31)))</formula>
    </cfRule>
    <cfRule type="expression" priority="48" dxfId="2" stopIfTrue="1">
      <formula>OR(ISNUMBER(SEARCH("Moderate",B31)),ISNUMBER(SEARCH("Caution",B31)),ISNUMBER(SEARCH("Decelerating",B31)),ISNUMBER(SEARCH("Watch",B31)),ISNUMBER(SEARCH("Partial",B31)),ISNUMBER(SEARCH("Thin",B31)),ISNUMBER(SEARCH("REVIEW",B31)),ISNUMBER(SEARCH("TV-heavy",B31)),ISNUMBER(SEARCH("Outside",B31)))</formula>
    </cfRule>
  </conditionalFormatting>
  <conditionalFormatting sqref="F31">
    <cfRule type="expression" priority="49" dxfId="0" stopIfTrue="1">
      <formula>OR(ISNUMBER(SEARCH("Strong",F31)),ISNUMBER(SEARCH("Improving",F31)),ISNUMBER(SEARCH("Expanding",F31)),ISNUMBER(SEARCH("Accelerating",F31)),ISNUMBER(SEARCH("Conservative",F31)),ISNUMBER(SEARCH("Undervalued",F31)),ISNUMBER(SEARCH("Value-creating",F31)),ISNUMBER(SEARCH("Robust",F31)),ISNUMBER(SEARCH("Healthy",F31)),ISNUMBER(SEARCH("Low risk",F31)),ISNUMBER(SEARCH("PASS",F31)),ISNUMBER(SEARCH("Balanced",F31)),ISNUMBER(SEARCH("Ties",F31)),ISNUMBER(SEARCH("Acyclic",F31)),ISNUMBER(SEARCH("Present",F31)),ISNUMBER(SEARCH("Consistent",F31)),ISNUMBER(SEARCH("Positive",F31)))</formula>
    </cfRule>
    <cfRule type="expression" priority="50" dxfId="1" stopIfTrue="1">
      <formula>OR(ISNUMBER(SEARCH("Weak",F31)),ISNUMBER(SEARCH("Deteriorating",F31)),ISNUMBER(SEARCH("Compressing",F31)),ISNUMBER(SEARCH("Elevated",F31)),ISNUMBER(SEARCH("Stretched",F31)),ISNUMBER(SEARCH("Overvalued",F31)),ISNUMBER(SEARCH("Value-destroying",F31)),ISNUMBER(SEARCH("Severe",F31)),ISNUMBER(SEARCH("High risk",F31)),ISNUMBER(SEARCH("Negative",F31)),ISNUMBER(SEARCH("Breach",F31)),ISNUMBER(SEARCH("FAIL",F31)),ISNUMBER(SEARCH("Imbalanced",F31)),ISNUMBER(SEARCH("Outlier",F31)),ISNUMBER(SEARCH("Missing",F31)))</formula>
    </cfRule>
    <cfRule type="expression" priority="51" dxfId="2" stopIfTrue="1">
      <formula>OR(ISNUMBER(SEARCH("Moderate",F31)),ISNUMBER(SEARCH("Caution",F31)),ISNUMBER(SEARCH("Decelerating",F31)),ISNUMBER(SEARCH("Watch",F31)),ISNUMBER(SEARCH("Partial",F31)),ISNUMBER(SEARCH("Thin",F31)),ISNUMBER(SEARCH("REVIEW",F31)),ISNUMBER(SEARCH("TV-heavy",F31)),ISNUMBER(SEARCH("Outside",F31)))</formula>
    </cfRule>
  </conditionalFormatting>
  <conditionalFormatting sqref="B32">
    <cfRule type="expression" priority="52" dxfId="0" stopIfTrue="1">
      <formula>OR(ISNUMBER(SEARCH("Strong",B32)),ISNUMBER(SEARCH("Improving",B32)),ISNUMBER(SEARCH("Expanding",B32)),ISNUMBER(SEARCH("Accelerating",B32)),ISNUMBER(SEARCH("Conservative",B32)),ISNUMBER(SEARCH("Undervalued",B32)),ISNUMBER(SEARCH("Value-creating",B32)),ISNUMBER(SEARCH("Robust",B32)),ISNUMBER(SEARCH("Healthy",B32)),ISNUMBER(SEARCH("Low risk",B32)),ISNUMBER(SEARCH("PASS",B32)),ISNUMBER(SEARCH("Balanced",B32)),ISNUMBER(SEARCH("Ties",B32)),ISNUMBER(SEARCH("Acyclic",B32)),ISNUMBER(SEARCH("Present",B32)),ISNUMBER(SEARCH("Consistent",B32)),ISNUMBER(SEARCH("Positive",B32)))</formula>
    </cfRule>
    <cfRule type="expression" priority="53" dxfId="1" stopIfTrue="1">
      <formula>OR(ISNUMBER(SEARCH("Weak",B32)),ISNUMBER(SEARCH("Deteriorating",B32)),ISNUMBER(SEARCH("Compressing",B32)),ISNUMBER(SEARCH("Elevated",B32)),ISNUMBER(SEARCH("Stretched",B32)),ISNUMBER(SEARCH("Overvalued",B32)),ISNUMBER(SEARCH("Value-destroying",B32)),ISNUMBER(SEARCH("Severe",B32)),ISNUMBER(SEARCH("High risk",B32)),ISNUMBER(SEARCH("Negative",B32)),ISNUMBER(SEARCH("Breach",B32)),ISNUMBER(SEARCH("FAIL",B32)),ISNUMBER(SEARCH("Imbalanced",B32)),ISNUMBER(SEARCH("Outlier",B32)),ISNUMBER(SEARCH("Missing",B32)))</formula>
    </cfRule>
    <cfRule type="expression" priority="54" dxfId="2" stopIfTrue="1">
      <formula>OR(ISNUMBER(SEARCH("Moderate",B32)),ISNUMBER(SEARCH("Caution",B32)),ISNUMBER(SEARCH("Decelerating",B32)),ISNUMBER(SEARCH("Watch",B32)),ISNUMBER(SEARCH("Partial",B32)),ISNUMBER(SEARCH("Thin",B32)),ISNUMBER(SEARCH("REVIEW",B32)),ISNUMBER(SEARCH("TV-heavy",B32)),ISNUMBER(SEARCH("Outside",B32)))</formula>
    </cfRule>
  </conditionalFormatting>
  <conditionalFormatting sqref="F32">
    <cfRule type="expression" priority="55" dxfId="0" stopIfTrue="1">
      <formula>OR(ISNUMBER(SEARCH("Strong",F32)),ISNUMBER(SEARCH("Improving",F32)),ISNUMBER(SEARCH("Expanding",F32)),ISNUMBER(SEARCH("Accelerating",F32)),ISNUMBER(SEARCH("Conservative",F32)),ISNUMBER(SEARCH("Undervalued",F32)),ISNUMBER(SEARCH("Value-creating",F32)),ISNUMBER(SEARCH("Robust",F32)),ISNUMBER(SEARCH("Healthy",F32)),ISNUMBER(SEARCH("Low risk",F32)),ISNUMBER(SEARCH("PASS",F32)),ISNUMBER(SEARCH("Balanced",F32)),ISNUMBER(SEARCH("Ties",F32)),ISNUMBER(SEARCH("Acyclic",F32)),ISNUMBER(SEARCH("Present",F32)),ISNUMBER(SEARCH("Consistent",F32)),ISNUMBER(SEARCH("Positive",F32)))</formula>
    </cfRule>
    <cfRule type="expression" priority="56" dxfId="1" stopIfTrue="1">
      <formula>OR(ISNUMBER(SEARCH("Weak",F32)),ISNUMBER(SEARCH("Deteriorating",F32)),ISNUMBER(SEARCH("Compressing",F32)),ISNUMBER(SEARCH("Elevated",F32)),ISNUMBER(SEARCH("Stretched",F32)),ISNUMBER(SEARCH("Overvalued",F32)),ISNUMBER(SEARCH("Value-destroying",F32)),ISNUMBER(SEARCH("Severe",F32)),ISNUMBER(SEARCH("High risk",F32)),ISNUMBER(SEARCH("Negative",F32)),ISNUMBER(SEARCH("Breach",F32)),ISNUMBER(SEARCH("FAIL",F32)),ISNUMBER(SEARCH("Imbalanced",F32)),ISNUMBER(SEARCH("Outlier",F32)),ISNUMBER(SEARCH("Missing",F32)))</formula>
    </cfRule>
    <cfRule type="expression" priority="57" dxfId="2" stopIfTrue="1">
      <formula>OR(ISNUMBER(SEARCH("Moderate",F32)),ISNUMBER(SEARCH("Caution",F32)),ISNUMBER(SEARCH("Decelerating",F32)),ISNUMBER(SEARCH("Watch",F32)),ISNUMBER(SEARCH("Partial",F32)),ISNUMBER(SEARCH("Thin",F32)),ISNUMBER(SEARCH("REVIEW",F32)),ISNUMBER(SEARCH("TV-heavy",F32)),ISNUMBER(SEARCH("Outside",F32)))</formula>
    </cfRule>
  </conditionalFormatting>
  <conditionalFormatting sqref="B33">
    <cfRule type="expression" priority="58" dxfId="0" stopIfTrue="1">
      <formula>OR(ISNUMBER(SEARCH("Strong",B33)),ISNUMBER(SEARCH("Improving",B33)),ISNUMBER(SEARCH("Expanding",B33)),ISNUMBER(SEARCH("Accelerating",B33)),ISNUMBER(SEARCH("Conservative",B33)),ISNUMBER(SEARCH("Undervalued",B33)),ISNUMBER(SEARCH("Value-creating",B33)),ISNUMBER(SEARCH("Robust",B33)),ISNUMBER(SEARCH("Healthy",B33)),ISNUMBER(SEARCH("Low risk",B33)),ISNUMBER(SEARCH("PASS",B33)),ISNUMBER(SEARCH("Balanced",B33)),ISNUMBER(SEARCH("Ties",B33)),ISNUMBER(SEARCH("Acyclic",B33)),ISNUMBER(SEARCH("Present",B33)),ISNUMBER(SEARCH("Consistent",B33)),ISNUMBER(SEARCH("Positive",B33)))</formula>
    </cfRule>
    <cfRule type="expression" priority="59" dxfId="1" stopIfTrue="1">
      <formula>OR(ISNUMBER(SEARCH("Weak",B33)),ISNUMBER(SEARCH("Deteriorating",B33)),ISNUMBER(SEARCH("Compressing",B33)),ISNUMBER(SEARCH("Elevated",B33)),ISNUMBER(SEARCH("Stretched",B33)),ISNUMBER(SEARCH("Overvalued",B33)),ISNUMBER(SEARCH("Value-destroying",B33)),ISNUMBER(SEARCH("Severe",B33)),ISNUMBER(SEARCH("High risk",B33)),ISNUMBER(SEARCH("Negative",B33)),ISNUMBER(SEARCH("Breach",B33)),ISNUMBER(SEARCH("FAIL",B33)),ISNUMBER(SEARCH("Imbalanced",B33)),ISNUMBER(SEARCH("Outlier",B33)),ISNUMBER(SEARCH("Missing",B33)))</formula>
    </cfRule>
    <cfRule type="expression" priority="60" dxfId="2" stopIfTrue="1">
      <formula>OR(ISNUMBER(SEARCH("Moderate",B33)),ISNUMBER(SEARCH("Caution",B33)),ISNUMBER(SEARCH("Decelerating",B33)),ISNUMBER(SEARCH("Watch",B33)),ISNUMBER(SEARCH("Partial",B33)),ISNUMBER(SEARCH("Thin",B33)),ISNUMBER(SEARCH("REVIEW",B33)),ISNUMBER(SEARCH("TV-heavy",B33)),ISNUMBER(SEARCH("Outside",B33)))</formula>
    </cfRule>
  </conditionalFormatting>
  <conditionalFormatting sqref="F33">
    <cfRule type="expression" priority="61" dxfId="0" stopIfTrue="1">
      <formula>OR(ISNUMBER(SEARCH("Strong",F33)),ISNUMBER(SEARCH("Improving",F33)),ISNUMBER(SEARCH("Expanding",F33)),ISNUMBER(SEARCH("Accelerating",F33)),ISNUMBER(SEARCH("Conservative",F33)),ISNUMBER(SEARCH("Undervalued",F33)),ISNUMBER(SEARCH("Value-creating",F33)),ISNUMBER(SEARCH("Robust",F33)),ISNUMBER(SEARCH("Healthy",F33)),ISNUMBER(SEARCH("Low risk",F33)),ISNUMBER(SEARCH("PASS",F33)),ISNUMBER(SEARCH("Balanced",F33)),ISNUMBER(SEARCH("Ties",F33)),ISNUMBER(SEARCH("Acyclic",F33)),ISNUMBER(SEARCH("Present",F33)),ISNUMBER(SEARCH("Consistent",F33)),ISNUMBER(SEARCH("Positive",F33)))</formula>
    </cfRule>
    <cfRule type="expression" priority="62" dxfId="1" stopIfTrue="1">
      <formula>OR(ISNUMBER(SEARCH("Weak",F33)),ISNUMBER(SEARCH("Deteriorating",F33)),ISNUMBER(SEARCH("Compressing",F33)),ISNUMBER(SEARCH("Elevated",F33)),ISNUMBER(SEARCH("Stretched",F33)),ISNUMBER(SEARCH("Overvalued",F33)),ISNUMBER(SEARCH("Value-destroying",F33)),ISNUMBER(SEARCH("Severe",F33)),ISNUMBER(SEARCH("High risk",F33)),ISNUMBER(SEARCH("Negative",F33)),ISNUMBER(SEARCH("Breach",F33)),ISNUMBER(SEARCH("FAIL",F33)),ISNUMBER(SEARCH("Imbalanced",F33)),ISNUMBER(SEARCH("Outlier",F33)),ISNUMBER(SEARCH("Missing",F33)))</formula>
    </cfRule>
    <cfRule type="expression" priority="63" dxfId="2" stopIfTrue="1">
      <formula>OR(ISNUMBER(SEARCH("Moderate",F33)),ISNUMBER(SEARCH("Caution",F33)),ISNUMBER(SEARCH("Decelerating",F33)),ISNUMBER(SEARCH("Watch",F33)),ISNUMBER(SEARCH("Partial",F33)),ISNUMBER(SEARCH("Thin",F33)),ISNUMBER(SEARCH("REVIEW",F33)),ISNUMBER(SEARCH("TV-heavy",F33)),ISNUMBER(SEARCH("Outside",F33)))</formula>
    </cfRule>
  </conditionalFormatting>
  <conditionalFormatting sqref="B34">
    <cfRule type="expression" priority="64" dxfId="0" stopIfTrue="1">
      <formula>OR(ISNUMBER(SEARCH("Strong",B34)),ISNUMBER(SEARCH("Improving",B34)),ISNUMBER(SEARCH("Expanding",B34)),ISNUMBER(SEARCH("Accelerating",B34)),ISNUMBER(SEARCH("Conservative",B34)),ISNUMBER(SEARCH("Undervalued",B34)),ISNUMBER(SEARCH("Value-creating",B34)),ISNUMBER(SEARCH("Robust",B34)),ISNUMBER(SEARCH("Healthy",B34)),ISNUMBER(SEARCH("Low risk",B34)),ISNUMBER(SEARCH("PASS",B34)),ISNUMBER(SEARCH("Balanced",B34)),ISNUMBER(SEARCH("Ties",B34)),ISNUMBER(SEARCH("Acyclic",B34)),ISNUMBER(SEARCH("Present",B34)),ISNUMBER(SEARCH("Consistent",B34)),ISNUMBER(SEARCH("Positive",B34)))</formula>
    </cfRule>
    <cfRule type="expression" priority="65" dxfId="1" stopIfTrue="1">
      <formula>OR(ISNUMBER(SEARCH("Weak",B34)),ISNUMBER(SEARCH("Deteriorating",B34)),ISNUMBER(SEARCH("Compressing",B34)),ISNUMBER(SEARCH("Elevated",B34)),ISNUMBER(SEARCH("Stretched",B34)),ISNUMBER(SEARCH("Overvalued",B34)),ISNUMBER(SEARCH("Value-destroying",B34)),ISNUMBER(SEARCH("Severe",B34)),ISNUMBER(SEARCH("High risk",B34)),ISNUMBER(SEARCH("Negative",B34)),ISNUMBER(SEARCH("Breach",B34)),ISNUMBER(SEARCH("FAIL",B34)),ISNUMBER(SEARCH("Imbalanced",B34)),ISNUMBER(SEARCH("Outlier",B34)),ISNUMBER(SEARCH("Missing",B34)))</formula>
    </cfRule>
    <cfRule type="expression" priority="66" dxfId="2" stopIfTrue="1">
      <formula>OR(ISNUMBER(SEARCH("Moderate",B34)),ISNUMBER(SEARCH("Caution",B34)),ISNUMBER(SEARCH("Decelerating",B34)),ISNUMBER(SEARCH("Watch",B34)),ISNUMBER(SEARCH("Partial",B34)),ISNUMBER(SEARCH("Thin",B34)),ISNUMBER(SEARCH("REVIEW",B34)),ISNUMBER(SEARCH("TV-heavy",B34)),ISNUMBER(SEARCH("Outside",B34)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7A3D"/>
    <outlinePr summaryBelow="1" summaryRight="1"/>
    <pageSetUpPr fitToPage="1"/>
  </sheetPr>
  <dimension ref="A1:H40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INVESTMENT CONCLUSION</t>
        </is>
      </c>
    </row>
    <row r="2" ht="16" customHeight="1">
      <c r="A2" s="2" t="inlineStr">
        <is>
          <t>&lt;Company name&gt; — thesis, drivers, risks &amp; stance</t>
        </is>
      </c>
    </row>
    <row r="3">
      <c r="A3" s="11" t="inlineStr">
        <is>
          <t>Investment-Grade Company Analysis Engine  ·  v1.0</t>
        </is>
      </c>
    </row>
    <row r="5" ht="20" customHeight="1">
      <c r="A5" s="5" t="inlineStr">
        <is>
          <t>Final Stance</t>
        </is>
      </c>
    </row>
    <row r="6" ht="34" customHeight="1">
      <c r="A6" s="64">
        <f>"Stance:  "&amp;IF(ISNUMBER('DCF'!$B$40),IF('DCF'!$B$40&gt;0.15,"CONSTRUCTIVE — the DCF implies meaningful upside.",IF('DCF'!$B$40&lt;-0.15,"CAUTIOUS — the DCF implies the price is rich.","NEUTRAL — price is close to intrinsic value.")),"VALUE-ONLY — no market price entered; compare to the DCF value per share.")&amp;"  Business quality is "&amp;IF(AND(ISNUMBER('Historical'!$F$34),'Historical'!$F$34&gt;'WACC'!$B$24+0.01),"GOOD (ROIC above WACC). ",IF(AND(ISNUMBER('Historical'!$F$34),'Historical'!$F$34&lt;'WACC'!$B$24-0.01),"CHALLENGED (ROIC below WACC). ","ADEQUATE (ROIC ~ WACC). "))</f>
        <v/>
      </c>
      <c r="B6" s="21" t="n"/>
      <c r="C6" s="21" t="n"/>
      <c r="D6" s="21" t="n"/>
      <c r="E6" s="21" t="n"/>
      <c r="F6" s="21" t="n"/>
      <c r="G6" s="21" t="n"/>
      <c r="H6" s="22" t="n"/>
    </row>
    <row r="8" ht="20" customHeight="1">
      <c r="A8" s="5" t="inlineStr">
        <is>
          <t>Valuation Summary</t>
        </is>
      </c>
    </row>
    <row r="9" ht="30" customHeight="1">
      <c r="A9" s="20">
        <f>"The base-case DCF values the equity at "&amp;TEXT('DCF'!$B$36,"#,##0.00")&amp;" per share, versus a market price of "&amp;IF(ISNUMBER('DCF'!$B$39),TEXT('DCF'!$B$39,"#,##0.00"),"n/a")&amp;" — "&amp;IF(ISNUMBER('DCF'!$B$40),TEXT('DCF'!$B$40,"+0.0%;-0.0%")&amp;" upside/(downside).","no price entered.")&amp;" The scenario range runs from "&amp;TEXT('Scenario'!$E$34,"#,##0.00")&amp;" (downside) to "&amp;TEXT('Scenario'!$C$34,"#,##0.00")&amp;" (bull)."</f>
        <v/>
      </c>
    </row>
    <row r="11" ht="20" customHeight="1">
      <c r="A11" s="5" t="inlineStr">
        <is>
          <t>What Is Driving Value</t>
        </is>
      </c>
    </row>
    <row r="12" ht="26" customHeight="1">
      <c r="A12" s="72">
        <f>"•  Capital returns:  ROIC "&amp;TEXT('Historical'!$F$34,"0.0%")&amp;" vs WACC "&amp;TEXT('WACC'!$B$24,"0.0%")&amp;" — "&amp;IF(AND(ISNUMBER('Historical'!$F$34),'Historical'!$F$34&gt;'WACC'!$B$24+0.01),"value-creating.",IF(AND(ISNUMBER('Historical'!$F$34),'Historical'!$F$34&lt;'WACC'!$B$24-0.01),"value-destroying.","roughly neutral."))</f>
        <v/>
      </c>
    </row>
    <row r="13" ht="26" customHeight="1">
      <c r="A13" s="72">
        <f>"•  Profitability:  EBIT margin "&amp;TEXT('Historical'!$F$19,"0.0%")&amp;" ("&amp;'Historical'!$G$19&amp;"), gross margin "&amp;TEXT('Historical'!$F$17,"0.0%")&amp;" ("&amp;'Historical'!$G$17&amp;")."</f>
        <v/>
      </c>
    </row>
    <row r="14" ht="26" customHeight="1">
      <c r="A14" s="72">
        <f>"•  Cash generation:  FCF margin "&amp;TEXT('Historical'!$F$67,"0.0%")&amp;" ("&amp;'Historical'!$G$67&amp;"); CFO/EBITDA "&amp;TEXT('Historical'!$F$70,"0.0%")&amp;"."</f>
        <v/>
      </c>
    </row>
    <row r="15" ht="26" customHeight="1">
      <c r="A15" s="72">
        <f>"•  Growth:  latest revenue growth "&amp;TEXT('Historical'!$F$8,"0.0%")&amp;" ("&amp;'Historical'!$G$8&amp;"); forecast fades toward the long-run rate."</f>
        <v/>
      </c>
    </row>
    <row r="16" ht="26" customHeight="1">
      <c r="A16" s="72">
        <f>"•  Balance sheet:  net debt / EBITDA "&amp;TEXT('Historical'!$F$48,"0.0")&amp;"x ("&amp;'Historical'!$G$48&amp;"), interest coverage "&amp;TEXT('Historical'!$F$49,"0.0")&amp;"x."</f>
        <v/>
      </c>
    </row>
    <row r="18" ht="20" customHeight="1">
      <c r="A18" s="5" t="inlineStr">
        <is>
          <t>What Is Hurting Value / Key Risks</t>
        </is>
      </c>
    </row>
    <row r="19" ht="26" customHeight="1">
      <c r="A19" s="72">
        <f>"•  Valuation:  "&amp;'DCF'!$B$41&amp;" at the current price ("&amp;IF(ISNUMBER('DCF'!$B$40),TEXT('DCF'!$B$40,"+0.0%;-0.0%")&amp;" vs DCF value).","n/a).")</f>
        <v/>
      </c>
    </row>
    <row r="20" ht="26" customHeight="1">
      <c r="A20" s="72">
        <f>"•  Leverage &amp; coverage:  "&amp;'Historical'!$G$48&amp;" leverage; "&amp;'Historical'!$G$49&amp;" interest coverage."</f>
        <v/>
      </c>
    </row>
    <row r="21" ht="26" customHeight="1">
      <c r="A21" s="72">
        <f>"•  Growth &amp; margin trend:  revenue "&amp;'Historical'!$G$8&amp;"; gross margin "&amp;'Historical'!$G$17&amp;"."</f>
        <v/>
      </c>
    </row>
    <row r="22" ht="26" customHeight="1">
      <c r="A22" s="72">
        <f>"•  Terminal-value reliance:  "&amp;TEXT('DCF'!$B$43,"0.0%")&amp;" of enterprise value sits in the terminal value — sensitive to WACC and g."</f>
        <v/>
      </c>
    </row>
    <row r="23" ht="26" customHeight="1">
      <c r="A23" s="72">
        <f>"•  Data &amp; model health:  "&amp;'Checks'!$B$6&amp;" (see Checks sheet)."</f>
        <v/>
      </c>
    </row>
    <row r="25" ht="20" customHeight="1">
      <c r="A25" s="5" t="inlineStr">
        <is>
          <t>Key Assumptions That Matter Most</t>
        </is>
      </c>
    </row>
    <row r="26">
      <c r="A26" s="24" t="inlineStr">
        <is>
          <t>Assumption</t>
        </is>
      </c>
      <c r="B26" s="25" t="inlineStr">
        <is>
          <t>Active value</t>
        </is>
      </c>
      <c r="D26" s="24" t="inlineStr">
        <is>
          <t>Why it matters (see Sensitivity sheet for the swing)</t>
        </is>
      </c>
    </row>
    <row r="27">
      <c r="A27" s="3" t="inlineStr">
        <is>
          <t>WACC (discount rate)</t>
        </is>
      </c>
      <c r="B27" s="10">
        <f>'WACC'!$B$24</f>
        <v/>
      </c>
      <c r="D27" s="11" t="inlineStr">
        <is>
          <t>The single biggest lever; lower WACC raises value sharply.</t>
        </is>
      </c>
    </row>
    <row r="28">
      <c r="A28" s="3" t="inlineStr">
        <is>
          <t>Terminal growth (g)</t>
        </is>
      </c>
      <c r="B28" s="38">
        <f>'Assumptions'!$B$35</f>
        <v/>
      </c>
      <c r="D28" s="11" t="inlineStr">
        <is>
          <t>Drives the terminal value; capped below WACC for stability.</t>
        </is>
      </c>
    </row>
    <row r="29">
      <c r="A29" s="3" t="inlineStr">
        <is>
          <t>Terminal EBIT margin</t>
        </is>
      </c>
      <c r="B29" s="38">
        <f>'Assumptions'!$B$36</f>
        <v/>
      </c>
      <c r="D29" s="11" t="inlineStr">
        <is>
          <t>Sets steady-state profitability and hence cash flow.</t>
        </is>
      </c>
    </row>
    <row r="30">
      <c r="A30" s="3" t="inlineStr">
        <is>
          <t>Year-1 revenue growth</t>
        </is>
      </c>
      <c r="B30" s="38">
        <f>'Assumptions'!$B$34</f>
        <v/>
      </c>
      <c r="D30" s="11" t="inlineStr">
        <is>
          <t>Anchors the near-term trajectory before mean reversion.</t>
        </is>
      </c>
    </row>
    <row r="31">
      <c r="A31" s="3" t="inlineStr">
        <is>
          <t>Exit EBITDA multiple</t>
        </is>
      </c>
      <c r="B31" s="42">
        <f>'Assumptions'!$B$29</f>
        <v/>
      </c>
      <c r="D31" s="11" t="inlineStr">
        <is>
          <t>Cross-check only; compare to the implied perpetuity multiple.</t>
        </is>
      </c>
    </row>
    <row r="33" ht="20" customHeight="1">
      <c r="A33" s="5" t="inlineStr">
        <is>
          <t>Upside &amp; Downside</t>
        </is>
      </c>
    </row>
    <row r="34" ht="30" customHeight="1">
      <c r="A34" s="20">
        <f>"Upside (bull):  value per share "&amp;TEXT('Scenario'!$C$34,"#,##0.00")&amp;" ("&amp;IF(ISNUMBER('Scenario'!$C$35),TEXT('Scenario'!$C$35,"+0.0%;-0.0%"),"n/a")&amp;") on faster growth and wider margins.    Downside (stress):  value per share "&amp;TEXT('Scenario'!$E$34,"#,##0.00")&amp;" ("&amp;IF(ISNUMBER('Scenario'!$E$35),TEXT('Scenario'!$E$35,"+0.0%;-0.0%"),"n/a")&amp;") on weak growth and margin compression."</f>
        <v/>
      </c>
    </row>
    <row r="36" ht="20" customHeight="1">
      <c r="A36" s="5" t="inlineStr">
        <is>
          <t>Caveats &amp; Limitations</t>
        </is>
      </c>
    </row>
    <row r="37" ht="24" customHeight="1">
      <c r="A37" s="20">
        <f>"•  A DCF is only as good as its inputs: revise the market data, growth and margin assumptions for your own view before relying on the output."</f>
        <v/>
      </c>
    </row>
    <row r="38" ht="24" customHeight="1">
      <c r="A38" s="20">
        <f>"•  Where data was missing the model used clearly-labelled fallbacks; replace them with company-specific figures to firm up the valuation."</f>
        <v/>
      </c>
    </row>
    <row r="39" ht="24" customHeight="1">
      <c r="A39" s="20">
        <f>"•  Terminal value typically dominates a DCF — treat WACC and terminal growth as the key swing factors and lean on the Sensitivity and Scenario sheets."</f>
        <v/>
      </c>
    </row>
    <row r="40" ht="24" customHeight="1">
      <c r="A40" s="20">
        <f>"•  This is an analytical tool, not investment advice. Validate against filings, peers and qualitative judgement before acting."</f>
        <v/>
      </c>
    </row>
  </sheetData>
  <mergeCells count="39">
    <mergeCell ref="A9:H9"/>
    <mergeCell ref="A39:H39"/>
    <mergeCell ref="A15:H15"/>
    <mergeCell ref="A36:H36"/>
    <mergeCell ref="A11:H11"/>
    <mergeCell ref="B31:C31"/>
    <mergeCell ref="A1:H1"/>
    <mergeCell ref="B27:C27"/>
    <mergeCell ref="D31:H31"/>
    <mergeCell ref="A6:H6"/>
    <mergeCell ref="A25:H25"/>
    <mergeCell ref="A16:H16"/>
    <mergeCell ref="D27:H27"/>
    <mergeCell ref="A37:H37"/>
    <mergeCell ref="A12:H12"/>
    <mergeCell ref="A18:H18"/>
    <mergeCell ref="A3:H3"/>
    <mergeCell ref="A21:H21"/>
    <mergeCell ref="B29:C29"/>
    <mergeCell ref="A2:H2"/>
    <mergeCell ref="B28:C28"/>
    <mergeCell ref="D28:H28"/>
    <mergeCell ref="A33:H33"/>
    <mergeCell ref="A14:H14"/>
    <mergeCell ref="A5:H5"/>
    <mergeCell ref="A23:H23"/>
    <mergeCell ref="A8:H8"/>
    <mergeCell ref="A22:H22"/>
    <mergeCell ref="A40:H40"/>
    <mergeCell ref="B30:C30"/>
    <mergeCell ref="D30:H30"/>
    <mergeCell ref="A20:H20"/>
    <mergeCell ref="A38:H38"/>
    <mergeCell ref="D29:H29"/>
    <mergeCell ref="A13:H13"/>
    <mergeCell ref="A19:H19"/>
    <mergeCell ref="B26:C26"/>
    <mergeCell ref="D26:H26"/>
    <mergeCell ref="A34:H34"/>
  </mergeCells>
  <conditionalFormatting sqref="A6">
    <cfRule type="expression" priority="1" dxfId="0" stopIfTrue="1">
      <formula>OR(ISNUMBER(SEARCH("Strong",A6)),ISNUMBER(SEARCH("Improving",A6)),ISNUMBER(SEARCH("Expanding",A6)),ISNUMBER(SEARCH("Accelerating",A6)),ISNUMBER(SEARCH("Conservative",A6)),ISNUMBER(SEARCH("Undervalued",A6)),ISNUMBER(SEARCH("Value-creating",A6)),ISNUMBER(SEARCH("Robust",A6)),ISNUMBER(SEARCH("Healthy",A6)),ISNUMBER(SEARCH("Low risk",A6)),ISNUMBER(SEARCH("PASS",A6)),ISNUMBER(SEARCH("Balanced",A6)),ISNUMBER(SEARCH("Ties",A6)),ISNUMBER(SEARCH("Acyclic",A6)),ISNUMBER(SEARCH("Present",A6)),ISNUMBER(SEARCH("Consistent",A6)),ISNUMBER(SEARCH("Positive",A6)))</formula>
    </cfRule>
    <cfRule type="expression" priority="2" dxfId="1" stopIfTrue="1">
      <formula>OR(ISNUMBER(SEARCH("Weak",A6)),ISNUMBER(SEARCH("Deteriorating",A6)),ISNUMBER(SEARCH("Compressing",A6)),ISNUMBER(SEARCH("Elevated",A6)),ISNUMBER(SEARCH("Stretched",A6)),ISNUMBER(SEARCH("Overvalued",A6)),ISNUMBER(SEARCH("Value-destroying",A6)),ISNUMBER(SEARCH("Severe",A6)),ISNUMBER(SEARCH("High risk",A6)),ISNUMBER(SEARCH("Negative",A6)),ISNUMBER(SEARCH("Breach",A6)),ISNUMBER(SEARCH("FAIL",A6)),ISNUMBER(SEARCH("Imbalanced",A6)),ISNUMBER(SEARCH("Outlier",A6)),ISNUMBER(SEARCH("Missing",A6)))</formula>
    </cfRule>
    <cfRule type="expression" priority="3" dxfId="2" stopIfTrue="1">
      <formula>OR(ISNUMBER(SEARCH("Moderate",A6)),ISNUMBER(SEARCH("Caution",A6)),ISNUMBER(SEARCH("Decelerating",A6)),ISNUMBER(SEARCH("Watch",A6)),ISNUMBER(SEARCH("Partial",A6)),ISNUMBER(SEARCH("Thin",A6)),ISNUMBER(SEARCH("REVIEW",A6)),ISNUMBER(SEARCH("TV-heavy",A6)),ISNUMBER(SEARCH("Outside",A6)))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&amp;LCompany Analysis Engine&amp;R&amp;A  · 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Investment-Grade Company Analysis Engine</dc:creator>
  <dc:title>&lt;Company name&gt; — Analysis Pack</dc:title>
  <dc:description>Investment-Grade Company Analysis Engine v1.0</dc:description>
  <dcterms:created xsi:type="dcterms:W3CDTF">2026-06-22T06:06:33Z</dcterms:created>
  <dcterms:modified xsi:type="dcterms:W3CDTF">2026-06-22T06:06:33Z</dcterms:modified>
  <cp:keywords>DCF, valuation, financial analysis</cp:keywords>
</cp:coreProperties>
</file>
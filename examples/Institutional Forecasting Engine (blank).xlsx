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istorical" sheetId="2" state="visible" r:id="rId2"/>
    <sheet name="Analysis" sheetId="3" state="visible" r:id="rId3"/>
    <sheet name="Assumptions" sheetId="4" state="visible" r:id="rId4"/>
    <sheet name="Forecast" sheetId="5" state="visible" r:id="rId5"/>
    <sheet name="Bridge" sheetId="6" state="visible" r:id="rId6"/>
    <sheet name="Diagnostics" sheetId="7" state="visible" r:id="rId7"/>
    <sheet name="Scenario" sheetId="8" state="visible" r:id="rId8"/>
    <sheet name="Sensitivity" sheetId="9" state="visible" r:id="rId9"/>
    <sheet name="Notes" sheetId="10" state="visible" r:id="rId10"/>
  </sheets>
  <definedNames>
    <definedName name="Method">'Assumptions'!$E$8</definedName>
    <definedName name="Scenario">'Assumptions'!$E$9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"/>
    <numFmt numFmtId="165" formatCode="0.0%;(0.0%)"/>
    <numFmt numFmtId="166" formatCode="0.0&quot; days&quot;"/>
    <numFmt numFmtId="167" formatCode="0.00&quot;x&quot;"/>
    <numFmt numFmtId="168" formatCode="0.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7F7F7F"/>
      <sz val="8.5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A1A1A"/>
      <sz val="10"/>
    </font>
    <font>
      <name val="Calibri"/>
      <color rgb="000000FF"/>
      <sz val="10"/>
    </font>
    <font>
      <name val="Calibri"/>
      <color rgb="001A1A1A"/>
      <sz val="10"/>
    </font>
    <font>
      <name val="Calibri"/>
      <color rgb="00000000"/>
      <sz val="10"/>
    </font>
    <font>
      <name val="Calibri"/>
      <i val="1"/>
      <color rgb="007F7F7F"/>
      <sz val="9"/>
    </font>
    <font>
      <name val="Calibri"/>
      <b val="1"/>
      <color rgb="00006100"/>
      <sz val="10"/>
    </font>
    <font>
      <name val="Calibri"/>
      <b val="1"/>
      <color rgb="00006100"/>
      <sz val="16"/>
    </font>
  </fonts>
  <fills count="9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808080"/>
        <bgColor rgb="00808080"/>
      </patternFill>
    </fill>
    <fill>
      <patternFill patternType="solid">
        <fgColor rgb="00595959"/>
        <bgColor rgb="00595959"/>
      </patternFill>
    </fill>
    <fill>
      <patternFill patternType="solid">
        <fgColor rgb="00EAF1FB"/>
        <bgColor rgb="00EAF1FB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AFAFA"/>
        <bgColor rgb="00FAFAFA"/>
      </patternFill>
    </fill>
  </fills>
  <borders count="17">
    <border>
      <left/>
      <right/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BFBFBF"/>
      </top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BFBFBF"/>
      </left>
      <right style="medium">
        <color rgb="00BFBFBF"/>
      </right>
      <top style="medium">
        <color rgb="00BFBFBF"/>
      </top>
      <bottom style="medium">
        <color rgb="00BFBFBF"/>
      </bottom>
    </border>
    <border>
      <left/>
      <right/>
      <top style="medium">
        <color rgb="00BFBFBF"/>
      </top>
      <bottom/>
      <diagonal/>
    </border>
    <border>
      <left/>
      <right style="medium">
        <color rgb="00BFBFBF"/>
      </right>
      <top style="medium">
        <color rgb="00BFBFBF"/>
      </top>
      <bottom/>
      <diagonal/>
    </border>
    <border>
      <left/>
      <right style="medium">
        <color rgb="00BFBFBF"/>
      </right>
      <top style="medium">
        <color rgb="00BFBFBF"/>
      </top>
      <bottom style="medium">
        <color rgb="00BFBFBF"/>
      </bottom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5" borderId="2" applyAlignment="1" applyProtection="1" pivotButton="0" quotePrefix="0" xfId="0">
      <alignment horizontal="left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3" fontId="13" fillId="8" borderId="8" applyAlignment="1" pivotButton="0" quotePrefix="0" xfId="0">
      <alignment horizontal="center" vertical="center"/>
    </xf>
    <xf numFmtId="0" fontId="0" fillId="0" borderId="11" pivotButton="0" quotePrefix="0" xfId="0"/>
    <xf numFmtId="0" fontId="7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165" fontId="13" fillId="8" borderId="8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8" fillId="5" borderId="2" applyAlignment="1" applyProtection="1" pivotButton="0" quotePrefix="0" xfId="0">
      <alignment horizontal="right" vertical="center"/>
      <protection locked="0" hidden="0"/>
    </xf>
    <xf numFmtId="164" fontId="7" fillId="6" borderId="3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/>
    </xf>
    <xf numFmtId="166" fontId="10" fillId="0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3" fontId="8" fillId="5" borderId="2" applyAlignment="1" applyProtection="1" pivotButton="0" quotePrefix="0" xfId="0">
      <alignment horizontal="right" vertical="center"/>
      <protection locked="0" hidden="0"/>
    </xf>
    <xf numFmtId="0" fontId="3" fillId="0" borderId="1" applyAlignment="1" pivotButton="0" quotePrefix="0" xfId="0">
      <alignment horizontal="left" vertical="center"/>
    </xf>
    <xf numFmtId="165" fontId="8" fillId="5" borderId="2" applyAlignment="1" applyProtection="1" pivotButton="0" quotePrefix="0" xfId="0">
      <alignment horizontal="right" vertical="center"/>
      <protection locked="0" hidden="0"/>
    </xf>
    <xf numFmtId="166" fontId="8" fillId="5" borderId="2" applyAlignment="1" applyProtection="1" pivotButton="0" quotePrefix="0" xfId="0">
      <alignment horizontal="right" vertical="center"/>
      <protection locked="0" hidden="0"/>
    </xf>
    <xf numFmtId="165" fontId="12" fillId="7" borderId="2" applyAlignment="1" pivotButton="0" quotePrefix="0" xfId="0">
      <alignment horizontal="right" vertical="center"/>
    </xf>
    <xf numFmtId="166" fontId="12" fillId="7" borderId="2" applyAlignment="1" pivotButton="0" quotePrefix="0" xfId="0">
      <alignment horizontal="right" vertical="center"/>
    </xf>
    <xf numFmtId="164" fontId="12" fillId="7" borderId="2" applyAlignment="1" pivotButton="0" quotePrefix="0" xfId="0">
      <alignment horizontal="right" vertical="center"/>
    </xf>
    <xf numFmtId="168" fontId="10" fillId="0" borderId="1" applyAlignment="1" pivotButton="0" quotePrefix="0" xfId="0">
      <alignment horizontal="right" vertical="center"/>
    </xf>
    <xf numFmtId="167" fontId="12" fillId="7" borderId="2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4" fontId="10" fillId="0" borderId="8" applyAlignment="1" pivotButton="0" quotePrefix="0" xfId="0">
      <alignment horizontal="right" vertical="center"/>
    </xf>
    <xf numFmtId="0" fontId="8" fillId="5" borderId="2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name val="Calibri"/>
        <b val="1"/>
        <color rgb="00006100"/>
        <sz val="10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9C65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'Dashboard'!$B$19:$L$19</f>
            </numRef>
          </val>
        </ser>
        <ser>
          <idx val="1"/>
          <order val="1"/>
          <tx>
            <strRef>
              <f>'Dashboard'!A20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'Dashboard'!$B$20:$L$20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income &amp; Free cash flow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'Dashboard'!$B$21:$L$21</f>
            </numRef>
          </val>
        </ser>
        <ser>
          <idx val="1"/>
          <order val="1"/>
          <tx>
            <strRef>
              <f>'Dashboard'!A22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'Dashboard'!$B$22:$L$22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evolution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'Dashboard'!$B$23:$L$23</f>
            </numRef>
          </val>
        </ser>
        <ser>
          <idx val="1"/>
          <order val="1"/>
          <tx>
            <strRef>
              <f>'Dashboard'!A24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'Dashboard'!$B$24:$L$24</f>
            </numRef>
          </val>
        </ser>
        <ser>
          <idx val="2"/>
          <order val="2"/>
          <tx>
            <strRef>
              <f>'Dashboard'!A25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'Dashboard'!$B$25:$L$25</f>
            </numRef>
          </val>
        </ser>
        <ser>
          <idx val="3"/>
          <order val="3"/>
          <tx>
            <strRef>
              <f>'Dashboard'!A26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'Dashboard'!$B$26:$L$26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43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storical'!A1" TargetMode="External" Id="rId1" /><Relationship Type="http://schemas.openxmlformats.org/officeDocument/2006/relationships/hyperlink" Target="#'Analysis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Forecast'!A1" TargetMode="External" Id="rId4" /><Relationship Type="http://schemas.openxmlformats.org/officeDocument/2006/relationships/hyperlink" Target="#'Bridge'!A1" TargetMode="External" Id="rId5" /><Relationship Type="http://schemas.openxmlformats.org/officeDocument/2006/relationships/hyperlink" Target="#'Diagnostics'!A1" TargetMode="External" Id="rId6" /><Relationship Type="http://schemas.openxmlformats.org/officeDocument/2006/relationships/hyperlink" Target="#'Scenario'!A1" TargetMode="External" Id="rId7" /><Relationship Type="http://schemas.openxmlformats.org/officeDocument/2006/relationships/hyperlink" Target="#'Sensitivity'!A1" TargetMode="External" Id="rId8" /><Relationship Type="http://schemas.openxmlformats.org/officeDocument/2006/relationships/hyperlink" Target="#'Notes'!A1" TargetMode="External" Id="rId9" /><Relationship Type="http://schemas.openxmlformats.org/officeDocument/2006/relationships/drawing" Target="/xl/drawings/drawing1.xm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10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EXECUTIVE DASHBOARD</t>
        </is>
      </c>
    </row>
    <row r="2">
      <c r="A2" s="2" t="inlineStr">
        <is>
          <t>&lt;Company name&gt; — forecast summary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Historical</t>
        </is>
      </c>
      <c r="B5" s="4" t="inlineStr">
        <is>
          <t>Analysis</t>
        </is>
      </c>
      <c r="C5" s="4" t="inlineStr">
        <is>
          <t>Assumptions</t>
        </is>
      </c>
      <c r="D5" s="4" t="inlineStr">
        <is>
          <t>Forecast</t>
        </is>
      </c>
      <c r="E5" s="4" t="inlineStr">
        <is>
          <t>Bridge</t>
        </is>
      </c>
      <c r="F5" s="4" t="inlineStr">
        <is>
          <t>Diagnostics</t>
        </is>
      </c>
      <c r="G5" s="4" t="inlineStr">
        <is>
          <t>Scenario</t>
        </is>
      </c>
      <c r="H5" s="4" t="inlineStr">
        <is>
          <t>Sensitivity</t>
        </is>
      </c>
      <c r="I5" s="4" t="inlineStr">
        <is>
          <t>Notes</t>
        </is>
      </c>
    </row>
    <row r="7" ht="20" customHeight="1">
      <c r="A7" s="5" t="inlineStr">
        <is>
          <t>Company Overview</t>
        </is>
      </c>
      <c r="F7" s="5" t="inlineStr">
        <is>
          <t>Forecast Quality</t>
        </is>
      </c>
    </row>
    <row r="8">
      <c r="A8" s="6" t="inlineStr">
        <is>
          <t>Company name</t>
        </is>
      </c>
      <c r="B8" s="7" t="inlineStr">
        <is>
          <t>&lt;Company name&gt;</t>
        </is>
      </c>
      <c r="C8" s="8" t="n"/>
      <c r="D8" s="9" t="n"/>
      <c r="F8" s="6" t="inlineStr">
        <is>
          <t>Forecast Health Score</t>
        </is>
      </c>
      <c r="H8" s="10">
        <f>'Diagnostics'!$B$8</f>
        <v/>
      </c>
      <c r="I8" s="11" t="n"/>
    </row>
    <row r="9">
      <c r="A9" s="6" t="inlineStr">
        <is>
          <t>Ticker</t>
        </is>
      </c>
      <c r="B9" s="7" t="inlineStr">
        <is>
          <t>&lt;TICKER&gt;</t>
        </is>
      </c>
      <c r="C9" s="8" t="n"/>
      <c r="D9" s="9" t="n"/>
      <c r="F9" s="6" t="inlineStr">
        <is>
          <t>Balance-sheet integrity</t>
        </is>
      </c>
      <c r="H9" s="12">
        <f>IF(MAX(MAX('Forecast'!$C$39:$L$39),-MIN('Forecast'!$C$39:$L$39))&lt;=1,"PASS","FAIL")</f>
        <v/>
      </c>
    </row>
    <row r="10">
      <c r="A10" s="6" t="inlineStr">
        <is>
          <t>Currency</t>
        </is>
      </c>
      <c r="B10" s="7" t="inlineStr">
        <is>
          <t>USD</t>
        </is>
      </c>
      <c r="C10" s="8" t="n"/>
      <c r="D10" s="9" t="n"/>
      <c r="F10" s="6" t="inlineStr">
        <is>
          <t>Scenario selected</t>
        </is>
      </c>
      <c r="H10" s="13">
        <f>'Assumptions'!$B$9</f>
        <v/>
      </c>
    </row>
    <row r="11">
      <c r="A11" s="6" t="inlineStr">
        <is>
          <t>Fiscal year end</t>
        </is>
      </c>
      <c r="B11" s="7" t="inlineStr">
        <is>
          <t>31 December</t>
        </is>
      </c>
      <c r="C11" s="8" t="n"/>
      <c r="D11" s="9" t="n"/>
      <c r="F11" s="6" t="inlineStr">
        <is>
          <t>Forecast method</t>
        </is>
      </c>
      <c r="H11" s="13">
        <f>'Assumptions'!$B$8</f>
        <v/>
      </c>
    </row>
    <row r="13" ht="20" customHeight="1">
      <c r="A13" s="5" t="inlineStr">
        <is>
          <t>Key Forecast Outputs — 10-Year CAGR</t>
        </is>
      </c>
    </row>
    <row r="14">
      <c r="A14" s="14" t="inlineStr">
        <is>
          <t>Revenue CAGR</t>
        </is>
      </c>
      <c r="C14" s="14" t="inlineStr">
        <is>
          <t>EBITDA CAGR</t>
        </is>
      </c>
      <c r="E14" s="14" t="inlineStr">
        <is>
          <t>EBIT CAGR</t>
        </is>
      </c>
      <c r="G14" s="14" t="inlineStr">
        <is>
          <t>Net income CAGR</t>
        </is>
      </c>
      <c r="I14" s="14" t="inlineStr">
        <is>
          <t>Free cash flow CAGR</t>
        </is>
      </c>
    </row>
    <row r="15" ht="26" customHeight="1">
      <c r="A15" s="15">
        <f>IFERROR(('Forecast'!$L$10/'Forecast'!$B$10)^(1/10)-1,"")</f>
        <v/>
      </c>
      <c r="B15" s="11" t="n"/>
      <c r="C15" s="15">
        <f>IFERROR(('Forecast'!$L$13/'Forecast'!$B$13)^(1/10)-1,"")</f>
        <v/>
      </c>
      <c r="D15" s="11" t="n"/>
      <c r="E15" s="15">
        <f>IFERROR(('Forecast'!$L$16/'Forecast'!$B$16)^(1/10)-1,"")</f>
        <v/>
      </c>
      <c r="F15" s="11" t="n"/>
      <c r="G15" s="15">
        <f>IFERROR(('Forecast'!$L$21/'Forecast'!$B$21)^(1/10)-1,"")</f>
        <v/>
      </c>
      <c r="H15" s="11" t="n"/>
      <c r="I15" s="15">
        <f>IFERROR(('Forecast'!$L$46/'Forecast'!$B$46)^(1/10)-1,"")</f>
        <v/>
      </c>
      <c r="J15" s="11" t="n"/>
    </row>
    <row r="17" ht="20" customHeight="1">
      <c r="A17" s="5" t="inlineStr">
        <is>
          <t>Forecast Trends</t>
        </is>
      </c>
    </row>
    <row r="18">
      <c r="A18" s="14" t="inlineStr">
        <is>
          <t>Metric</t>
        </is>
      </c>
      <c r="B18" s="16" t="inlineStr">
        <is>
          <t>FY2024</t>
        </is>
      </c>
      <c r="C18" s="16" t="inlineStr">
        <is>
          <t>FY2025</t>
        </is>
      </c>
      <c r="D18" s="16" t="inlineStr">
        <is>
          <t>FY2026</t>
        </is>
      </c>
      <c r="E18" s="16" t="inlineStr">
        <is>
          <t>FY2027</t>
        </is>
      </c>
      <c r="F18" s="16" t="inlineStr">
        <is>
          <t>FY2028</t>
        </is>
      </c>
      <c r="G18" s="16" t="inlineStr">
        <is>
          <t>FY2029</t>
        </is>
      </c>
      <c r="H18" s="16" t="inlineStr">
        <is>
          <t>FY2030</t>
        </is>
      </c>
      <c r="I18" s="16" t="inlineStr">
        <is>
          <t>FY2031</t>
        </is>
      </c>
      <c r="J18" s="16" t="inlineStr">
        <is>
          <t>FY2032</t>
        </is>
      </c>
      <c r="K18" s="16" t="inlineStr">
        <is>
          <t>FY2033</t>
        </is>
      </c>
      <c r="L18" s="16" t="inlineStr">
        <is>
          <t>FY2034</t>
        </is>
      </c>
    </row>
    <row r="19">
      <c r="A19" s="13" t="inlineStr">
        <is>
          <t>Revenue</t>
        </is>
      </c>
      <c r="B19" s="17">
        <f>'Forecast'!$B$10</f>
        <v/>
      </c>
      <c r="C19" s="17">
        <f>'Forecast'!$C$10</f>
        <v/>
      </c>
      <c r="D19" s="17">
        <f>'Forecast'!$D$10</f>
        <v/>
      </c>
      <c r="E19" s="17">
        <f>'Forecast'!$E$10</f>
        <v/>
      </c>
      <c r="F19" s="17">
        <f>'Forecast'!$F$10</f>
        <v/>
      </c>
      <c r="G19" s="17">
        <f>'Forecast'!$G$10</f>
        <v/>
      </c>
      <c r="H19" s="17">
        <f>'Forecast'!$H$10</f>
        <v/>
      </c>
      <c r="I19" s="17">
        <f>'Forecast'!$I$10</f>
        <v/>
      </c>
      <c r="J19" s="17">
        <f>'Forecast'!$J$10</f>
        <v/>
      </c>
      <c r="K19" s="17">
        <f>'Forecast'!$K$10</f>
        <v/>
      </c>
      <c r="L19" s="17">
        <f>'Forecast'!$L$10</f>
        <v/>
      </c>
    </row>
    <row r="20">
      <c r="A20" s="13" t="inlineStr">
        <is>
          <t>EBITDA</t>
        </is>
      </c>
      <c r="B20" s="17">
        <f>'Forecast'!$B$13</f>
        <v/>
      </c>
      <c r="C20" s="17">
        <f>'Forecast'!$C$13</f>
        <v/>
      </c>
      <c r="D20" s="17">
        <f>'Forecast'!$D$13</f>
        <v/>
      </c>
      <c r="E20" s="17">
        <f>'Forecast'!$E$13</f>
        <v/>
      </c>
      <c r="F20" s="17">
        <f>'Forecast'!$F$13</f>
        <v/>
      </c>
      <c r="G20" s="17">
        <f>'Forecast'!$G$13</f>
        <v/>
      </c>
      <c r="H20" s="17">
        <f>'Forecast'!$H$13</f>
        <v/>
      </c>
      <c r="I20" s="17">
        <f>'Forecast'!$I$13</f>
        <v/>
      </c>
      <c r="J20" s="17">
        <f>'Forecast'!$J$13</f>
        <v/>
      </c>
      <c r="K20" s="17">
        <f>'Forecast'!$K$13</f>
        <v/>
      </c>
      <c r="L20" s="17">
        <f>'Forecast'!$L$13</f>
        <v/>
      </c>
    </row>
    <row r="21">
      <c r="A21" s="13" t="inlineStr">
        <is>
          <t>Net income</t>
        </is>
      </c>
      <c r="B21" s="17">
        <f>'Forecast'!$B$21</f>
        <v/>
      </c>
      <c r="C21" s="17">
        <f>'Forecast'!$C$21</f>
        <v/>
      </c>
      <c r="D21" s="17">
        <f>'Forecast'!$D$21</f>
        <v/>
      </c>
      <c r="E21" s="17">
        <f>'Forecast'!$E$21</f>
        <v/>
      </c>
      <c r="F21" s="17">
        <f>'Forecast'!$F$21</f>
        <v/>
      </c>
      <c r="G21" s="17">
        <f>'Forecast'!$G$21</f>
        <v/>
      </c>
      <c r="H21" s="17">
        <f>'Forecast'!$H$21</f>
        <v/>
      </c>
      <c r="I21" s="17">
        <f>'Forecast'!$I$21</f>
        <v/>
      </c>
      <c r="J21" s="17">
        <f>'Forecast'!$J$21</f>
        <v/>
      </c>
      <c r="K21" s="17">
        <f>'Forecast'!$K$21</f>
        <v/>
      </c>
      <c r="L21" s="17">
        <f>'Forecast'!$L$21</f>
        <v/>
      </c>
    </row>
    <row r="22">
      <c r="A22" s="13" t="inlineStr">
        <is>
          <t>Free cash flow</t>
        </is>
      </c>
      <c r="B22" s="17">
        <f>'Forecast'!$B$46</f>
        <v/>
      </c>
      <c r="C22" s="17">
        <f>'Forecast'!$C$46</f>
        <v/>
      </c>
      <c r="D22" s="17">
        <f>'Forecast'!$D$46</f>
        <v/>
      </c>
      <c r="E22" s="17">
        <f>'Forecast'!$E$46</f>
        <v/>
      </c>
      <c r="F22" s="17">
        <f>'Forecast'!$F$46</f>
        <v/>
      </c>
      <c r="G22" s="17">
        <f>'Forecast'!$G$46</f>
        <v/>
      </c>
      <c r="H22" s="17">
        <f>'Forecast'!$H$46</f>
        <v/>
      </c>
      <c r="I22" s="17">
        <f>'Forecast'!$I$46</f>
        <v/>
      </c>
      <c r="J22" s="17">
        <f>'Forecast'!$J$46</f>
        <v/>
      </c>
      <c r="K22" s="17">
        <f>'Forecast'!$K$46</f>
        <v/>
      </c>
      <c r="L22" s="17">
        <f>'Forecast'!$L$46</f>
        <v/>
      </c>
    </row>
    <row r="23">
      <c r="A23" s="13" t="inlineStr">
        <is>
          <t>Gross margin</t>
        </is>
      </c>
      <c r="B23" s="18">
        <f>IFERROR('Forecast'!$B$11/'Forecast'!$B$10,"")</f>
        <v/>
      </c>
      <c r="C23" s="18">
        <f>IFERROR('Forecast'!$C$11/'Forecast'!$C$10,"")</f>
        <v/>
      </c>
      <c r="D23" s="18">
        <f>IFERROR('Forecast'!$D$11/'Forecast'!$D$10,"")</f>
        <v/>
      </c>
      <c r="E23" s="18">
        <f>IFERROR('Forecast'!$E$11/'Forecast'!$E$10,"")</f>
        <v/>
      </c>
      <c r="F23" s="18">
        <f>IFERROR('Forecast'!$F$11/'Forecast'!$F$10,"")</f>
        <v/>
      </c>
      <c r="G23" s="18">
        <f>IFERROR('Forecast'!$G$11/'Forecast'!$G$10,"")</f>
        <v/>
      </c>
      <c r="H23" s="18">
        <f>IFERROR('Forecast'!$H$11/'Forecast'!$H$10,"")</f>
        <v/>
      </c>
      <c r="I23" s="18">
        <f>IFERROR('Forecast'!$I$11/'Forecast'!$I$10,"")</f>
        <v/>
      </c>
      <c r="J23" s="18">
        <f>IFERROR('Forecast'!$J$11/'Forecast'!$J$10,"")</f>
        <v/>
      </c>
      <c r="K23" s="18">
        <f>IFERROR('Forecast'!$K$11/'Forecast'!$K$10,"")</f>
        <v/>
      </c>
      <c r="L23" s="18">
        <f>IFERROR('Forecast'!$L$11/'Forecast'!$L$10,"")</f>
        <v/>
      </c>
    </row>
    <row r="24">
      <c r="A24" s="13" t="inlineStr">
        <is>
          <t>EBITDA margin</t>
        </is>
      </c>
      <c r="B24" s="18">
        <f>IFERROR('Forecast'!$B$13/'Forecast'!$B$10,"")</f>
        <v/>
      </c>
      <c r="C24" s="18">
        <f>IFERROR('Forecast'!$C$13/'Forecast'!$C$10,"")</f>
        <v/>
      </c>
      <c r="D24" s="18">
        <f>IFERROR('Forecast'!$D$13/'Forecast'!$D$10,"")</f>
        <v/>
      </c>
      <c r="E24" s="18">
        <f>IFERROR('Forecast'!$E$13/'Forecast'!$E$10,"")</f>
        <v/>
      </c>
      <c r="F24" s="18">
        <f>IFERROR('Forecast'!$F$13/'Forecast'!$F$10,"")</f>
        <v/>
      </c>
      <c r="G24" s="18">
        <f>IFERROR('Forecast'!$G$13/'Forecast'!$G$10,"")</f>
        <v/>
      </c>
      <c r="H24" s="18">
        <f>IFERROR('Forecast'!$H$13/'Forecast'!$H$10,"")</f>
        <v/>
      </c>
      <c r="I24" s="18">
        <f>IFERROR('Forecast'!$I$13/'Forecast'!$I$10,"")</f>
        <v/>
      </c>
      <c r="J24" s="18">
        <f>IFERROR('Forecast'!$J$13/'Forecast'!$J$10,"")</f>
        <v/>
      </c>
      <c r="K24" s="18">
        <f>IFERROR('Forecast'!$K$13/'Forecast'!$K$10,"")</f>
        <v/>
      </c>
      <c r="L24" s="18">
        <f>IFERROR('Forecast'!$L$13/'Forecast'!$L$10,"")</f>
        <v/>
      </c>
    </row>
    <row r="25">
      <c r="A25" s="13" t="inlineStr">
        <is>
          <t>EBIT margin</t>
        </is>
      </c>
      <c r="B25" s="18">
        <f>IFERROR('Forecast'!$B$16/'Forecast'!$B$10,"")</f>
        <v/>
      </c>
      <c r="C25" s="18">
        <f>IFERROR('Forecast'!$C$16/'Forecast'!$C$10,"")</f>
        <v/>
      </c>
      <c r="D25" s="18">
        <f>IFERROR('Forecast'!$D$16/'Forecast'!$D$10,"")</f>
        <v/>
      </c>
      <c r="E25" s="18">
        <f>IFERROR('Forecast'!$E$16/'Forecast'!$E$10,"")</f>
        <v/>
      </c>
      <c r="F25" s="18">
        <f>IFERROR('Forecast'!$F$16/'Forecast'!$F$10,"")</f>
        <v/>
      </c>
      <c r="G25" s="18">
        <f>IFERROR('Forecast'!$G$16/'Forecast'!$G$10,"")</f>
        <v/>
      </c>
      <c r="H25" s="18">
        <f>IFERROR('Forecast'!$H$16/'Forecast'!$H$10,"")</f>
        <v/>
      </c>
      <c r="I25" s="18">
        <f>IFERROR('Forecast'!$I$16/'Forecast'!$I$10,"")</f>
        <v/>
      </c>
      <c r="J25" s="18">
        <f>IFERROR('Forecast'!$J$16/'Forecast'!$J$10,"")</f>
        <v/>
      </c>
      <c r="K25" s="18">
        <f>IFERROR('Forecast'!$K$16/'Forecast'!$K$10,"")</f>
        <v/>
      </c>
      <c r="L25" s="18">
        <f>IFERROR('Forecast'!$L$16/'Forecast'!$L$10,"")</f>
        <v/>
      </c>
    </row>
    <row r="26">
      <c r="A26" s="13" t="inlineStr">
        <is>
          <t>Net margin</t>
        </is>
      </c>
      <c r="B26" s="18">
        <f>IFERROR('Forecast'!$B$21/'Forecast'!$B$10,"")</f>
        <v/>
      </c>
      <c r="C26" s="18">
        <f>IFERROR('Forecast'!$C$21/'Forecast'!$C$10,"")</f>
        <v/>
      </c>
      <c r="D26" s="18">
        <f>IFERROR('Forecast'!$D$21/'Forecast'!$D$10,"")</f>
        <v/>
      </c>
      <c r="E26" s="18">
        <f>IFERROR('Forecast'!$E$21/'Forecast'!$E$10,"")</f>
        <v/>
      </c>
      <c r="F26" s="18">
        <f>IFERROR('Forecast'!$F$21/'Forecast'!$F$10,"")</f>
        <v/>
      </c>
      <c r="G26" s="18">
        <f>IFERROR('Forecast'!$G$21/'Forecast'!$G$10,"")</f>
        <v/>
      </c>
      <c r="H26" s="18">
        <f>IFERROR('Forecast'!$H$21/'Forecast'!$H$10,"")</f>
        <v/>
      </c>
      <c r="I26" s="18">
        <f>IFERROR('Forecast'!$I$21/'Forecast'!$I$10,"")</f>
        <v/>
      </c>
      <c r="J26" s="18">
        <f>IFERROR('Forecast'!$J$21/'Forecast'!$J$10,"")</f>
        <v/>
      </c>
      <c r="K26" s="18">
        <f>IFERROR('Forecast'!$K$21/'Forecast'!$K$10,"")</f>
        <v/>
      </c>
      <c r="L26" s="18">
        <f>IFERROR('Forecast'!$L$21/'Forecast'!$L$10,"")</f>
        <v/>
      </c>
    </row>
  </sheetData>
  <mergeCells count="22">
    <mergeCell ref="B11:D11"/>
    <mergeCell ref="A15:B15"/>
    <mergeCell ref="C15:D15"/>
    <mergeCell ref="I15:J15"/>
    <mergeCell ref="B8:D8"/>
    <mergeCell ref="C14:D14"/>
    <mergeCell ref="E14:F14"/>
    <mergeCell ref="A3:L3"/>
    <mergeCell ref="B10:D10"/>
    <mergeCell ref="A2:L2"/>
    <mergeCell ref="B9:D9"/>
    <mergeCell ref="A17:L17"/>
    <mergeCell ref="E15:F15"/>
    <mergeCell ref="G15:H15"/>
    <mergeCell ref="F7:L7"/>
    <mergeCell ref="A13:L13"/>
    <mergeCell ref="A7:D7"/>
    <mergeCell ref="A14:B14"/>
    <mergeCell ref="G14:H14"/>
    <mergeCell ref="I14:J14"/>
    <mergeCell ref="A1:L1"/>
    <mergeCell ref="H8:I8"/>
  </mergeCells>
  <conditionalFormatting sqref="H9">
    <cfRule type="expression" priority="1" dxfId="0" stopIfTrue="1">
      <formula>OR(ISNUMBER(SEARCH("PASS",H9)),ISNUMBER(SEARCH("OK",H9)),ISNUMBER(SEARCH("Balanced",H9)),ISNUMBER(SEARCH("Healthy",H9)),ISNUMBER(SEARCH("Strong",H9)),ISNUMBER(SEARCH("Low",H9)),ISNUMBER(SEARCH("Reasonable",H9)),ISNUMBER(SEARCH("Clean",H9)))</formula>
    </cfRule>
    <cfRule type="expression" priority="2" dxfId="1" stopIfTrue="1">
      <formula>OR(ISNUMBER(SEARCH("WARN",H9)),ISNUMBER(SEARCH("REVIEW",H9)),ISNUMBER(SEARCH("Watch",H9)),ISNUMBER(SEARCH("Elevated",H9)),ISNUMBER(SEARCH("Caution",H9)),ISNUMBER(SEARCH("Check",H9)))</formula>
    </cfRule>
    <cfRule type="expression" priority="3" dxfId="2" stopIfTrue="1">
      <formula>OR(ISNUMBER(SEARCH("FAIL",H9)),ISNUMBER(SEARCH("Negative",H9)),ISNUMBER(SEARCH("Breach",H9)),ISNUMBER(SEARCH("Imbalanced",H9)),ISNUMBER(SEARCH("Error",H9)),ISNUMBER(SEARCH("Unreasonable",H9)),ISNUMBER(SEARCH("High risk",H9)))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K5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>HISTORICAL FINANCIAL STATEMENTS</t>
        </is>
      </c>
    </row>
    <row r="2">
      <c r="A2" s="2" t="inlineStr">
        <is>
          <t>Ten years of reported results — the manual data-entry layer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 ht="20" customHeight="1">
      <c r="A8" s="14" t="inlineStr">
        <is>
          <t>Line item</t>
        </is>
      </c>
      <c r="B8" s="16" t="inlineStr">
        <is>
          <t>FY2015</t>
        </is>
      </c>
      <c r="C8" s="16" t="inlineStr">
        <is>
          <t>FY2016</t>
        </is>
      </c>
      <c r="D8" s="16" t="inlineStr">
        <is>
          <t>FY2017</t>
        </is>
      </c>
      <c r="E8" s="16" t="inlineStr">
        <is>
          <t>FY2018</t>
        </is>
      </c>
      <c r="F8" s="16" t="inlineStr">
        <is>
          <t>FY2019</t>
        </is>
      </c>
      <c r="G8" s="16" t="inlineStr">
        <is>
          <t>FY2020</t>
        </is>
      </c>
      <c r="H8" s="16" t="inlineStr">
        <is>
          <t>FY2021</t>
        </is>
      </c>
      <c r="I8" s="16" t="inlineStr">
        <is>
          <t>FY2022</t>
        </is>
      </c>
      <c r="J8" s="16" t="inlineStr">
        <is>
          <t>FY2023</t>
        </is>
      </c>
      <c r="K8" s="16" t="inlineStr">
        <is>
          <t>FY2024</t>
        </is>
      </c>
    </row>
    <row r="9" ht="20" customHeight="1">
      <c r="A9" s="5" t="inlineStr">
        <is>
          <t>Income Statement</t>
        </is>
      </c>
    </row>
    <row r="10">
      <c r="A10" s="19" t="inlineStr">
        <is>
          <t>Revenue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6" t="inlineStr">
        <is>
          <t>Cost of goods sold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6" t="inlineStr">
        <is>
          <t>Gross profit</t>
        </is>
      </c>
      <c r="B12" s="17">
        <f>'Historical'!$B$10-'Historical'!$B$11</f>
        <v/>
      </c>
      <c r="C12" s="17">
        <f>'Historical'!$C$10-'Historical'!$C$11</f>
        <v/>
      </c>
      <c r="D12" s="17">
        <f>'Historical'!$D$10-'Historical'!$D$11</f>
        <v/>
      </c>
      <c r="E12" s="17">
        <f>'Historical'!$E$10-'Historical'!$E$11</f>
        <v/>
      </c>
      <c r="F12" s="17">
        <f>'Historical'!$F$10-'Historical'!$F$11</f>
        <v/>
      </c>
      <c r="G12" s="17">
        <f>'Historical'!$G$10-'Historical'!$G$11</f>
        <v/>
      </c>
      <c r="H12" s="17">
        <f>'Historical'!$H$10-'Historical'!$H$11</f>
        <v/>
      </c>
      <c r="I12" s="17">
        <f>'Historical'!$I$10-'Historical'!$I$11</f>
        <v/>
      </c>
      <c r="J12" s="17">
        <f>'Historical'!$J$10-'Historical'!$J$11</f>
        <v/>
      </c>
      <c r="K12" s="17">
        <f>'Historical'!$K$10-'Historical'!$K$11</f>
        <v/>
      </c>
    </row>
    <row r="13">
      <c r="A13" s="6" t="inlineStr">
        <is>
          <t>Operating expenses (ex-D&amp;A)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19" t="inlineStr">
        <is>
          <t>EBITDA</t>
        </is>
      </c>
      <c r="B14" s="21">
        <f>'Historical'!$B$12-'Historical'!$B$13</f>
        <v/>
      </c>
      <c r="C14" s="21">
        <f>'Historical'!$C$12-'Historical'!$C$13</f>
        <v/>
      </c>
      <c r="D14" s="21">
        <f>'Historical'!$D$12-'Historical'!$D$13</f>
        <v/>
      </c>
      <c r="E14" s="21">
        <f>'Historical'!$E$12-'Historical'!$E$13</f>
        <v/>
      </c>
      <c r="F14" s="21">
        <f>'Historical'!$F$12-'Historical'!$F$13</f>
        <v/>
      </c>
      <c r="G14" s="21">
        <f>'Historical'!$G$12-'Historical'!$G$13</f>
        <v/>
      </c>
      <c r="H14" s="21">
        <f>'Historical'!$H$12-'Historical'!$H$13</f>
        <v/>
      </c>
      <c r="I14" s="21">
        <f>'Historical'!$I$12-'Historical'!$I$13</f>
        <v/>
      </c>
      <c r="J14" s="21">
        <f>'Historical'!$J$12-'Historical'!$J$13</f>
        <v/>
      </c>
      <c r="K14" s="21">
        <f>'Historical'!$K$12-'Historical'!$K$13</f>
        <v/>
      </c>
    </row>
    <row r="15">
      <c r="A15" s="6" t="inlineStr">
        <is>
          <t>Depreciation &amp; amortisation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19" t="inlineStr">
        <is>
          <t>EBIT</t>
        </is>
      </c>
      <c r="B16" s="21">
        <f>'Historical'!$B$14-'Historical'!$B$15</f>
        <v/>
      </c>
      <c r="C16" s="21">
        <f>'Historical'!$C$14-'Historical'!$C$15</f>
        <v/>
      </c>
      <c r="D16" s="21">
        <f>'Historical'!$D$14-'Historical'!$D$15</f>
        <v/>
      </c>
      <c r="E16" s="21">
        <f>'Historical'!$E$14-'Historical'!$E$15</f>
        <v/>
      </c>
      <c r="F16" s="21">
        <f>'Historical'!$F$14-'Historical'!$F$15</f>
        <v/>
      </c>
      <c r="G16" s="21">
        <f>'Historical'!$G$14-'Historical'!$G$15</f>
        <v/>
      </c>
      <c r="H16" s="21">
        <f>'Historical'!$H$14-'Historical'!$H$15</f>
        <v/>
      </c>
      <c r="I16" s="21">
        <f>'Historical'!$I$14-'Historical'!$I$15</f>
        <v/>
      </c>
      <c r="J16" s="21">
        <f>'Historical'!$J$14-'Historical'!$J$15</f>
        <v/>
      </c>
      <c r="K16" s="21">
        <f>'Historical'!$K$14-'Historical'!$K$15</f>
        <v/>
      </c>
    </row>
    <row r="17">
      <c r="A17" s="6" t="inlineStr">
        <is>
          <t>Interest expense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</row>
    <row r="18">
      <c r="A18" s="6" t="inlineStr">
        <is>
          <t>Pre-tax income</t>
        </is>
      </c>
      <c r="B18" s="17">
        <f>'Historical'!$B$16-'Historical'!$B$17</f>
        <v/>
      </c>
      <c r="C18" s="17">
        <f>'Historical'!$C$16-'Historical'!$C$17</f>
        <v/>
      </c>
      <c r="D18" s="17">
        <f>'Historical'!$D$16-'Historical'!$D$17</f>
        <v/>
      </c>
      <c r="E18" s="17">
        <f>'Historical'!$E$16-'Historical'!$E$17</f>
        <v/>
      </c>
      <c r="F18" s="17">
        <f>'Historical'!$F$16-'Historical'!$F$17</f>
        <v/>
      </c>
      <c r="G18" s="17">
        <f>'Historical'!$G$16-'Historical'!$G$17</f>
        <v/>
      </c>
      <c r="H18" s="17">
        <f>'Historical'!$H$16-'Historical'!$H$17</f>
        <v/>
      </c>
      <c r="I18" s="17">
        <f>'Historical'!$I$16-'Historical'!$I$17</f>
        <v/>
      </c>
      <c r="J18" s="17">
        <f>'Historical'!$J$16-'Historical'!$J$17</f>
        <v/>
      </c>
      <c r="K18" s="17">
        <f>'Historical'!$K$16-'Historical'!$K$17</f>
        <v/>
      </c>
    </row>
    <row r="19">
      <c r="A19" s="6" t="inlineStr">
        <is>
          <t>Tax expense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</row>
    <row r="20">
      <c r="A20" s="19" t="inlineStr">
        <is>
          <t>Net income</t>
        </is>
      </c>
      <c r="B20" s="21">
        <f>'Historical'!$B$18-'Historical'!$B$19</f>
        <v/>
      </c>
      <c r="C20" s="21">
        <f>'Historical'!$C$18-'Historical'!$C$19</f>
        <v/>
      </c>
      <c r="D20" s="21">
        <f>'Historical'!$D$18-'Historical'!$D$19</f>
        <v/>
      </c>
      <c r="E20" s="21">
        <f>'Historical'!$E$18-'Historical'!$E$19</f>
        <v/>
      </c>
      <c r="F20" s="21">
        <f>'Historical'!$F$18-'Historical'!$F$19</f>
        <v/>
      </c>
      <c r="G20" s="21">
        <f>'Historical'!$G$18-'Historical'!$G$19</f>
        <v/>
      </c>
      <c r="H20" s="21">
        <f>'Historical'!$H$18-'Historical'!$H$19</f>
        <v/>
      </c>
      <c r="I20" s="21">
        <f>'Historical'!$I$18-'Historical'!$I$19</f>
        <v/>
      </c>
      <c r="J20" s="21">
        <f>'Historical'!$J$18-'Historical'!$J$19</f>
        <v/>
      </c>
      <c r="K20" s="21">
        <f>'Historical'!$K$18-'Historical'!$K$19</f>
        <v/>
      </c>
    </row>
    <row r="21" ht="20" customHeight="1">
      <c r="A21" s="5" t="inlineStr">
        <is>
          <t>Balance Sheet — Assets</t>
        </is>
      </c>
    </row>
    <row r="22">
      <c r="A22" s="6" t="inlineStr">
        <is>
          <t>Cash &amp; equivalents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</row>
    <row r="23">
      <c r="A23" s="6" t="inlineStr">
        <is>
          <t>Receivables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</row>
    <row r="24">
      <c r="A24" s="6" t="inlineStr">
        <is>
          <t>Inventory</t>
        </is>
      </c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</row>
    <row r="25">
      <c r="A25" s="6" t="inlineStr">
        <is>
          <t>Other current assets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</row>
    <row r="26">
      <c r="A26" s="6" t="inlineStr">
        <is>
          <t>PP&amp;E (net)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</row>
    <row r="27">
      <c r="A27" s="6" t="inlineStr">
        <is>
          <t>Intangibles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</row>
    <row r="28">
      <c r="A28" s="6" t="inlineStr">
        <is>
          <t>Other assets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</row>
    <row r="29">
      <c r="A29" s="19" t="inlineStr">
        <is>
          <t>Total assets</t>
        </is>
      </c>
      <c r="B29" s="21">
        <f>SUM('Historical'!$B$22,'Historical'!$B$23,'Historical'!$B$24,'Historical'!$B$25,'Historical'!$B$26,'Historical'!$B$27,'Historical'!$B$28)</f>
        <v/>
      </c>
      <c r="C29" s="21">
        <f>SUM('Historical'!$C$22,'Historical'!$C$23,'Historical'!$C$24,'Historical'!$C$25,'Historical'!$C$26,'Historical'!$C$27,'Historical'!$C$28)</f>
        <v/>
      </c>
      <c r="D29" s="21">
        <f>SUM('Historical'!$D$22,'Historical'!$D$23,'Historical'!$D$24,'Historical'!$D$25,'Historical'!$D$26,'Historical'!$D$27,'Historical'!$D$28)</f>
        <v/>
      </c>
      <c r="E29" s="21">
        <f>SUM('Historical'!$E$22,'Historical'!$E$23,'Historical'!$E$24,'Historical'!$E$25,'Historical'!$E$26,'Historical'!$E$27,'Historical'!$E$28)</f>
        <v/>
      </c>
      <c r="F29" s="21">
        <f>SUM('Historical'!$F$22,'Historical'!$F$23,'Historical'!$F$24,'Historical'!$F$25,'Historical'!$F$26,'Historical'!$F$27,'Historical'!$F$28)</f>
        <v/>
      </c>
      <c r="G29" s="21">
        <f>SUM('Historical'!$G$22,'Historical'!$G$23,'Historical'!$G$24,'Historical'!$G$25,'Historical'!$G$26,'Historical'!$G$27,'Historical'!$G$28)</f>
        <v/>
      </c>
      <c r="H29" s="21">
        <f>SUM('Historical'!$H$22,'Historical'!$H$23,'Historical'!$H$24,'Historical'!$H$25,'Historical'!$H$26,'Historical'!$H$27,'Historical'!$H$28)</f>
        <v/>
      </c>
      <c r="I29" s="21">
        <f>SUM('Historical'!$I$22,'Historical'!$I$23,'Historical'!$I$24,'Historical'!$I$25,'Historical'!$I$26,'Historical'!$I$27,'Historical'!$I$28)</f>
        <v/>
      </c>
      <c r="J29" s="21">
        <f>SUM('Historical'!$J$22,'Historical'!$J$23,'Historical'!$J$24,'Historical'!$J$25,'Historical'!$J$26,'Historical'!$J$27,'Historical'!$J$28)</f>
        <v/>
      </c>
      <c r="K29" s="21">
        <f>SUM('Historical'!$K$22,'Historical'!$K$23,'Historical'!$K$24,'Historical'!$K$25,'Historical'!$K$26,'Historical'!$K$27,'Historical'!$K$28)</f>
        <v/>
      </c>
    </row>
    <row r="30" ht="20" customHeight="1">
      <c r="A30" s="5" t="inlineStr">
        <is>
          <t>Balance Sheet — Liabilities &amp; Equity</t>
        </is>
      </c>
    </row>
    <row r="31">
      <c r="A31" s="6" t="inlineStr">
        <is>
          <t>Payables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</row>
    <row r="32">
      <c r="A32" s="6" t="inlineStr">
        <is>
          <t>Short-term debt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</row>
    <row r="33">
      <c r="A33" s="6" t="inlineStr">
        <is>
          <t>Long-term debt</t>
        </is>
      </c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</row>
    <row r="34">
      <c r="A34" s="6" t="inlineStr">
        <is>
          <t>Other liabilities</t>
        </is>
      </c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</row>
    <row r="35">
      <c r="A35" s="19" t="inlineStr">
        <is>
          <t>Total liabilities</t>
        </is>
      </c>
      <c r="B35" s="21">
        <f>SUM('Historical'!$B$31,'Historical'!$B$32,'Historical'!$B$33,'Historical'!$B$34)</f>
        <v/>
      </c>
      <c r="C35" s="21">
        <f>SUM('Historical'!$C$31,'Historical'!$C$32,'Historical'!$C$33,'Historical'!$C$34)</f>
        <v/>
      </c>
      <c r="D35" s="21">
        <f>SUM('Historical'!$D$31,'Historical'!$D$32,'Historical'!$D$33,'Historical'!$D$34)</f>
        <v/>
      </c>
      <c r="E35" s="21">
        <f>SUM('Historical'!$E$31,'Historical'!$E$32,'Historical'!$E$33,'Historical'!$E$34)</f>
        <v/>
      </c>
      <c r="F35" s="21">
        <f>SUM('Historical'!$F$31,'Historical'!$F$32,'Historical'!$F$33,'Historical'!$F$34)</f>
        <v/>
      </c>
      <c r="G35" s="21">
        <f>SUM('Historical'!$G$31,'Historical'!$G$32,'Historical'!$G$33,'Historical'!$G$34)</f>
        <v/>
      </c>
      <c r="H35" s="21">
        <f>SUM('Historical'!$H$31,'Historical'!$H$32,'Historical'!$H$33,'Historical'!$H$34)</f>
        <v/>
      </c>
      <c r="I35" s="21">
        <f>SUM('Historical'!$I$31,'Historical'!$I$32,'Historical'!$I$33,'Historical'!$I$34)</f>
        <v/>
      </c>
      <c r="J35" s="21">
        <f>SUM('Historical'!$J$31,'Historical'!$J$32,'Historical'!$J$33,'Historical'!$J$34)</f>
        <v/>
      </c>
      <c r="K35" s="21">
        <f>SUM('Historical'!$K$31,'Historical'!$K$32,'Historical'!$K$33,'Historical'!$K$34)</f>
        <v/>
      </c>
    </row>
    <row r="36">
      <c r="A36" s="19" t="inlineStr">
        <is>
          <t>Shareholders' equity</t>
        </is>
      </c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>
      <c r="A37" s="19" t="inlineStr">
        <is>
          <t>Total liabilities &amp; equity</t>
        </is>
      </c>
      <c r="B37" s="21">
        <f>'Historical'!$B$35+'Historical'!$B$36</f>
        <v/>
      </c>
      <c r="C37" s="21">
        <f>'Historical'!$C$35+'Historical'!$C$36</f>
        <v/>
      </c>
      <c r="D37" s="21">
        <f>'Historical'!$D$35+'Historical'!$D$36</f>
        <v/>
      </c>
      <c r="E37" s="21">
        <f>'Historical'!$E$35+'Historical'!$E$36</f>
        <v/>
      </c>
      <c r="F37" s="21">
        <f>'Historical'!$F$35+'Historical'!$F$36</f>
        <v/>
      </c>
      <c r="G37" s="21">
        <f>'Historical'!$G$35+'Historical'!$G$36</f>
        <v/>
      </c>
      <c r="H37" s="21">
        <f>'Historical'!$H$35+'Historical'!$H$36</f>
        <v/>
      </c>
      <c r="I37" s="21">
        <f>'Historical'!$I$35+'Historical'!$I$36</f>
        <v/>
      </c>
      <c r="J37" s="21">
        <f>'Historical'!$J$35+'Historical'!$J$36</f>
        <v/>
      </c>
      <c r="K37" s="21">
        <f>'Historical'!$K$35+'Historical'!$K$36</f>
        <v/>
      </c>
    </row>
    <row r="38">
      <c r="A38" s="6" t="inlineStr">
        <is>
          <t>Balance check (A − (L+E))</t>
        </is>
      </c>
      <c r="B38" s="17">
        <f>'Historical'!$B$29-'Historical'!$B$37</f>
        <v/>
      </c>
      <c r="C38" s="17">
        <f>'Historical'!$C$29-'Historical'!$C$37</f>
        <v/>
      </c>
      <c r="D38" s="17">
        <f>'Historical'!$D$29-'Historical'!$D$37</f>
        <v/>
      </c>
      <c r="E38" s="17">
        <f>'Historical'!$E$29-'Historical'!$E$37</f>
        <v/>
      </c>
      <c r="F38" s="17">
        <f>'Historical'!$F$29-'Historical'!$F$37</f>
        <v/>
      </c>
      <c r="G38" s="17">
        <f>'Historical'!$G$29-'Historical'!$G$37</f>
        <v/>
      </c>
      <c r="H38" s="17">
        <f>'Historical'!$H$29-'Historical'!$H$37</f>
        <v/>
      </c>
      <c r="I38" s="17">
        <f>'Historical'!$I$29-'Historical'!$I$37</f>
        <v/>
      </c>
      <c r="J38" s="17">
        <f>'Historical'!$J$29-'Historical'!$J$37</f>
        <v/>
      </c>
      <c r="K38" s="17">
        <f>'Historical'!$K$29-'Historical'!$K$37</f>
        <v/>
      </c>
    </row>
    <row r="39" ht="20" customHeight="1">
      <c r="A39" s="5" t="inlineStr">
        <is>
          <t>Cash Flow Statement</t>
        </is>
      </c>
    </row>
    <row r="40">
      <c r="A40" s="19" t="inlineStr">
        <is>
          <t>Operating cash flow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>
      <c r="A41" s="6" t="inlineStr">
        <is>
          <t>Capital expenditure</t>
        </is>
      </c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>
      <c r="A42" s="19" t="inlineStr">
        <is>
          <t>Free cash flow</t>
        </is>
      </c>
      <c r="B42" s="21">
        <f>'Historical'!$B$40-'Historical'!$B$41</f>
        <v/>
      </c>
      <c r="C42" s="21">
        <f>'Historical'!$C$40-'Historical'!$C$41</f>
        <v/>
      </c>
      <c r="D42" s="21">
        <f>'Historical'!$D$40-'Historical'!$D$41</f>
        <v/>
      </c>
      <c r="E42" s="21">
        <f>'Historical'!$E$40-'Historical'!$E$41</f>
        <v/>
      </c>
      <c r="F42" s="21">
        <f>'Historical'!$F$40-'Historical'!$F$41</f>
        <v/>
      </c>
      <c r="G42" s="21">
        <f>'Historical'!$G$40-'Historical'!$G$41</f>
        <v/>
      </c>
      <c r="H42" s="21">
        <f>'Historical'!$H$40-'Historical'!$H$41</f>
        <v/>
      </c>
      <c r="I42" s="21">
        <f>'Historical'!$I$40-'Historical'!$I$41</f>
        <v/>
      </c>
      <c r="J42" s="21">
        <f>'Historical'!$J$40-'Historical'!$J$41</f>
        <v/>
      </c>
      <c r="K42" s="21">
        <f>'Historical'!$K$40-'Historical'!$K$41</f>
        <v/>
      </c>
    </row>
    <row r="43" ht="20" customHeight="1">
      <c r="A43" s="5" t="inlineStr">
        <is>
          <t>Helper Calculations  (reused by Analysis, Assumptions &amp; Forecast)</t>
        </is>
      </c>
    </row>
    <row r="44">
      <c r="A44" s="6" t="inlineStr">
        <is>
          <t>Total debt</t>
        </is>
      </c>
      <c r="B44" s="17">
        <f>'Historical'!$B$32+'Historical'!$B$33</f>
        <v/>
      </c>
      <c r="C44" s="17">
        <f>'Historical'!$C$32+'Historical'!$C$33</f>
        <v/>
      </c>
      <c r="D44" s="17">
        <f>'Historical'!$D$32+'Historical'!$D$33</f>
        <v/>
      </c>
      <c r="E44" s="17">
        <f>'Historical'!$E$32+'Historical'!$E$33</f>
        <v/>
      </c>
      <c r="F44" s="17">
        <f>'Historical'!$F$32+'Historical'!$F$33</f>
        <v/>
      </c>
      <c r="G44" s="17">
        <f>'Historical'!$G$32+'Historical'!$G$33</f>
        <v/>
      </c>
      <c r="H44" s="17">
        <f>'Historical'!$H$32+'Historical'!$H$33</f>
        <v/>
      </c>
      <c r="I44" s="17">
        <f>'Historical'!$I$32+'Historical'!$I$33</f>
        <v/>
      </c>
      <c r="J44" s="17">
        <f>'Historical'!$J$32+'Historical'!$J$33</f>
        <v/>
      </c>
      <c r="K44" s="17">
        <f>'Historical'!$K$32+'Historical'!$K$33</f>
        <v/>
      </c>
    </row>
    <row r="45">
      <c r="A45" s="6" t="inlineStr">
        <is>
          <t>Net debt</t>
        </is>
      </c>
      <c r="B45" s="17">
        <f>'Historical'!$B$44-'Historical'!$B$22</f>
        <v/>
      </c>
      <c r="C45" s="17">
        <f>'Historical'!$C$44-'Historical'!$C$22</f>
        <v/>
      </c>
      <c r="D45" s="17">
        <f>'Historical'!$D$44-'Historical'!$D$22</f>
        <v/>
      </c>
      <c r="E45" s="17">
        <f>'Historical'!$E$44-'Historical'!$E$22</f>
        <v/>
      </c>
      <c r="F45" s="17">
        <f>'Historical'!$F$44-'Historical'!$F$22</f>
        <v/>
      </c>
      <c r="G45" s="17">
        <f>'Historical'!$G$44-'Historical'!$G$22</f>
        <v/>
      </c>
      <c r="H45" s="17">
        <f>'Historical'!$H$44-'Historical'!$H$22</f>
        <v/>
      </c>
      <c r="I45" s="17">
        <f>'Historical'!$I$44-'Historical'!$I$22</f>
        <v/>
      </c>
      <c r="J45" s="17">
        <f>'Historical'!$J$44-'Historical'!$J$22</f>
        <v/>
      </c>
      <c r="K45" s="17">
        <f>'Historical'!$K$44-'Historical'!$K$22</f>
        <v/>
      </c>
    </row>
    <row r="46">
      <c r="A46" s="6" t="inlineStr">
        <is>
          <t>Invested capital (equity + debt − cash)</t>
        </is>
      </c>
      <c r="B46" s="17">
        <f>'Historical'!$B$36+'Historical'!$B$44-'Historical'!$B$22</f>
        <v/>
      </c>
      <c r="C46" s="17">
        <f>'Historical'!$C$36+'Historical'!$C$44-'Historical'!$C$22</f>
        <v/>
      </c>
      <c r="D46" s="17">
        <f>'Historical'!$D$36+'Historical'!$D$44-'Historical'!$D$22</f>
        <v/>
      </c>
      <c r="E46" s="17">
        <f>'Historical'!$E$36+'Historical'!$E$44-'Historical'!$E$22</f>
        <v/>
      </c>
      <c r="F46" s="17">
        <f>'Historical'!$F$36+'Historical'!$F$44-'Historical'!$F$22</f>
        <v/>
      </c>
      <c r="G46" s="17">
        <f>'Historical'!$G$36+'Historical'!$G$44-'Historical'!$G$22</f>
        <v/>
      </c>
      <c r="H46" s="17">
        <f>'Historical'!$H$36+'Historical'!$H$44-'Historical'!$H$22</f>
        <v/>
      </c>
      <c r="I46" s="17">
        <f>'Historical'!$I$36+'Historical'!$I$44-'Historical'!$I$22</f>
        <v/>
      </c>
      <c r="J46" s="17">
        <f>'Historical'!$J$36+'Historical'!$J$44-'Historical'!$J$22</f>
        <v/>
      </c>
      <c r="K46" s="17">
        <f>'Historical'!$K$36+'Historical'!$K$44-'Historical'!$K$22</f>
        <v/>
      </c>
    </row>
    <row r="47">
      <c r="A47" s="6" t="inlineStr">
        <is>
          <t>Net working capital</t>
        </is>
      </c>
      <c r="B47" s="17">
        <f>'Historical'!$B$23+'Historical'!$B$24+'Historical'!$B$25-'Historical'!$B$31-'Historical'!$B$34</f>
        <v/>
      </c>
      <c r="C47" s="17">
        <f>'Historical'!$C$23+'Historical'!$C$24+'Historical'!$C$25-'Historical'!$C$31-'Historical'!$C$34</f>
        <v/>
      </c>
      <c r="D47" s="17">
        <f>'Historical'!$D$23+'Historical'!$D$24+'Historical'!$D$25-'Historical'!$D$31-'Historical'!$D$34</f>
        <v/>
      </c>
      <c r="E47" s="17">
        <f>'Historical'!$E$23+'Historical'!$E$24+'Historical'!$E$25-'Historical'!$E$31-'Historical'!$E$34</f>
        <v/>
      </c>
      <c r="F47" s="17">
        <f>'Historical'!$F$23+'Historical'!$F$24+'Historical'!$F$25-'Historical'!$F$31-'Historical'!$F$34</f>
        <v/>
      </c>
      <c r="G47" s="17">
        <f>'Historical'!$G$23+'Historical'!$G$24+'Historical'!$G$25-'Historical'!$G$31-'Historical'!$G$34</f>
        <v/>
      </c>
      <c r="H47" s="17">
        <f>'Historical'!$H$23+'Historical'!$H$24+'Historical'!$H$25-'Historical'!$H$31-'Historical'!$H$34</f>
        <v/>
      </c>
      <c r="I47" s="17">
        <f>'Historical'!$I$23+'Historical'!$I$24+'Historical'!$I$25-'Historical'!$I$31-'Historical'!$I$34</f>
        <v/>
      </c>
      <c r="J47" s="17">
        <f>'Historical'!$J$23+'Historical'!$J$24+'Historical'!$J$25-'Historical'!$J$31-'Historical'!$J$34</f>
        <v/>
      </c>
      <c r="K47" s="17">
        <f>'Historical'!$K$23+'Historical'!$K$24+'Historical'!$K$25-'Historical'!$K$31-'Historical'!$K$34</f>
        <v/>
      </c>
    </row>
    <row r="48">
      <c r="A48" s="22" t="inlineStr">
        <is>
          <t xml:space="preserve">  Average equity</t>
        </is>
      </c>
      <c r="B48" s="17" t="n"/>
      <c r="C48" s="17">
        <f>('Historical'!$B$36+'Historical'!$C$36)/2</f>
        <v/>
      </c>
      <c r="D48" s="17">
        <f>('Historical'!$C$36+'Historical'!$D$36)/2</f>
        <v/>
      </c>
      <c r="E48" s="17">
        <f>('Historical'!$D$36+'Historical'!$E$36)/2</f>
        <v/>
      </c>
      <c r="F48" s="17">
        <f>('Historical'!$E$36+'Historical'!$F$36)/2</f>
        <v/>
      </c>
      <c r="G48" s="17">
        <f>('Historical'!$F$36+'Historical'!$G$36)/2</f>
        <v/>
      </c>
      <c r="H48" s="17">
        <f>('Historical'!$G$36+'Historical'!$H$36)/2</f>
        <v/>
      </c>
      <c r="I48" s="17">
        <f>('Historical'!$H$36+'Historical'!$I$36)/2</f>
        <v/>
      </c>
      <c r="J48" s="17">
        <f>('Historical'!$I$36+'Historical'!$J$36)/2</f>
        <v/>
      </c>
      <c r="K48" s="17">
        <f>('Historical'!$J$36+'Historical'!$K$36)/2</f>
        <v/>
      </c>
    </row>
    <row r="49">
      <c r="A49" s="22" t="inlineStr">
        <is>
          <t xml:space="preserve">  Average total assets</t>
        </is>
      </c>
      <c r="B49" s="17" t="n"/>
      <c r="C49" s="17">
        <f>('Historical'!$B$29+'Historical'!$C$29)/2</f>
        <v/>
      </c>
      <c r="D49" s="17">
        <f>('Historical'!$C$29+'Historical'!$D$29)/2</f>
        <v/>
      </c>
      <c r="E49" s="17">
        <f>('Historical'!$D$29+'Historical'!$E$29)/2</f>
        <v/>
      </c>
      <c r="F49" s="17">
        <f>('Historical'!$E$29+'Historical'!$F$29)/2</f>
        <v/>
      </c>
      <c r="G49" s="17">
        <f>('Historical'!$F$29+'Historical'!$G$29)/2</f>
        <v/>
      </c>
      <c r="H49" s="17">
        <f>('Historical'!$G$29+'Historical'!$H$29)/2</f>
        <v/>
      </c>
      <c r="I49" s="17">
        <f>('Historical'!$H$29+'Historical'!$I$29)/2</f>
        <v/>
      </c>
      <c r="J49" s="17">
        <f>('Historical'!$I$29+'Historical'!$J$29)/2</f>
        <v/>
      </c>
      <c r="K49" s="17">
        <f>('Historical'!$J$29+'Historical'!$K$29)/2</f>
        <v/>
      </c>
    </row>
    <row r="50">
      <c r="A50" s="22" t="inlineStr">
        <is>
          <t xml:space="preserve">  Average invested capital</t>
        </is>
      </c>
      <c r="B50" s="17" t="n"/>
      <c r="C50" s="17">
        <f>('Historical'!$B$46+'Historical'!$C$46)/2</f>
        <v/>
      </c>
      <c r="D50" s="17">
        <f>('Historical'!$C$46+'Historical'!$D$46)/2</f>
        <v/>
      </c>
      <c r="E50" s="17">
        <f>('Historical'!$D$46+'Historical'!$E$46)/2</f>
        <v/>
      </c>
      <c r="F50" s="17">
        <f>('Historical'!$E$46+'Historical'!$F$46)/2</f>
        <v/>
      </c>
      <c r="G50" s="17">
        <f>('Historical'!$F$46+'Historical'!$G$46)/2</f>
        <v/>
      </c>
      <c r="H50" s="17">
        <f>('Historical'!$G$46+'Historical'!$H$46)/2</f>
        <v/>
      </c>
      <c r="I50" s="17">
        <f>('Historical'!$H$46+'Historical'!$I$46)/2</f>
        <v/>
      </c>
      <c r="J50" s="17">
        <f>('Historical'!$I$46+'Historical'!$J$46)/2</f>
        <v/>
      </c>
      <c r="K50" s="17">
        <f>('Historical'!$J$46+'Historical'!$K$46)/2</f>
        <v/>
      </c>
    </row>
    <row r="51">
      <c r="A51" s="22" t="inlineStr">
        <is>
          <t xml:space="preserve">  Average receivables</t>
        </is>
      </c>
      <c r="B51" s="17" t="n"/>
      <c r="C51" s="17">
        <f>('Historical'!$B$23+'Historical'!$C$23)/2</f>
        <v/>
      </c>
      <c r="D51" s="17">
        <f>('Historical'!$C$23+'Historical'!$D$23)/2</f>
        <v/>
      </c>
      <c r="E51" s="17">
        <f>('Historical'!$D$23+'Historical'!$E$23)/2</f>
        <v/>
      </c>
      <c r="F51" s="17">
        <f>('Historical'!$E$23+'Historical'!$F$23)/2</f>
        <v/>
      </c>
      <c r="G51" s="17">
        <f>('Historical'!$F$23+'Historical'!$G$23)/2</f>
        <v/>
      </c>
      <c r="H51" s="17">
        <f>('Historical'!$G$23+'Historical'!$H$23)/2</f>
        <v/>
      </c>
      <c r="I51" s="17">
        <f>('Historical'!$H$23+'Historical'!$I$23)/2</f>
        <v/>
      </c>
      <c r="J51" s="17">
        <f>('Historical'!$I$23+'Historical'!$J$23)/2</f>
        <v/>
      </c>
      <c r="K51" s="17">
        <f>('Historical'!$J$23+'Historical'!$K$23)/2</f>
        <v/>
      </c>
    </row>
    <row r="52">
      <c r="A52" s="22" t="inlineStr">
        <is>
          <t xml:space="preserve">  Average inventory</t>
        </is>
      </c>
      <c r="B52" s="17" t="n"/>
      <c r="C52" s="17">
        <f>('Historical'!$B$24+'Historical'!$C$24)/2</f>
        <v/>
      </c>
      <c r="D52" s="17">
        <f>('Historical'!$C$24+'Historical'!$D$24)/2</f>
        <v/>
      </c>
      <c r="E52" s="17">
        <f>('Historical'!$D$24+'Historical'!$E$24)/2</f>
        <v/>
      </c>
      <c r="F52" s="17">
        <f>('Historical'!$E$24+'Historical'!$F$24)/2</f>
        <v/>
      </c>
      <c r="G52" s="17">
        <f>('Historical'!$F$24+'Historical'!$G$24)/2</f>
        <v/>
      </c>
      <c r="H52" s="17">
        <f>('Historical'!$G$24+'Historical'!$H$24)/2</f>
        <v/>
      </c>
      <c r="I52" s="17">
        <f>('Historical'!$H$24+'Historical'!$I$24)/2</f>
        <v/>
      </c>
      <c r="J52" s="17">
        <f>('Historical'!$I$24+'Historical'!$J$24)/2</f>
        <v/>
      </c>
      <c r="K52" s="17">
        <f>('Historical'!$J$24+'Historical'!$K$24)/2</f>
        <v/>
      </c>
    </row>
    <row r="53">
      <c r="A53" s="22" t="inlineStr">
        <is>
          <t xml:space="preserve">  Average payables</t>
        </is>
      </c>
      <c r="B53" s="17" t="n"/>
      <c r="C53" s="17">
        <f>('Historical'!$B$31+'Historical'!$C$31)/2</f>
        <v/>
      </c>
      <c r="D53" s="17">
        <f>('Historical'!$C$31+'Historical'!$D$31)/2</f>
        <v/>
      </c>
      <c r="E53" s="17">
        <f>('Historical'!$D$31+'Historical'!$E$31)/2</f>
        <v/>
      </c>
      <c r="F53" s="17">
        <f>('Historical'!$E$31+'Historical'!$F$31)/2</f>
        <v/>
      </c>
      <c r="G53" s="17">
        <f>('Historical'!$F$31+'Historical'!$G$31)/2</f>
        <v/>
      </c>
      <c r="H53" s="17">
        <f>('Historical'!$G$31+'Historical'!$H$31)/2</f>
        <v/>
      </c>
      <c r="I53" s="17">
        <f>('Historical'!$H$31+'Historical'!$I$31)/2</f>
        <v/>
      </c>
      <c r="J53" s="17">
        <f>('Historical'!$I$31+'Historical'!$J$31)/2</f>
        <v/>
      </c>
      <c r="K53" s="17">
        <f>('Historical'!$J$31+'Historical'!$K$31)/2</f>
        <v/>
      </c>
    </row>
  </sheetData>
  <mergeCells count="9">
    <mergeCell ref="A3:K3"/>
    <mergeCell ref="A21:K21"/>
    <mergeCell ref="A30:K30"/>
    <mergeCell ref="A39:K39"/>
    <mergeCell ref="A7:K7"/>
    <mergeCell ref="A43:K43"/>
    <mergeCell ref="A2:K2"/>
    <mergeCell ref="A1:K1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K6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>HISTORICAL ANALYSIS ENGINE</t>
        </is>
      </c>
    </row>
    <row r="2">
      <c r="A2" s="2" t="inlineStr">
        <is>
          <t>Ratios, margins, efficiency &amp; the driver ratios the forecast is anchored on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 ht="20" customHeight="1">
      <c r="A8" s="14" t="inlineStr">
        <is>
          <t>Metric</t>
        </is>
      </c>
      <c r="B8" s="16" t="inlineStr">
        <is>
          <t>FY2015</t>
        </is>
      </c>
      <c r="C8" s="16" t="inlineStr">
        <is>
          <t>FY2016</t>
        </is>
      </c>
      <c r="D8" s="16" t="inlineStr">
        <is>
          <t>FY2017</t>
        </is>
      </c>
      <c r="E8" s="16" t="inlineStr">
        <is>
          <t>FY2018</t>
        </is>
      </c>
      <c r="F8" s="16" t="inlineStr">
        <is>
          <t>FY2019</t>
        </is>
      </c>
      <c r="G8" s="16" t="inlineStr">
        <is>
          <t>FY2020</t>
        </is>
      </c>
      <c r="H8" s="16" t="inlineStr">
        <is>
          <t>FY2021</t>
        </is>
      </c>
      <c r="I8" s="16" t="inlineStr">
        <is>
          <t>FY2022</t>
        </is>
      </c>
      <c r="J8" s="16" t="inlineStr">
        <is>
          <t>FY2023</t>
        </is>
      </c>
      <c r="K8" s="16" t="inlineStr">
        <is>
          <t>FY2024</t>
        </is>
      </c>
    </row>
    <row r="9" ht="20" customHeight="1">
      <c r="A9" s="5" t="inlineStr">
        <is>
          <t>Driver Ratios  (averaged on the Assumption Center)</t>
        </is>
      </c>
    </row>
    <row r="10">
      <c r="A10" s="6" t="inlineStr">
        <is>
          <t>Effective tax rate</t>
        </is>
      </c>
      <c r="B10" s="18">
        <f>IFERROR('Historical'!$B$19/'Historical'!$B$18,"")</f>
        <v/>
      </c>
      <c r="C10" s="18">
        <f>IFERROR('Historical'!$C$19/'Historical'!$C$18,"")</f>
        <v/>
      </c>
      <c r="D10" s="18">
        <f>IFERROR('Historical'!$D$19/'Historical'!$D$18,"")</f>
        <v/>
      </c>
      <c r="E10" s="18">
        <f>IFERROR('Historical'!$E$19/'Historical'!$E$18,"")</f>
        <v/>
      </c>
      <c r="F10" s="18">
        <f>IFERROR('Historical'!$F$19/'Historical'!$F$18,"")</f>
        <v/>
      </c>
      <c r="G10" s="18">
        <f>IFERROR('Historical'!$G$19/'Historical'!$G$18,"")</f>
        <v/>
      </c>
      <c r="H10" s="18">
        <f>IFERROR('Historical'!$H$19/'Historical'!$H$18,"")</f>
        <v/>
      </c>
      <c r="I10" s="18">
        <f>IFERROR('Historical'!$I$19/'Historical'!$I$18,"")</f>
        <v/>
      </c>
      <c r="J10" s="18">
        <f>IFERROR('Historical'!$J$19/'Historical'!$J$18,"")</f>
        <v/>
      </c>
      <c r="K10" s="18">
        <f>IFERROR('Historical'!$K$19/'Historical'!$K$18,"")</f>
        <v/>
      </c>
    </row>
    <row r="11">
      <c r="A11" s="6" t="inlineStr">
        <is>
          <t>Capex % of revenue</t>
        </is>
      </c>
      <c r="B11" s="18">
        <f>IFERROR('Historical'!$B$41/'Historical'!$B$10,"")</f>
        <v/>
      </c>
      <c r="C11" s="18">
        <f>IFERROR('Historical'!$C$41/'Historical'!$C$10,"")</f>
        <v/>
      </c>
      <c r="D11" s="18">
        <f>IFERROR('Historical'!$D$41/'Historical'!$D$10,"")</f>
        <v/>
      </c>
      <c r="E11" s="18">
        <f>IFERROR('Historical'!$E$41/'Historical'!$E$10,"")</f>
        <v/>
      </c>
      <c r="F11" s="18">
        <f>IFERROR('Historical'!$F$41/'Historical'!$F$10,"")</f>
        <v/>
      </c>
      <c r="G11" s="18">
        <f>IFERROR('Historical'!$G$41/'Historical'!$G$10,"")</f>
        <v/>
      </c>
      <c r="H11" s="18">
        <f>IFERROR('Historical'!$H$41/'Historical'!$H$10,"")</f>
        <v/>
      </c>
      <c r="I11" s="18">
        <f>IFERROR('Historical'!$I$41/'Historical'!$I$10,"")</f>
        <v/>
      </c>
      <c r="J11" s="18">
        <f>IFERROR('Historical'!$J$41/'Historical'!$J$10,"")</f>
        <v/>
      </c>
      <c r="K11" s="18">
        <f>IFERROR('Historical'!$K$41/'Historical'!$K$10,"")</f>
        <v/>
      </c>
    </row>
    <row r="12">
      <c r="A12" s="6" t="inlineStr">
        <is>
          <t>D&amp;A % of revenue</t>
        </is>
      </c>
      <c r="B12" s="18">
        <f>IFERROR('Historical'!$B$15/'Historical'!$B$10,"")</f>
        <v/>
      </c>
      <c r="C12" s="18">
        <f>IFERROR('Historical'!$C$15/'Historical'!$C$10,"")</f>
        <v/>
      </c>
      <c r="D12" s="18">
        <f>IFERROR('Historical'!$D$15/'Historical'!$D$10,"")</f>
        <v/>
      </c>
      <c r="E12" s="18">
        <f>IFERROR('Historical'!$E$15/'Historical'!$E$10,"")</f>
        <v/>
      </c>
      <c r="F12" s="18">
        <f>IFERROR('Historical'!$F$15/'Historical'!$F$10,"")</f>
        <v/>
      </c>
      <c r="G12" s="18">
        <f>IFERROR('Historical'!$G$15/'Historical'!$G$10,"")</f>
        <v/>
      </c>
      <c r="H12" s="18">
        <f>IFERROR('Historical'!$H$15/'Historical'!$H$10,"")</f>
        <v/>
      </c>
      <c r="I12" s="18">
        <f>IFERROR('Historical'!$I$15/'Historical'!$I$10,"")</f>
        <v/>
      </c>
      <c r="J12" s="18">
        <f>IFERROR('Historical'!$J$15/'Historical'!$J$10,"")</f>
        <v/>
      </c>
      <c r="K12" s="18">
        <f>IFERROR('Historical'!$K$15/'Historical'!$K$10,"")</f>
        <v/>
      </c>
    </row>
    <row r="13">
      <c r="A13" s="6" t="inlineStr">
        <is>
          <t>Cash % of revenue</t>
        </is>
      </c>
      <c r="B13" s="18">
        <f>IFERROR('Historical'!$B$22/'Historical'!$B$10,"")</f>
        <v/>
      </c>
      <c r="C13" s="18">
        <f>IFERROR('Historical'!$C$22/'Historical'!$C$10,"")</f>
        <v/>
      </c>
      <c r="D13" s="18">
        <f>IFERROR('Historical'!$D$22/'Historical'!$D$10,"")</f>
        <v/>
      </c>
      <c r="E13" s="18">
        <f>IFERROR('Historical'!$E$22/'Historical'!$E$10,"")</f>
        <v/>
      </c>
      <c r="F13" s="18">
        <f>IFERROR('Historical'!$F$22/'Historical'!$F$10,"")</f>
        <v/>
      </c>
      <c r="G13" s="18">
        <f>IFERROR('Historical'!$G$22/'Historical'!$G$10,"")</f>
        <v/>
      </c>
      <c r="H13" s="18">
        <f>IFERROR('Historical'!$H$22/'Historical'!$H$10,"")</f>
        <v/>
      </c>
      <c r="I13" s="18">
        <f>IFERROR('Historical'!$I$22/'Historical'!$I$10,"")</f>
        <v/>
      </c>
      <c r="J13" s="18">
        <f>IFERROR('Historical'!$J$22/'Historical'!$J$10,"")</f>
        <v/>
      </c>
      <c r="K13" s="18">
        <f>IFERROR('Historical'!$K$22/'Historical'!$K$10,"")</f>
        <v/>
      </c>
    </row>
    <row r="14">
      <c r="A14" s="6" t="inlineStr">
        <is>
          <t>Other assets % of revenue</t>
        </is>
      </c>
      <c r="B14" s="18">
        <f>IFERROR('Historical'!$B$28/'Historical'!$B$10,"")</f>
        <v/>
      </c>
      <c r="C14" s="18">
        <f>IFERROR('Historical'!$C$28/'Historical'!$C$10,"")</f>
        <v/>
      </c>
      <c r="D14" s="18">
        <f>IFERROR('Historical'!$D$28/'Historical'!$D$10,"")</f>
        <v/>
      </c>
      <c r="E14" s="18">
        <f>IFERROR('Historical'!$E$28/'Historical'!$E$10,"")</f>
        <v/>
      </c>
      <c r="F14" s="18">
        <f>IFERROR('Historical'!$F$28/'Historical'!$F$10,"")</f>
        <v/>
      </c>
      <c r="G14" s="18">
        <f>IFERROR('Historical'!$G$28/'Historical'!$G$10,"")</f>
        <v/>
      </c>
      <c r="H14" s="18">
        <f>IFERROR('Historical'!$H$28/'Historical'!$H$10,"")</f>
        <v/>
      </c>
      <c r="I14" s="18">
        <f>IFERROR('Historical'!$I$28/'Historical'!$I$10,"")</f>
        <v/>
      </c>
      <c r="J14" s="18">
        <f>IFERROR('Historical'!$J$28/'Historical'!$J$10,"")</f>
        <v/>
      </c>
      <c r="K14" s="18">
        <f>IFERROR('Historical'!$K$28/'Historical'!$K$10,"")</f>
        <v/>
      </c>
    </row>
    <row r="15">
      <c r="A15" s="6" t="inlineStr">
        <is>
          <t>Other liabilities % of revenue</t>
        </is>
      </c>
      <c r="B15" s="18">
        <f>IFERROR('Historical'!$B$34/'Historical'!$B$10,"")</f>
        <v/>
      </c>
      <c r="C15" s="18">
        <f>IFERROR('Historical'!$C$34/'Historical'!$C$10,"")</f>
        <v/>
      </c>
      <c r="D15" s="18">
        <f>IFERROR('Historical'!$D$34/'Historical'!$D$10,"")</f>
        <v/>
      </c>
      <c r="E15" s="18">
        <f>IFERROR('Historical'!$E$34/'Historical'!$E$10,"")</f>
        <v/>
      </c>
      <c r="F15" s="18">
        <f>IFERROR('Historical'!$F$34/'Historical'!$F$10,"")</f>
        <v/>
      </c>
      <c r="G15" s="18">
        <f>IFERROR('Historical'!$G$34/'Historical'!$G$10,"")</f>
        <v/>
      </c>
      <c r="H15" s="18">
        <f>IFERROR('Historical'!$H$34/'Historical'!$H$10,"")</f>
        <v/>
      </c>
      <c r="I15" s="18">
        <f>IFERROR('Historical'!$I$34/'Historical'!$I$10,"")</f>
        <v/>
      </c>
      <c r="J15" s="18">
        <f>IFERROR('Historical'!$J$34/'Historical'!$J$10,"")</f>
        <v/>
      </c>
      <c r="K15" s="18">
        <f>IFERROR('Historical'!$K$34/'Historical'!$K$10,"")</f>
        <v/>
      </c>
    </row>
    <row r="16">
      <c r="A16" s="6" t="inlineStr">
        <is>
          <t>Interest rate (int exp / total debt)</t>
        </is>
      </c>
      <c r="B16" s="18">
        <f>IFERROR('Historical'!$B$17/'Historical'!$B$44,"")</f>
        <v/>
      </c>
      <c r="C16" s="18">
        <f>IFERROR('Historical'!$C$17/'Historical'!$C$44,"")</f>
        <v/>
      </c>
      <c r="D16" s="18">
        <f>IFERROR('Historical'!$D$17/'Historical'!$D$44,"")</f>
        <v/>
      </c>
      <c r="E16" s="18">
        <f>IFERROR('Historical'!$E$17/'Historical'!$E$44,"")</f>
        <v/>
      </c>
      <c r="F16" s="18">
        <f>IFERROR('Historical'!$F$17/'Historical'!$F$44,"")</f>
        <v/>
      </c>
      <c r="G16" s="18">
        <f>IFERROR('Historical'!$G$17/'Historical'!$G$44,"")</f>
        <v/>
      </c>
      <c r="H16" s="18">
        <f>IFERROR('Historical'!$H$17/'Historical'!$H$44,"")</f>
        <v/>
      </c>
      <c r="I16" s="18">
        <f>IFERROR('Historical'!$I$17/'Historical'!$I$44,"")</f>
        <v/>
      </c>
      <c r="J16" s="18">
        <f>IFERROR('Historical'!$J$17/'Historical'!$J$44,"")</f>
        <v/>
      </c>
      <c r="K16" s="18">
        <f>IFERROR('Historical'!$K$17/'Historical'!$K$44,"")</f>
        <v/>
      </c>
    </row>
    <row r="17">
      <c r="A17" s="6" t="inlineStr">
        <is>
          <t>Receivable days (DSO)</t>
        </is>
      </c>
      <c r="B17" s="23" t="n"/>
      <c r="C17" s="23">
        <f>IFERROR('Historical'!$C$51*365/'Historical'!$C$10,"")</f>
        <v/>
      </c>
      <c r="D17" s="23">
        <f>IFERROR('Historical'!$D$51*365/'Historical'!$D$10,"")</f>
        <v/>
      </c>
      <c r="E17" s="23">
        <f>IFERROR('Historical'!$E$51*365/'Historical'!$E$10,"")</f>
        <v/>
      </c>
      <c r="F17" s="23">
        <f>IFERROR('Historical'!$F$51*365/'Historical'!$F$10,"")</f>
        <v/>
      </c>
      <c r="G17" s="23">
        <f>IFERROR('Historical'!$G$51*365/'Historical'!$G$10,"")</f>
        <v/>
      </c>
      <c r="H17" s="23">
        <f>IFERROR('Historical'!$H$51*365/'Historical'!$H$10,"")</f>
        <v/>
      </c>
      <c r="I17" s="23">
        <f>IFERROR('Historical'!$I$51*365/'Historical'!$I$10,"")</f>
        <v/>
      </c>
      <c r="J17" s="23">
        <f>IFERROR('Historical'!$J$51*365/'Historical'!$J$10,"")</f>
        <v/>
      </c>
      <c r="K17" s="23">
        <f>IFERROR('Historical'!$K$51*365/'Historical'!$K$10,"")</f>
        <v/>
      </c>
    </row>
    <row r="18">
      <c r="A18" s="6" t="inlineStr">
        <is>
          <t>Inventory days (DIO)</t>
        </is>
      </c>
      <c r="B18" s="23" t="n"/>
      <c r="C18" s="23">
        <f>IFERROR('Historical'!$C$52*365/'Historical'!$C$11,"")</f>
        <v/>
      </c>
      <c r="D18" s="23">
        <f>IFERROR('Historical'!$D$52*365/'Historical'!$D$11,"")</f>
        <v/>
      </c>
      <c r="E18" s="23">
        <f>IFERROR('Historical'!$E$52*365/'Historical'!$E$11,"")</f>
        <v/>
      </c>
      <c r="F18" s="23">
        <f>IFERROR('Historical'!$F$52*365/'Historical'!$F$11,"")</f>
        <v/>
      </c>
      <c r="G18" s="23">
        <f>IFERROR('Historical'!$G$52*365/'Historical'!$G$11,"")</f>
        <v/>
      </c>
      <c r="H18" s="23">
        <f>IFERROR('Historical'!$H$52*365/'Historical'!$H$11,"")</f>
        <v/>
      </c>
      <c r="I18" s="23">
        <f>IFERROR('Historical'!$I$52*365/'Historical'!$I$11,"")</f>
        <v/>
      </c>
      <c r="J18" s="23">
        <f>IFERROR('Historical'!$J$52*365/'Historical'!$J$11,"")</f>
        <v/>
      </c>
      <c r="K18" s="23">
        <f>IFERROR('Historical'!$K$52*365/'Historical'!$K$11,"")</f>
        <v/>
      </c>
    </row>
    <row r="19">
      <c r="A19" s="6" t="inlineStr">
        <is>
          <t>Payable days (DPO)</t>
        </is>
      </c>
      <c r="B19" s="23" t="n"/>
      <c r="C19" s="23">
        <f>IFERROR('Historical'!$C$53*365/'Historical'!$C$11,"")</f>
        <v/>
      </c>
      <c r="D19" s="23">
        <f>IFERROR('Historical'!$D$53*365/'Historical'!$D$11,"")</f>
        <v/>
      </c>
      <c r="E19" s="23">
        <f>IFERROR('Historical'!$E$53*365/'Historical'!$E$11,"")</f>
        <v/>
      </c>
      <c r="F19" s="23">
        <f>IFERROR('Historical'!$F$53*365/'Historical'!$F$11,"")</f>
        <v/>
      </c>
      <c r="G19" s="23">
        <f>IFERROR('Historical'!$G$53*365/'Historical'!$G$11,"")</f>
        <v/>
      </c>
      <c r="H19" s="23">
        <f>IFERROR('Historical'!$H$53*365/'Historical'!$H$11,"")</f>
        <v/>
      </c>
      <c r="I19" s="23">
        <f>IFERROR('Historical'!$I$53*365/'Historical'!$I$11,"")</f>
        <v/>
      </c>
      <c r="J19" s="23">
        <f>IFERROR('Historical'!$J$53*365/'Historical'!$J$11,"")</f>
        <v/>
      </c>
      <c r="K19" s="23">
        <f>IFERROR('Historical'!$K$53*365/'Historical'!$K$11,"")</f>
        <v/>
      </c>
    </row>
    <row r="21" ht="20" customHeight="1">
      <c r="A21" s="5" t="inlineStr">
        <is>
          <t>Growth</t>
        </is>
      </c>
    </row>
    <row r="22">
      <c r="A22" s="6" t="inlineStr">
        <is>
          <t>Revenue growth</t>
        </is>
      </c>
      <c r="B22" s="18" t="n"/>
      <c r="C22" s="18">
        <f>IFERROR('Historical'!$C$10/'Historical'!$B$10-1,"")</f>
        <v/>
      </c>
      <c r="D22" s="18">
        <f>IFERROR('Historical'!$D$10/'Historical'!$C$10-1,"")</f>
        <v/>
      </c>
      <c r="E22" s="18">
        <f>IFERROR('Historical'!$E$10/'Historical'!$D$10-1,"")</f>
        <v/>
      </c>
      <c r="F22" s="18">
        <f>IFERROR('Historical'!$F$10/'Historical'!$E$10-1,"")</f>
        <v/>
      </c>
      <c r="G22" s="18">
        <f>IFERROR('Historical'!$G$10/'Historical'!$F$10-1,"")</f>
        <v/>
      </c>
      <c r="H22" s="18">
        <f>IFERROR('Historical'!$H$10/'Historical'!$G$10-1,"")</f>
        <v/>
      </c>
      <c r="I22" s="18">
        <f>IFERROR('Historical'!$I$10/'Historical'!$H$10-1,"")</f>
        <v/>
      </c>
      <c r="J22" s="18">
        <f>IFERROR('Historical'!$J$10/'Historical'!$I$10-1,"")</f>
        <v/>
      </c>
      <c r="K22" s="18">
        <f>IFERROR('Historical'!$K$10/'Historical'!$J$10-1,"")</f>
        <v/>
      </c>
    </row>
    <row r="23">
      <c r="A23" s="6" t="inlineStr">
        <is>
          <t>EBITDA growth</t>
        </is>
      </c>
      <c r="B23" s="18" t="n"/>
      <c r="C23" s="18">
        <f>IFERROR('Historical'!$C$14/'Historical'!$B$14-1,"")</f>
        <v/>
      </c>
      <c r="D23" s="18">
        <f>IFERROR('Historical'!$D$14/'Historical'!$C$14-1,"")</f>
        <v/>
      </c>
      <c r="E23" s="18">
        <f>IFERROR('Historical'!$E$14/'Historical'!$D$14-1,"")</f>
        <v/>
      </c>
      <c r="F23" s="18">
        <f>IFERROR('Historical'!$F$14/'Historical'!$E$14-1,"")</f>
        <v/>
      </c>
      <c r="G23" s="18">
        <f>IFERROR('Historical'!$G$14/'Historical'!$F$14-1,"")</f>
        <v/>
      </c>
      <c r="H23" s="18">
        <f>IFERROR('Historical'!$H$14/'Historical'!$G$14-1,"")</f>
        <v/>
      </c>
      <c r="I23" s="18">
        <f>IFERROR('Historical'!$I$14/'Historical'!$H$14-1,"")</f>
        <v/>
      </c>
      <c r="J23" s="18">
        <f>IFERROR('Historical'!$J$14/'Historical'!$I$14-1,"")</f>
        <v/>
      </c>
      <c r="K23" s="18">
        <f>IFERROR('Historical'!$K$14/'Historical'!$J$14-1,"")</f>
        <v/>
      </c>
    </row>
    <row r="24">
      <c r="A24" s="6" t="inlineStr">
        <is>
          <t>EBIT growth</t>
        </is>
      </c>
      <c r="B24" s="18" t="n"/>
      <c r="C24" s="18">
        <f>IFERROR('Historical'!$C$16/'Historical'!$B$16-1,"")</f>
        <v/>
      </c>
      <c r="D24" s="18">
        <f>IFERROR('Historical'!$D$16/'Historical'!$C$16-1,"")</f>
        <v/>
      </c>
      <c r="E24" s="18">
        <f>IFERROR('Historical'!$E$16/'Historical'!$D$16-1,"")</f>
        <v/>
      </c>
      <c r="F24" s="18">
        <f>IFERROR('Historical'!$F$16/'Historical'!$E$16-1,"")</f>
        <v/>
      </c>
      <c r="G24" s="18">
        <f>IFERROR('Historical'!$G$16/'Historical'!$F$16-1,"")</f>
        <v/>
      </c>
      <c r="H24" s="18">
        <f>IFERROR('Historical'!$H$16/'Historical'!$G$16-1,"")</f>
        <v/>
      </c>
      <c r="I24" s="18">
        <f>IFERROR('Historical'!$I$16/'Historical'!$H$16-1,"")</f>
        <v/>
      </c>
      <c r="J24" s="18">
        <f>IFERROR('Historical'!$J$16/'Historical'!$I$16-1,"")</f>
        <v/>
      </c>
      <c r="K24" s="18">
        <f>IFERROR('Historical'!$K$16/'Historical'!$J$16-1,"")</f>
        <v/>
      </c>
    </row>
    <row r="25">
      <c r="A25" s="6" t="inlineStr">
        <is>
          <t>Net income growth</t>
        </is>
      </c>
      <c r="B25" s="18" t="n"/>
      <c r="C25" s="18">
        <f>IFERROR('Historical'!$C$20/'Historical'!$B$20-1,"")</f>
        <v/>
      </c>
      <c r="D25" s="18">
        <f>IFERROR('Historical'!$D$20/'Historical'!$C$20-1,"")</f>
        <v/>
      </c>
      <c r="E25" s="18">
        <f>IFERROR('Historical'!$E$20/'Historical'!$D$20-1,"")</f>
        <v/>
      </c>
      <c r="F25" s="18">
        <f>IFERROR('Historical'!$F$20/'Historical'!$E$20-1,"")</f>
        <v/>
      </c>
      <c r="G25" s="18">
        <f>IFERROR('Historical'!$G$20/'Historical'!$F$20-1,"")</f>
        <v/>
      </c>
      <c r="H25" s="18">
        <f>IFERROR('Historical'!$H$20/'Historical'!$G$20-1,"")</f>
        <v/>
      </c>
      <c r="I25" s="18">
        <f>IFERROR('Historical'!$I$20/'Historical'!$H$20-1,"")</f>
        <v/>
      </c>
      <c r="J25" s="18">
        <f>IFERROR('Historical'!$J$20/'Historical'!$I$20-1,"")</f>
        <v/>
      </c>
      <c r="K25" s="18">
        <f>IFERROR('Historical'!$K$20/'Historical'!$J$20-1,"")</f>
        <v/>
      </c>
    </row>
    <row r="26">
      <c r="A26" s="6" t="inlineStr">
        <is>
          <t>Free cash flow growth</t>
        </is>
      </c>
      <c r="B26" s="18" t="n"/>
      <c r="C26" s="18">
        <f>IFERROR('Historical'!$C$42/'Historical'!$B$42-1,"")</f>
        <v/>
      </c>
      <c r="D26" s="18">
        <f>IFERROR('Historical'!$D$42/'Historical'!$C$42-1,"")</f>
        <v/>
      </c>
      <c r="E26" s="18">
        <f>IFERROR('Historical'!$E$42/'Historical'!$D$42-1,"")</f>
        <v/>
      </c>
      <c r="F26" s="18">
        <f>IFERROR('Historical'!$F$42/'Historical'!$E$42-1,"")</f>
        <v/>
      </c>
      <c r="G26" s="18">
        <f>IFERROR('Historical'!$G$42/'Historical'!$F$42-1,"")</f>
        <v/>
      </c>
      <c r="H26" s="18">
        <f>IFERROR('Historical'!$H$42/'Historical'!$G$42-1,"")</f>
        <v/>
      </c>
      <c r="I26" s="18">
        <f>IFERROR('Historical'!$I$42/'Historical'!$H$42-1,"")</f>
        <v/>
      </c>
      <c r="J26" s="18">
        <f>IFERROR('Historical'!$J$42/'Historical'!$I$42-1,"")</f>
        <v/>
      </c>
      <c r="K26" s="18">
        <f>IFERROR('Historical'!$K$42/'Historical'!$J$42-1,"")</f>
        <v/>
      </c>
    </row>
    <row r="28" ht="20" customHeight="1">
      <c r="A28" s="5" t="inlineStr">
        <is>
          <t>Profitability</t>
        </is>
      </c>
    </row>
    <row r="29">
      <c r="A29" s="6" t="inlineStr">
        <is>
          <t>Gross margin</t>
        </is>
      </c>
      <c r="B29" s="18">
        <f>IFERROR('Historical'!$B$12/'Historical'!$B$10,"")</f>
        <v/>
      </c>
      <c r="C29" s="18">
        <f>IFERROR('Historical'!$C$12/'Historical'!$C$10,"")</f>
        <v/>
      </c>
      <c r="D29" s="18">
        <f>IFERROR('Historical'!$D$12/'Historical'!$D$10,"")</f>
        <v/>
      </c>
      <c r="E29" s="18">
        <f>IFERROR('Historical'!$E$12/'Historical'!$E$10,"")</f>
        <v/>
      </c>
      <c r="F29" s="18">
        <f>IFERROR('Historical'!$F$12/'Historical'!$F$10,"")</f>
        <v/>
      </c>
      <c r="G29" s="18">
        <f>IFERROR('Historical'!$G$12/'Historical'!$G$10,"")</f>
        <v/>
      </c>
      <c r="H29" s="18">
        <f>IFERROR('Historical'!$H$12/'Historical'!$H$10,"")</f>
        <v/>
      </c>
      <c r="I29" s="18">
        <f>IFERROR('Historical'!$I$12/'Historical'!$I$10,"")</f>
        <v/>
      </c>
      <c r="J29" s="18">
        <f>IFERROR('Historical'!$J$12/'Historical'!$J$10,"")</f>
        <v/>
      </c>
      <c r="K29" s="18">
        <f>IFERROR('Historical'!$K$12/'Historical'!$K$10,"")</f>
        <v/>
      </c>
    </row>
    <row r="30">
      <c r="A30" s="6" t="inlineStr">
        <is>
          <t>EBITDA margin</t>
        </is>
      </c>
      <c r="B30" s="18">
        <f>IFERROR('Historical'!$B$14/'Historical'!$B$10,"")</f>
        <v/>
      </c>
      <c r="C30" s="18">
        <f>IFERROR('Historical'!$C$14/'Historical'!$C$10,"")</f>
        <v/>
      </c>
      <c r="D30" s="18">
        <f>IFERROR('Historical'!$D$14/'Historical'!$D$10,"")</f>
        <v/>
      </c>
      <c r="E30" s="18">
        <f>IFERROR('Historical'!$E$14/'Historical'!$E$10,"")</f>
        <v/>
      </c>
      <c r="F30" s="18">
        <f>IFERROR('Historical'!$F$14/'Historical'!$F$10,"")</f>
        <v/>
      </c>
      <c r="G30" s="18">
        <f>IFERROR('Historical'!$G$14/'Historical'!$G$10,"")</f>
        <v/>
      </c>
      <c r="H30" s="18">
        <f>IFERROR('Historical'!$H$14/'Historical'!$H$10,"")</f>
        <v/>
      </c>
      <c r="I30" s="18">
        <f>IFERROR('Historical'!$I$14/'Historical'!$I$10,"")</f>
        <v/>
      </c>
      <c r="J30" s="18">
        <f>IFERROR('Historical'!$J$14/'Historical'!$J$10,"")</f>
        <v/>
      </c>
      <c r="K30" s="18">
        <f>IFERROR('Historical'!$K$14/'Historical'!$K$10,"")</f>
        <v/>
      </c>
    </row>
    <row r="31">
      <c r="A31" s="6" t="inlineStr">
        <is>
          <t>EBIT margin</t>
        </is>
      </c>
      <c r="B31" s="18">
        <f>IFERROR('Historical'!$B$16/'Historical'!$B$10,"")</f>
        <v/>
      </c>
      <c r="C31" s="18">
        <f>IFERROR('Historical'!$C$16/'Historical'!$C$10,"")</f>
        <v/>
      </c>
      <c r="D31" s="18">
        <f>IFERROR('Historical'!$D$16/'Historical'!$D$10,"")</f>
        <v/>
      </c>
      <c r="E31" s="18">
        <f>IFERROR('Historical'!$E$16/'Historical'!$E$10,"")</f>
        <v/>
      </c>
      <c r="F31" s="18">
        <f>IFERROR('Historical'!$F$16/'Historical'!$F$10,"")</f>
        <v/>
      </c>
      <c r="G31" s="18">
        <f>IFERROR('Historical'!$G$16/'Historical'!$G$10,"")</f>
        <v/>
      </c>
      <c r="H31" s="18">
        <f>IFERROR('Historical'!$H$16/'Historical'!$H$10,"")</f>
        <v/>
      </c>
      <c r="I31" s="18">
        <f>IFERROR('Historical'!$I$16/'Historical'!$I$10,"")</f>
        <v/>
      </c>
      <c r="J31" s="18">
        <f>IFERROR('Historical'!$J$16/'Historical'!$J$10,"")</f>
        <v/>
      </c>
      <c r="K31" s="18">
        <f>IFERROR('Historical'!$K$16/'Historical'!$K$10,"")</f>
        <v/>
      </c>
    </row>
    <row r="32">
      <c r="A32" s="6" t="inlineStr">
        <is>
          <t>Net margin</t>
        </is>
      </c>
      <c r="B32" s="18">
        <f>IFERROR('Historical'!$B$20/'Historical'!$B$10,"")</f>
        <v/>
      </c>
      <c r="C32" s="18">
        <f>IFERROR('Historical'!$C$20/'Historical'!$C$10,"")</f>
        <v/>
      </c>
      <c r="D32" s="18">
        <f>IFERROR('Historical'!$D$20/'Historical'!$D$10,"")</f>
        <v/>
      </c>
      <c r="E32" s="18">
        <f>IFERROR('Historical'!$E$20/'Historical'!$E$10,"")</f>
        <v/>
      </c>
      <c r="F32" s="18">
        <f>IFERROR('Historical'!$F$20/'Historical'!$F$10,"")</f>
        <v/>
      </c>
      <c r="G32" s="18">
        <f>IFERROR('Historical'!$G$20/'Historical'!$G$10,"")</f>
        <v/>
      </c>
      <c r="H32" s="18">
        <f>IFERROR('Historical'!$H$20/'Historical'!$H$10,"")</f>
        <v/>
      </c>
      <c r="I32" s="18">
        <f>IFERROR('Historical'!$I$20/'Historical'!$I$10,"")</f>
        <v/>
      </c>
      <c r="J32" s="18">
        <f>IFERROR('Historical'!$J$20/'Historical'!$J$10,"")</f>
        <v/>
      </c>
      <c r="K32" s="18">
        <f>IFERROR('Historical'!$K$20/'Historical'!$K$10,"")</f>
        <v/>
      </c>
    </row>
    <row r="33">
      <c r="A33" s="6" t="inlineStr">
        <is>
          <t>FCF margin</t>
        </is>
      </c>
      <c r="B33" s="18">
        <f>IFERROR('Historical'!$B$42/'Historical'!$B$10,"")</f>
        <v/>
      </c>
      <c r="C33" s="18">
        <f>IFERROR('Historical'!$C$42/'Historical'!$C$10,"")</f>
        <v/>
      </c>
      <c r="D33" s="18">
        <f>IFERROR('Historical'!$D$42/'Historical'!$D$10,"")</f>
        <v/>
      </c>
      <c r="E33" s="18">
        <f>IFERROR('Historical'!$E$42/'Historical'!$E$10,"")</f>
        <v/>
      </c>
      <c r="F33" s="18">
        <f>IFERROR('Historical'!$F$42/'Historical'!$F$10,"")</f>
        <v/>
      </c>
      <c r="G33" s="18">
        <f>IFERROR('Historical'!$G$42/'Historical'!$G$10,"")</f>
        <v/>
      </c>
      <c r="H33" s="18">
        <f>IFERROR('Historical'!$H$42/'Historical'!$H$10,"")</f>
        <v/>
      </c>
      <c r="I33" s="18">
        <f>IFERROR('Historical'!$I$42/'Historical'!$I$10,"")</f>
        <v/>
      </c>
      <c r="J33" s="18">
        <f>IFERROR('Historical'!$J$42/'Historical'!$J$10,"")</f>
        <v/>
      </c>
      <c r="K33" s="18">
        <f>IFERROR('Historical'!$K$42/'Historical'!$K$10,"")</f>
        <v/>
      </c>
    </row>
    <row r="35" ht="20" customHeight="1">
      <c r="A35" s="5" t="inlineStr">
        <is>
          <t>Returns</t>
        </is>
      </c>
    </row>
    <row r="36">
      <c r="A36" s="6" t="inlineStr">
        <is>
          <t>ROE</t>
        </is>
      </c>
      <c r="B36" s="18" t="n"/>
      <c r="C36" s="18">
        <f>IFERROR('Historical'!$C$20/'Historical'!$C$48,"")</f>
        <v/>
      </c>
      <c r="D36" s="18">
        <f>IFERROR('Historical'!$D$20/'Historical'!$D$48,"")</f>
        <v/>
      </c>
      <c r="E36" s="18">
        <f>IFERROR('Historical'!$E$20/'Historical'!$E$48,"")</f>
        <v/>
      </c>
      <c r="F36" s="18">
        <f>IFERROR('Historical'!$F$20/'Historical'!$F$48,"")</f>
        <v/>
      </c>
      <c r="G36" s="18">
        <f>IFERROR('Historical'!$G$20/'Historical'!$G$48,"")</f>
        <v/>
      </c>
      <c r="H36" s="18">
        <f>IFERROR('Historical'!$H$20/'Historical'!$H$48,"")</f>
        <v/>
      </c>
      <c r="I36" s="18">
        <f>IFERROR('Historical'!$I$20/'Historical'!$I$48,"")</f>
        <v/>
      </c>
      <c r="J36" s="18">
        <f>IFERROR('Historical'!$J$20/'Historical'!$J$48,"")</f>
        <v/>
      </c>
      <c r="K36" s="18">
        <f>IFERROR('Historical'!$K$20/'Historical'!$K$48,"")</f>
        <v/>
      </c>
    </row>
    <row r="37">
      <c r="A37" s="6" t="inlineStr">
        <is>
          <t>ROA</t>
        </is>
      </c>
      <c r="B37" s="18" t="n"/>
      <c r="C37" s="18">
        <f>IFERROR('Historical'!$C$20/'Historical'!$C$49,"")</f>
        <v/>
      </c>
      <c r="D37" s="18">
        <f>IFERROR('Historical'!$D$20/'Historical'!$D$49,"")</f>
        <v/>
      </c>
      <c r="E37" s="18">
        <f>IFERROR('Historical'!$E$20/'Historical'!$E$49,"")</f>
        <v/>
      </c>
      <c r="F37" s="18">
        <f>IFERROR('Historical'!$F$20/'Historical'!$F$49,"")</f>
        <v/>
      </c>
      <c r="G37" s="18">
        <f>IFERROR('Historical'!$G$20/'Historical'!$G$49,"")</f>
        <v/>
      </c>
      <c r="H37" s="18">
        <f>IFERROR('Historical'!$H$20/'Historical'!$H$49,"")</f>
        <v/>
      </c>
      <c r="I37" s="18">
        <f>IFERROR('Historical'!$I$20/'Historical'!$I$49,"")</f>
        <v/>
      </c>
      <c r="J37" s="18">
        <f>IFERROR('Historical'!$J$20/'Historical'!$J$49,"")</f>
        <v/>
      </c>
      <c r="K37" s="18">
        <f>IFERROR('Historical'!$K$20/'Historical'!$K$49,"")</f>
        <v/>
      </c>
    </row>
    <row r="38">
      <c r="A38" s="6" t="inlineStr">
        <is>
          <t>ROIC</t>
        </is>
      </c>
      <c r="B38" s="18" t="n"/>
      <c r="C38" s="18">
        <f>IFERROR('Historical'!$C$16*(1-'Analysis'!$C$10)/'Historical'!$C$50,"")</f>
        <v/>
      </c>
      <c r="D38" s="18">
        <f>IFERROR('Historical'!$D$16*(1-'Analysis'!$D$10)/'Historical'!$D$50,"")</f>
        <v/>
      </c>
      <c r="E38" s="18">
        <f>IFERROR('Historical'!$E$16*(1-'Analysis'!$E$10)/'Historical'!$E$50,"")</f>
        <v/>
      </c>
      <c r="F38" s="18">
        <f>IFERROR('Historical'!$F$16*(1-'Analysis'!$F$10)/'Historical'!$F$50,"")</f>
        <v/>
      </c>
      <c r="G38" s="18">
        <f>IFERROR('Historical'!$G$16*(1-'Analysis'!$G$10)/'Historical'!$G$50,"")</f>
        <v/>
      </c>
      <c r="H38" s="18">
        <f>IFERROR('Historical'!$H$16*(1-'Analysis'!$H$10)/'Historical'!$H$50,"")</f>
        <v/>
      </c>
      <c r="I38" s="18">
        <f>IFERROR('Historical'!$I$16*(1-'Analysis'!$I$10)/'Historical'!$I$50,"")</f>
        <v/>
      </c>
      <c r="J38" s="18">
        <f>IFERROR('Historical'!$J$16*(1-'Analysis'!$J$10)/'Historical'!$J$50,"")</f>
        <v/>
      </c>
      <c r="K38" s="18">
        <f>IFERROR('Historical'!$K$16*(1-'Analysis'!$K$10)/'Historical'!$K$50,"")</f>
        <v/>
      </c>
    </row>
    <row r="40" ht="20" customHeight="1">
      <c r="A40" s="5" t="inlineStr">
        <is>
          <t>Efficiency, Liquidity &amp; Leverage</t>
        </is>
      </c>
    </row>
    <row r="41">
      <c r="A41" s="6" t="inlineStr">
        <is>
          <t>Asset turnover</t>
        </is>
      </c>
      <c r="B41" s="24" t="n"/>
      <c r="C41" s="24">
        <f>IFERROR('Historical'!$C$10/'Historical'!$C$49,"")</f>
        <v/>
      </c>
      <c r="D41" s="24">
        <f>IFERROR('Historical'!$D$10/'Historical'!$D$49,"")</f>
        <v/>
      </c>
      <c r="E41" s="24">
        <f>IFERROR('Historical'!$E$10/'Historical'!$E$49,"")</f>
        <v/>
      </c>
      <c r="F41" s="24">
        <f>IFERROR('Historical'!$F$10/'Historical'!$F$49,"")</f>
        <v/>
      </c>
      <c r="G41" s="24">
        <f>IFERROR('Historical'!$G$10/'Historical'!$G$49,"")</f>
        <v/>
      </c>
      <c r="H41" s="24">
        <f>IFERROR('Historical'!$H$10/'Historical'!$H$49,"")</f>
        <v/>
      </c>
      <c r="I41" s="24">
        <f>IFERROR('Historical'!$I$10/'Historical'!$I$49,"")</f>
        <v/>
      </c>
      <c r="J41" s="24">
        <f>IFERROR('Historical'!$J$10/'Historical'!$J$49,"")</f>
        <v/>
      </c>
      <c r="K41" s="24">
        <f>IFERROR('Historical'!$K$10/'Historical'!$K$49,"")</f>
        <v/>
      </c>
    </row>
    <row r="42">
      <c r="A42" s="6" t="inlineStr">
        <is>
          <t>Current ratio</t>
        </is>
      </c>
      <c r="B42" s="24">
        <f>IFERROR(('Historical'!$B$22+'Historical'!$B$23+'Historical'!$B$24+'Historical'!$B$25)/('Historical'!$B$31+'Historical'!$B$32+'Historical'!$B$34),"")</f>
        <v/>
      </c>
      <c r="C42" s="24">
        <f>IFERROR(('Historical'!$C$22+'Historical'!$C$23+'Historical'!$C$24+'Historical'!$C$25)/('Historical'!$C$31+'Historical'!$C$32+'Historical'!$C$34),"")</f>
        <v/>
      </c>
      <c r="D42" s="24">
        <f>IFERROR(('Historical'!$D$22+'Historical'!$D$23+'Historical'!$D$24+'Historical'!$D$25)/('Historical'!$D$31+'Historical'!$D$32+'Historical'!$D$34),"")</f>
        <v/>
      </c>
      <c r="E42" s="24">
        <f>IFERROR(('Historical'!$E$22+'Historical'!$E$23+'Historical'!$E$24+'Historical'!$E$25)/('Historical'!$E$31+'Historical'!$E$32+'Historical'!$E$34),"")</f>
        <v/>
      </c>
      <c r="F42" s="24">
        <f>IFERROR(('Historical'!$F$22+'Historical'!$F$23+'Historical'!$F$24+'Historical'!$F$25)/('Historical'!$F$31+'Historical'!$F$32+'Historical'!$F$34),"")</f>
        <v/>
      </c>
      <c r="G42" s="24">
        <f>IFERROR(('Historical'!$G$22+'Historical'!$G$23+'Historical'!$G$24+'Historical'!$G$25)/('Historical'!$G$31+'Historical'!$G$32+'Historical'!$G$34),"")</f>
        <v/>
      </c>
      <c r="H42" s="24">
        <f>IFERROR(('Historical'!$H$22+'Historical'!$H$23+'Historical'!$H$24+'Historical'!$H$25)/('Historical'!$H$31+'Historical'!$H$32+'Historical'!$H$34),"")</f>
        <v/>
      </c>
      <c r="I42" s="24">
        <f>IFERROR(('Historical'!$I$22+'Historical'!$I$23+'Historical'!$I$24+'Historical'!$I$25)/('Historical'!$I$31+'Historical'!$I$32+'Historical'!$I$34),"")</f>
        <v/>
      </c>
      <c r="J42" s="24">
        <f>IFERROR(('Historical'!$J$22+'Historical'!$J$23+'Historical'!$J$24+'Historical'!$J$25)/('Historical'!$J$31+'Historical'!$J$32+'Historical'!$J$34),"")</f>
        <v/>
      </c>
      <c r="K42" s="24">
        <f>IFERROR(('Historical'!$K$22+'Historical'!$K$23+'Historical'!$K$24+'Historical'!$K$25)/('Historical'!$K$31+'Historical'!$K$32+'Historical'!$K$34),"")</f>
        <v/>
      </c>
    </row>
    <row r="43">
      <c r="A43" s="6" t="inlineStr">
        <is>
          <t>Quick ratio</t>
        </is>
      </c>
      <c r="B43" s="24">
        <f>IFERROR(('Historical'!$B$22+'Historical'!$B$23+'Historical'!$B$25)/('Historical'!$B$31+'Historical'!$B$32+'Historical'!$B$34),"")</f>
        <v/>
      </c>
      <c r="C43" s="24">
        <f>IFERROR(('Historical'!$C$22+'Historical'!$C$23+'Historical'!$C$25)/('Historical'!$C$31+'Historical'!$C$32+'Historical'!$C$34),"")</f>
        <v/>
      </c>
      <c r="D43" s="24">
        <f>IFERROR(('Historical'!$D$22+'Historical'!$D$23+'Historical'!$D$25)/('Historical'!$D$31+'Historical'!$D$32+'Historical'!$D$34),"")</f>
        <v/>
      </c>
      <c r="E43" s="24">
        <f>IFERROR(('Historical'!$E$22+'Historical'!$E$23+'Historical'!$E$25)/('Historical'!$E$31+'Historical'!$E$32+'Historical'!$E$34),"")</f>
        <v/>
      </c>
      <c r="F43" s="24">
        <f>IFERROR(('Historical'!$F$22+'Historical'!$F$23+'Historical'!$F$25)/('Historical'!$F$31+'Historical'!$F$32+'Historical'!$F$34),"")</f>
        <v/>
      </c>
      <c r="G43" s="24">
        <f>IFERROR(('Historical'!$G$22+'Historical'!$G$23+'Historical'!$G$25)/('Historical'!$G$31+'Historical'!$G$32+'Historical'!$G$34),"")</f>
        <v/>
      </c>
      <c r="H43" s="24">
        <f>IFERROR(('Historical'!$H$22+'Historical'!$H$23+'Historical'!$H$25)/('Historical'!$H$31+'Historical'!$H$32+'Historical'!$H$34),"")</f>
        <v/>
      </c>
      <c r="I43" s="24">
        <f>IFERROR(('Historical'!$I$22+'Historical'!$I$23+'Historical'!$I$25)/('Historical'!$I$31+'Historical'!$I$32+'Historical'!$I$34),"")</f>
        <v/>
      </c>
      <c r="J43" s="24">
        <f>IFERROR(('Historical'!$J$22+'Historical'!$J$23+'Historical'!$J$25)/('Historical'!$J$31+'Historical'!$J$32+'Historical'!$J$34),"")</f>
        <v/>
      </c>
      <c r="K43" s="24">
        <f>IFERROR(('Historical'!$K$22+'Historical'!$K$23+'Historical'!$K$25)/('Historical'!$K$31+'Historical'!$K$32+'Historical'!$K$34),"")</f>
        <v/>
      </c>
    </row>
    <row r="44">
      <c r="A44" s="6" t="inlineStr">
        <is>
          <t>Debt / equity</t>
        </is>
      </c>
      <c r="B44" s="24">
        <f>IFERROR('Historical'!$B$44/'Historical'!$B$36,"")</f>
        <v/>
      </c>
      <c r="C44" s="24">
        <f>IFERROR('Historical'!$C$44/'Historical'!$C$36,"")</f>
        <v/>
      </c>
      <c r="D44" s="24">
        <f>IFERROR('Historical'!$D$44/'Historical'!$D$36,"")</f>
        <v/>
      </c>
      <c r="E44" s="24">
        <f>IFERROR('Historical'!$E$44/'Historical'!$E$36,"")</f>
        <v/>
      </c>
      <c r="F44" s="24">
        <f>IFERROR('Historical'!$F$44/'Historical'!$F$36,"")</f>
        <v/>
      </c>
      <c r="G44" s="24">
        <f>IFERROR('Historical'!$G$44/'Historical'!$G$36,"")</f>
        <v/>
      </c>
      <c r="H44" s="24">
        <f>IFERROR('Historical'!$H$44/'Historical'!$H$36,"")</f>
        <v/>
      </c>
      <c r="I44" s="24">
        <f>IFERROR('Historical'!$I$44/'Historical'!$I$36,"")</f>
        <v/>
      </c>
      <c r="J44" s="24">
        <f>IFERROR('Historical'!$J$44/'Historical'!$J$36,"")</f>
        <v/>
      </c>
      <c r="K44" s="24">
        <f>IFERROR('Historical'!$K$44/'Historical'!$K$36,"")</f>
        <v/>
      </c>
    </row>
    <row r="45">
      <c r="A45" s="6" t="inlineStr">
        <is>
          <t>Debt / EBITDA</t>
        </is>
      </c>
      <c r="B45" s="24">
        <f>IFERROR('Historical'!$B$44/'Historical'!$B$14,"")</f>
        <v/>
      </c>
      <c r="C45" s="24">
        <f>IFERROR('Historical'!$C$44/'Historical'!$C$14,"")</f>
        <v/>
      </c>
      <c r="D45" s="24">
        <f>IFERROR('Historical'!$D$44/'Historical'!$D$14,"")</f>
        <v/>
      </c>
      <c r="E45" s="24">
        <f>IFERROR('Historical'!$E$44/'Historical'!$E$14,"")</f>
        <v/>
      </c>
      <c r="F45" s="24">
        <f>IFERROR('Historical'!$F$44/'Historical'!$F$14,"")</f>
        <v/>
      </c>
      <c r="G45" s="24">
        <f>IFERROR('Historical'!$G$44/'Historical'!$G$14,"")</f>
        <v/>
      </c>
      <c r="H45" s="24">
        <f>IFERROR('Historical'!$H$44/'Historical'!$H$14,"")</f>
        <v/>
      </c>
      <c r="I45" s="24">
        <f>IFERROR('Historical'!$I$44/'Historical'!$I$14,"")</f>
        <v/>
      </c>
      <c r="J45" s="24">
        <f>IFERROR('Historical'!$J$44/'Historical'!$J$14,"")</f>
        <v/>
      </c>
      <c r="K45" s="24">
        <f>IFERROR('Historical'!$K$44/'Historical'!$K$14,"")</f>
        <v/>
      </c>
    </row>
    <row r="46">
      <c r="A46" s="6" t="inlineStr">
        <is>
          <t>Net debt / EBITDA</t>
        </is>
      </c>
      <c r="B46" s="24">
        <f>IFERROR('Historical'!$B$45/'Historical'!$B$14,"")</f>
        <v/>
      </c>
      <c r="C46" s="24">
        <f>IFERROR('Historical'!$C$45/'Historical'!$C$14,"")</f>
        <v/>
      </c>
      <c r="D46" s="24">
        <f>IFERROR('Historical'!$D$45/'Historical'!$D$14,"")</f>
        <v/>
      </c>
      <c r="E46" s="24">
        <f>IFERROR('Historical'!$E$45/'Historical'!$E$14,"")</f>
        <v/>
      </c>
      <c r="F46" s="24">
        <f>IFERROR('Historical'!$F$45/'Historical'!$F$14,"")</f>
        <v/>
      </c>
      <c r="G46" s="24">
        <f>IFERROR('Historical'!$G$45/'Historical'!$G$14,"")</f>
        <v/>
      </c>
      <c r="H46" s="24">
        <f>IFERROR('Historical'!$H$45/'Historical'!$H$14,"")</f>
        <v/>
      </c>
      <c r="I46" s="24">
        <f>IFERROR('Historical'!$I$45/'Historical'!$I$14,"")</f>
        <v/>
      </c>
      <c r="J46" s="24">
        <f>IFERROR('Historical'!$J$45/'Historical'!$J$14,"")</f>
        <v/>
      </c>
      <c r="K46" s="24">
        <f>IFERROR('Historical'!$K$45/'Historical'!$K$14,"")</f>
        <v/>
      </c>
    </row>
    <row r="47">
      <c r="A47" s="6" t="inlineStr">
        <is>
          <t>Interest coverage</t>
        </is>
      </c>
      <c r="B47" s="24">
        <f>IFERROR('Historical'!$B$16/'Historical'!$B$17,"")</f>
        <v/>
      </c>
      <c r="C47" s="24">
        <f>IFERROR('Historical'!$C$16/'Historical'!$C$17,"")</f>
        <v/>
      </c>
      <c r="D47" s="24">
        <f>IFERROR('Historical'!$D$16/'Historical'!$D$17,"")</f>
        <v/>
      </c>
      <c r="E47" s="24">
        <f>IFERROR('Historical'!$E$16/'Historical'!$E$17,"")</f>
        <v/>
      </c>
      <c r="F47" s="24">
        <f>IFERROR('Historical'!$F$16/'Historical'!$F$17,"")</f>
        <v/>
      </c>
      <c r="G47" s="24">
        <f>IFERROR('Historical'!$G$16/'Historical'!$G$17,"")</f>
        <v/>
      </c>
      <c r="H47" s="24">
        <f>IFERROR('Historical'!$H$16/'Historical'!$H$17,"")</f>
        <v/>
      </c>
      <c r="I47" s="24">
        <f>IFERROR('Historical'!$I$16/'Historical'!$I$17,"")</f>
        <v/>
      </c>
      <c r="J47" s="24">
        <f>IFERROR('Historical'!$J$16/'Historical'!$J$17,"")</f>
        <v/>
      </c>
      <c r="K47" s="24">
        <f>IFERROR('Historical'!$K$16/'Historical'!$K$17,"")</f>
        <v/>
      </c>
    </row>
    <row r="49" ht="20" customHeight="1">
      <c r="A49" s="5" t="inlineStr">
        <is>
          <t>Common Size (% of revenue)</t>
        </is>
      </c>
    </row>
    <row r="50">
      <c r="A50" s="6" t="inlineStr">
        <is>
          <t>Cogs</t>
        </is>
      </c>
      <c r="B50" s="18">
        <f>IFERROR('Historical'!$B$11/'Historical'!$B$10,"")</f>
        <v/>
      </c>
      <c r="C50" s="18">
        <f>IFERROR('Historical'!$C$11/'Historical'!$C$10,"")</f>
        <v/>
      </c>
      <c r="D50" s="18">
        <f>IFERROR('Historical'!$D$11/'Historical'!$D$10,"")</f>
        <v/>
      </c>
      <c r="E50" s="18">
        <f>IFERROR('Historical'!$E$11/'Historical'!$E$10,"")</f>
        <v/>
      </c>
      <c r="F50" s="18">
        <f>IFERROR('Historical'!$F$11/'Historical'!$F$10,"")</f>
        <v/>
      </c>
      <c r="G50" s="18">
        <f>IFERROR('Historical'!$G$11/'Historical'!$G$10,"")</f>
        <v/>
      </c>
      <c r="H50" s="18">
        <f>IFERROR('Historical'!$H$11/'Historical'!$H$10,"")</f>
        <v/>
      </c>
      <c r="I50" s="18">
        <f>IFERROR('Historical'!$I$11/'Historical'!$I$10,"")</f>
        <v/>
      </c>
      <c r="J50" s="18">
        <f>IFERROR('Historical'!$J$11/'Historical'!$J$10,"")</f>
        <v/>
      </c>
      <c r="K50" s="18">
        <f>IFERROR('Historical'!$K$11/'Historical'!$K$10,"")</f>
        <v/>
      </c>
    </row>
    <row r="51">
      <c r="A51" s="6" t="inlineStr">
        <is>
          <t>Gross Profit</t>
        </is>
      </c>
      <c r="B51" s="18">
        <f>IFERROR('Historical'!$B$12/'Historical'!$B$10,"")</f>
        <v/>
      </c>
      <c r="C51" s="18">
        <f>IFERROR('Historical'!$C$12/'Historical'!$C$10,"")</f>
        <v/>
      </c>
      <c r="D51" s="18">
        <f>IFERROR('Historical'!$D$12/'Historical'!$D$10,"")</f>
        <v/>
      </c>
      <c r="E51" s="18">
        <f>IFERROR('Historical'!$E$12/'Historical'!$E$10,"")</f>
        <v/>
      </c>
      <c r="F51" s="18">
        <f>IFERROR('Historical'!$F$12/'Historical'!$F$10,"")</f>
        <v/>
      </c>
      <c r="G51" s="18">
        <f>IFERROR('Historical'!$G$12/'Historical'!$G$10,"")</f>
        <v/>
      </c>
      <c r="H51" s="18">
        <f>IFERROR('Historical'!$H$12/'Historical'!$H$10,"")</f>
        <v/>
      </c>
      <c r="I51" s="18">
        <f>IFERROR('Historical'!$I$12/'Historical'!$I$10,"")</f>
        <v/>
      </c>
      <c r="J51" s="18">
        <f>IFERROR('Historical'!$J$12/'Historical'!$J$10,"")</f>
        <v/>
      </c>
      <c r="K51" s="18">
        <f>IFERROR('Historical'!$K$12/'Historical'!$K$10,"")</f>
        <v/>
      </c>
    </row>
    <row r="52">
      <c r="A52" s="6" t="inlineStr">
        <is>
          <t>Opex</t>
        </is>
      </c>
      <c r="B52" s="18">
        <f>IFERROR('Historical'!$B$13/'Historical'!$B$10,"")</f>
        <v/>
      </c>
      <c r="C52" s="18">
        <f>IFERROR('Historical'!$C$13/'Historical'!$C$10,"")</f>
        <v/>
      </c>
      <c r="D52" s="18">
        <f>IFERROR('Historical'!$D$13/'Historical'!$D$10,"")</f>
        <v/>
      </c>
      <c r="E52" s="18">
        <f>IFERROR('Historical'!$E$13/'Historical'!$E$10,"")</f>
        <v/>
      </c>
      <c r="F52" s="18">
        <f>IFERROR('Historical'!$F$13/'Historical'!$F$10,"")</f>
        <v/>
      </c>
      <c r="G52" s="18">
        <f>IFERROR('Historical'!$G$13/'Historical'!$G$10,"")</f>
        <v/>
      </c>
      <c r="H52" s="18">
        <f>IFERROR('Historical'!$H$13/'Historical'!$H$10,"")</f>
        <v/>
      </c>
      <c r="I52" s="18">
        <f>IFERROR('Historical'!$I$13/'Historical'!$I$10,"")</f>
        <v/>
      </c>
      <c r="J52" s="18">
        <f>IFERROR('Historical'!$J$13/'Historical'!$J$10,"")</f>
        <v/>
      </c>
      <c r="K52" s="18">
        <f>IFERROR('Historical'!$K$13/'Historical'!$K$10,"")</f>
        <v/>
      </c>
    </row>
    <row r="53">
      <c r="A53" s="6" t="inlineStr">
        <is>
          <t>Ebitda</t>
        </is>
      </c>
      <c r="B53" s="18">
        <f>IFERROR('Historical'!$B$14/'Historical'!$B$10,"")</f>
        <v/>
      </c>
      <c r="C53" s="18">
        <f>IFERROR('Historical'!$C$14/'Historical'!$C$10,"")</f>
        <v/>
      </c>
      <c r="D53" s="18">
        <f>IFERROR('Historical'!$D$14/'Historical'!$D$10,"")</f>
        <v/>
      </c>
      <c r="E53" s="18">
        <f>IFERROR('Historical'!$E$14/'Historical'!$E$10,"")</f>
        <v/>
      </c>
      <c r="F53" s="18">
        <f>IFERROR('Historical'!$F$14/'Historical'!$F$10,"")</f>
        <v/>
      </c>
      <c r="G53" s="18">
        <f>IFERROR('Historical'!$G$14/'Historical'!$G$10,"")</f>
        <v/>
      </c>
      <c r="H53" s="18">
        <f>IFERROR('Historical'!$H$14/'Historical'!$H$10,"")</f>
        <v/>
      </c>
      <c r="I53" s="18">
        <f>IFERROR('Historical'!$I$14/'Historical'!$I$10,"")</f>
        <v/>
      </c>
      <c r="J53" s="18">
        <f>IFERROR('Historical'!$J$14/'Historical'!$J$10,"")</f>
        <v/>
      </c>
      <c r="K53" s="18">
        <f>IFERROR('Historical'!$K$14/'Historical'!$K$10,"")</f>
        <v/>
      </c>
    </row>
    <row r="54">
      <c r="A54" s="6" t="inlineStr">
        <is>
          <t>Ebit</t>
        </is>
      </c>
      <c r="B54" s="18">
        <f>IFERROR('Historical'!$B$16/'Historical'!$B$10,"")</f>
        <v/>
      </c>
      <c r="C54" s="18">
        <f>IFERROR('Historical'!$C$16/'Historical'!$C$10,"")</f>
        <v/>
      </c>
      <c r="D54" s="18">
        <f>IFERROR('Historical'!$D$16/'Historical'!$D$10,"")</f>
        <v/>
      </c>
      <c r="E54" s="18">
        <f>IFERROR('Historical'!$E$16/'Historical'!$E$10,"")</f>
        <v/>
      </c>
      <c r="F54" s="18">
        <f>IFERROR('Historical'!$F$16/'Historical'!$F$10,"")</f>
        <v/>
      </c>
      <c r="G54" s="18">
        <f>IFERROR('Historical'!$G$16/'Historical'!$G$10,"")</f>
        <v/>
      </c>
      <c r="H54" s="18">
        <f>IFERROR('Historical'!$H$16/'Historical'!$H$10,"")</f>
        <v/>
      </c>
      <c r="I54" s="18">
        <f>IFERROR('Historical'!$I$16/'Historical'!$I$10,"")</f>
        <v/>
      </c>
      <c r="J54" s="18">
        <f>IFERROR('Historical'!$J$16/'Historical'!$J$10,"")</f>
        <v/>
      </c>
      <c r="K54" s="18">
        <f>IFERROR('Historical'!$K$16/'Historical'!$K$10,"")</f>
        <v/>
      </c>
    </row>
    <row r="55">
      <c r="A55" s="6" t="inlineStr">
        <is>
          <t>Net Income</t>
        </is>
      </c>
      <c r="B55" s="18">
        <f>IFERROR('Historical'!$B$20/'Historical'!$B$10,"")</f>
        <v/>
      </c>
      <c r="C55" s="18">
        <f>IFERROR('Historical'!$C$20/'Historical'!$C$10,"")</f>
        <v/>
      </c>
      <c r="D55" s="18">
        <f>IFERROR('Historical'!$D$20/'Historical'!$D$10,"")</f>
        <v/>
      </c>
      <c r="E55" s="18">
        <f>IFERROR('Historical'!$E$20/'Historical'!$E$10,"")</f>
        <v/>
      </c>
      <c r="F55" s="18">
        <f>IFERROR('Historical'!$F$20/'Historical'!$F$10,"")</f>
        <v/>
      </c>
      <c r="G55" s="18">
        <f>IFERROR('Historical'!$G$20/'Historical'!$G$10,"")</f>
        <v/>
      </c>
      <c r="H55" s="18">
        <f>IFERROR('Historical'!$H$20/'Historical'!$H$10,"")</f>
        <v/>
      </c>
      <c r="I55" s="18">
        <f>IFERROR('Historical'!$I$20/'Historical'!$I$10,"")</f>
        <v/>
      </c>
      <c r="J55" s="18">
        <f>IFERROR('Historical'!$J$20/'Historical'!$J$10,"")</f>
        <v/>
      </c>
      <c r="K55" s="18">
        <f>IFERROR('Historical'!$K$20/'Historical'!$K$10,"")</f>
        <v/>
      </c>
    </row>
    <row r="57" ht="20" customHeight="1">
      <c r="A57" s="5" t="inlineStr">
        <is>
          <t>Trend Index (first year = 100)</t>
        </is>
      </c>
    </row>
    <row r="58">
      <c r="A58" s="6" t="inlineStr">
        <is>
          <t>Revenue index</t>
        </is>
      </c>
      <c r="B58" s="25">
        <f>IFERROR('Historical'!$B$10/'Historical'!$B$10*100,"")</f>
        <v/>
      </c>
      <c r="C58" s="25">
        <f>IFERROR('Historical'!$C$10/'Historical'!$B$10*100,"")</f>
        <v/>
      </c>
      <c r="D58" s="25">
        <f>IFERROR('Historical'!$D$10/'Historical'!$B$10*100,"")</f>
        <v/>
      </c>
      <c r="E58" s="25">
        <f>IFERROR('Historical'!$E$10/'Historical'!$B$10*100,"")</f>
        <v/>
      </c>
      <c r="F58" s="25">
        <f>IFERROR('Historical'!$F$10/'Historical'!$B$10*100,"")</f>
        <v/>
      </c>
      <c r="G58" s="25">
        <f>IFERROR('Historical'!$G$10/'Historical'!$B$10*100,"")</f>
        <v/>
      </c>
      <c r="H58" s="25">
        <f>IFERROR('Historical'!$H$10/'Historical'!$B$10*100,"")</f>
        <v/>
      </c>
      <c r="I58" s="25">
        <f>IFERROR('Historical'!$I$10/'Historical'!$B$10*100,"")</f>
        <v/>
      </c>
      <c r="J58" s="25">
        <f>IFERROR('Historical'!$J$10/'Historical'!$B$10*100,"")</f>
        <v/>
      </c>
      <c r="K58" s="25">
        <f>IFERROR('Historical'!$K$10/'Historical'!$B$10*100,"")</f>
        <v/>
      </c>
    </row>
    <row r="59">
      <c r="A59" s="6" t="inlineStr">
        <is>
          <t>EBITDA index</t>
        </is>
      </c>
      <c r="B59" s="25">
        <f>IFERROR('Historical'!$B$14/'Historical'!$B$14*100,"")</f>
        <v/>
      </c>
      <c r="C59" s="25">
        <f>IFERROR('Historical'!$C$14/'Historical'!$B$14*100,"")</f>
        <v/>
      </c>
      <c r="D59" s="25">
        <f>IFERROR('Historical'!$D$14/'Historical'!$B$14*100,"")</f>
        <v/>
      </c>
      <c r="E59" s="25">
        <f>IFERROR('Historical'!$E$14/'Historical'!$B$14*100,"")</f>
        <v/>
      </c>
      <c r="F59" s="25">
        <f>IFERROR('Historical'!$F$14/'Historical'!$B$14*100,"")</f>
        <v/>
      </c>
      <c r="G59" s="25">
        <f>IFERROR('Historical'!$G$14/'Historical'!$B$14*100,"")</f>
        <v/>
      </c>
      <c r="H59" s="25">
        <f>IFERROR('Historical'!$H$14/'Historical'!$B$14*100,"")</f>
        <v/>
      </c>
      <c r="I59" s="25">
        <f>IFERROR('Historical'!$I$14/'Historical'!$B$14*100,"")</f>
        <v/>
      </c>
      <c r="J59" s="25">
        <f>IFERROR('Historical'!$J$14/'Historical'!$B$14*100,"")</f>
        <v/>
      </c>
      <c r="K59" s="25">
        <f>IFERROR('Historical'!$K$14/'Historical'!$B$14*100,"")</f>
        <v/>
      </c>
    </row>
    <row r="60">
      <c r="A60" s="6" t="inlineStr">
        <is>
          <t>Net income index</t>
        </is>
      </c>
      <c r="B60" s="25">
        <f>IFERROR('Historical'!$B$20/'Historical'!$B$20*100,"")</f>
        <v/>
      </c>
      <c r="C60" s="25">
        <f>IFERROR('Historical'!$C$20/'Historical'!$B$20*100,"")</f>
        <v/>
      </c>
      <c r="D60" s="25">
        <f>IFERROR('Historical'!$D$20/'Historical'!$B$20*100,"")</f>
        <v/>
      </c>
      <c r="E60" s="25">
        <f>IFERROR('Historical'!$E$20/'Historical'!$B$20*100,"")</f>
        <v/>
      </c>
      <c r="F60" s="25">
        <f>IFERROR('Historical'!$F$20/'Historical'!$B$20*100,"")</f>
        <v/>
      </c>
      <c r="G60" s="25">
        <f>IFERROR('Historical'!$G$20/'Historical'!$B$20*100,"")</f>
        <v/>
      </c>
      <c r="H60" s="25">
        <f>IFERROR('Historical'!$H$20/'Historical'!$B$20*100,"")</f>
        <v/>
      </c>
      <c r="I60" s="25">
        <f>IFERROR('Historical'!$I$20/'Historical'!$B$20*100,"")</f>
        <v/>
      </c>
      <c r="J60" s="25">
        <f>IFERROR('Historical'!$J$20/'Historical'!$B$20*100,"")</f>
        <v/>
      </c>
      <c r="K60" s="25">
        <f>IFERROR('Historical'!$K$20/'Historical'!$B$20*100,"")</f>
        <v/>
      </c>
    </row>
  </sheetData>
  <mergeCells count="11">
    <mergeCell ref="A35:K35"/>
    <mergeCell ref="A3:K3"/>
    <mergeCell ref="A21:K21"/>
    <mergeCell ref="A7:K7"/>
    <mergeCell ref="A57:K57"/>
    <mergeCell ref="A2:K2"/>
    <mergeCell ref="A49:K49"/>
    <mergeCell ref="A28:K28"/>
    <mergeCell ref="A1:K1"/>
    <mergeCell ref="A40:K40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K6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8" customHeight="1">
      <c r="A1" s="1" t="inlineStr">
        <is>
          <t>ASSUMPTION CENTER</t>
        </is>
      </c>
    </row>
    <row r="2">
      <c r="A2" s="2" t="inlineStr">
        <is>
          <t>Drivers, scenarios and the forecast-method engine — everything flows from here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Forecast Controls</t>
        </is>
      </c>
    </row>
    <row r="8">
      <c r="A8" s="19" t="inlineStr">
        <is>
          <t>Forecast method</t>
        </is>
      </c>
      <c r="B8" s="7" t="inlineStr">
        <is>
          <t>Hybrid Forecast</t>
        </is>
      </c>
      <c r="C8" s="8" t="n"/>
      <c r="D8" s="9" t="n"/>
      <c r="E8" s="26" t="n">
        <v>3</v>
      </c>
      <c r="F8" s="27" t="inlineStr">
        <is>
          <t>← method # (1=Trend, 2=Manual, 3=Hybrid)</t>
        </is>
      </c>
    </row>
    <row r="9">
      <c r="A9" s="19" t="inlineStr">
        <is>
          <t>Scenario</t>
        </is>
      </c>
      <c r="B9" s="7" t="inlineStr">
        <is>
          <t>Base</t>
        </is>
      </c>
      <c r="C9" s="8" t="n"/>
      <c r="D9" s="9" t="n"/>
      <c r="E9" s="26" t="n">
        <v>2</v>
      </c>
      <c r="F9" s="27" t="inlineStr">
        <is>
          <t>← scenario # (1=Bear, 2=Base, 3=Bull)</t>
        </is>
      </c>
    </row>
    <row r="10">
      <c r="A10" s="6" t="inlineStr">
        <is>
          <t>Forecast horizon (years)</t>
        </is>
      </c>
      <c r="B10" s="25" t="n">
        <v>10</v>
      </c>
    </row>
    <row r="12" ht="20" customHeight="1">
      <c r="A12" s="5" t="inlineStr">
        <is>
          <t>Historical Reference — Averages (from Analysis)</t>
        </is>
      </c>
    </row>
    <row r="13">
      <c r="A13" s="14" t="inlineStr">
        <is>
          <t>Driver</t>
        </is>
      </c>
      <c r="B13" s="16" t="inlineStr">
        <is>
          <t>3-Year</t>
        </is>
      </c>
      <c r="C13" s="16" t="inlineStr">
        <is>
          <t>5-Year</t>
        </is>
      </c>
      <c r="D13" s="16" t="inlineStr">
        <is>
          <t>10-Year</t>
        </is>
      </c>
    </row>
    <row r="14">
      <c r="A14" s="6" t="inlineStr">
        <is>
          <t>Revenue growth %</t>
        </is>
      </c>
      <c r="B14" s="18">
        <f>IFERROR(AVERAGE('Analysis'!$I$22:$K$22),"")</f>
        <v/>
      </c>
      <c r="C14" s="18">
        <f>IFERROR(AVERAGE('Analysis'!$G$22:$K$22),"")</f>
        <v/>
      </c>
      <c r="D14" s="18">
        <f>IFERROR(AVERAGE('Analysis'!$B$22:$K$22),"")</f>
        <v/>
      </c>
    </row>
    <row r="15">
      <c r="A15" s="6" t="inlineStr">
        <is>
          <t>Gross margin %</t>
        </is>
      </c>
      <c r="B15" s="18">
        <f>IFERROR(AVERAGE('Analysis'!$I$29:$K$29),"")</f>
        <v/>
      </c>
      <c r="C15" s="18">
        <f>IFERROR(AVERAGE('Analysis'!$G$29:$K$29),"")</f>
        <v/>
      </c>
      <c r="D15" s="18">
        <f>IFERROR(AVERAGE('Analysis'!$B$29:$K$29),"")</f>
        <v/>
      </c>
    </row>
    <row r="16">
      <c r="A16" s="6" t="inlineStr">
        <is>
          <t>EBITDA margin %</t>
        </is>
      </c>
      <c r="B16" s="18">
        <f>IFERROR(AVERAGE('Analysis'!$I$30:$K$30),"")</f>
        <v/>
      </c>
      <c r="C16" s="18">
        <f>IFERROR(AVERAGE('Analysis'!$G$30:$K$30),"")</f>
        <v/>
      </c>
      <c r="D16" s="18">
        <f>IFERROR(AVERAGE('Analysis'!$B$30:$K$30),"")</f>
        <v/>
      </c>
    </row>
    <row r="17">
      <c r="A17" s="6" t="inlineStr">
        <is>
          <t>Tax rate %</t>
        </is>
      </c>
      <c r="B17" s="18">
        <f>IFERROR(AVERAGE('Analysis'!$I$10:$K$10),"")</f>
        <v/>
      </c>
      <c r="C17" s="18">
        <f>IFERROR(AVERAGE('Analysis'!$G$10:$K$10),"")</f>
        <v/>
      </c>
      <c r="D17" s="18">
        <f>IFERROR(AVERAGE('Analysis'!$B$10:$K$10),"")</f>
        <v/>
      </c>
    </row>
    <row r="18">
      <c r="A18" s="6" t="inlineStr">
        <is>
          <t>Receivable days</t>
        </is>
      </c>
      <c r="B18" s="23">
        <f>IFERROR(AVERAGE('Analysis'!$I$17:$K$17),"")</f>
        <v/>
      </c>
      <c r="C18" s="23">
        <f>IFERROR(AVERAGE('Analysis'!$G$17:$K$17),"")</f>
        <v/>
      </c>
      <c r="D18" s="23">
        <f>IFERROR(AVERAGE('Analysis'!$B$17:$K$17),"")</f>
        <v/>
      </c>
    </row>
    <row r="19">
      <c r="A19" s="6" t="inlineStr">
        <is>
          <t>Inventory days</t>
        </is>
      </c>
      <c r="B19" s="23">
        <f>IFERROR(AVERAGE('Analysis'!$I$18:$K$18),"")</f>
        <v/>
      </c>
      <c r="C19" s="23">
        <f>IFERROR(AVERAGE('Analysis'!$G$18:$K$18),"")</f>
        <v/>
      </c>
      <c r="D19" s="23">
        <f>IFERROR(AVERAGE('Analysis'!$B$18:$K$18),"")</f>
        <v/>
      </c>
    </row>
    <row r="20">
      <c r="A20" s="6" t="inlineStr">
        <is>
          <t>Payable days</t>
        </is>
      </c>
      <c r="B20" s="23">
        <f>IFERROR(AVERAGE('Analysis'!$I$19:$K$19),"")</f>
        <v/>
      </c>
      <c r="C20" s="23">
        <f>IFERROR(AVERAGE('Analysis'!$G$19:$K$19),"")</f>
        <v/>
      </c>
      <c r="D20" s="23">
        <f>IFERROR(AVERAGE('Analysis'!$B$19:$K$19),"")</f>
        <v/>
      </c>
    </row>
    <row r="21">
      <c r="A21" s="6" t="inlineStr">
        <is>
          <t>Capex % revenue</t>
        </is>
      </c>
      <c r="B21" s="18">
        <f>IFERROR(AVERAGE('Analysis'!$I$11:$K$11),"")</f>
        <v/>
      </c>
      <c r="C21" s="18">
        <f>IFERROR(AVERAGE('Analysis'!$G$11:$K$11),"")</f>
        <v/>
      </c>
      <c r="D21" s="18">
        <f>IFERROR(AVERAGE('Analysis'!$B$11:$K$11),"")</f>
        <v/>
      </c>
    </row>
    <row r="22">
      <c r="A22" s="6" t="inlineStr">
        <is>
          <t>D&amp;A % revenue</t>
        </is>
      </c>
      <c r="B22" s="18">
        <f>IFERROR(AVERAGE('Analysis'!$I$12:$K$12),"")</f>
        <v/>
      </c>
      <c r="C22" s="18">
        <f>IFERROR(AVERAGE('Analysis'!$G$12:$K$12),"")</f>
        <v/>
      </c>
      <c r="D22" s="18">
        <f>IFERROR(AVERAGE('Analysis'!$B$12:$K$12),"")</f>
        <v/>
      </c>
    </row>
    <row r="23">
      <c r="A23" s="6" t="inlineStr">
        <is>
          <t>Cash % revenue</t>
        </is>
      </c>
      <c r="B23" s="18">
        <f>IFERROR(AVERAGE('Analysis'!$I$13:$K$13),"")</f>
        <v/>
      </c>
      <c r="C23" s="18">
        <f>IFERROR(AVERAGE('Analysis'!$G$13:$K$13),"")</f>
        <v/>
      </c>
      <c r="D23" s="18">
        <f>IFERROR(AVERAGE('Analysis'!$B$13:$K$13),"")</f>
        <v/>
      </c>
    </row>
    <row r="24">
      <c r="A24" s="6" t="inlineStr">
        <is>
          <t>Other assets % revenue</t>
        </is>
      </c>
      <c r="B24" s="18">
        <f>IFERROR(AVERAGE('Analysis'!$I$14:$K$14),"")</f>
        <v/>
      </c>
      <c r="C24" s="18">
        <f>IFERROR(AVERAGE('Analysis'!$G$14:$K$14),"")</f>
        <v/>
      </c>
      <c r="D24" s="18">
        <f>IFERROR(AVERAGE('Analysis'!$B$14:$K$14),"")</f>
        <v/>
      </c>
    </row>
    <row r="25">
      <c r="A25" s="6" t="inlineStr">
        <is>
          <t>Other liabilities % revenue</t>
        </is>
      </c>
      <c r="B25" s="18">
        <f>IFERROR(AVERAGE('Analysis'!$I$15:$K$15),"")</f>
        <v/>
      </c>
      <c r="C25" s="18">
        <f>IFERROR(AVERAGE('Analysis'!$G$15:$K$15),"")</f>
        <v/>
      </c>
      <c r="D25" s="18">
        <f>IFERROR(AVERAGE('Analysis'!$B$15:$K$15),"")</f>
        <v/>
      </c>
    </row>
    <row r="26">
      <c r="A26" s="6" t="inlineStr">
        <is>
          <t>Interest rate %</t>
        </is>
      </c>
      <c r="B26" s="18">
        <f>IFERROR(AVERAGE('Analysis'!$I$16:$K$16),"")</f>
        <v/>
      </c>
      <c r="C26" s="18">
        <f>IFERROR(AVERAGE('Analysis'!$G$16:$K$16),"")</f>
        <v/>
      </c>
      <c r="D26" s="18">
        <f>IFERROR(AVERAGE('Analysis'!$B$16:$K$16),"")</f>
        <v/>
      </c>
    </row>
    <row r="28" ht="20" customHeight="1">
      <c r="A28" s="5" t="inlineStr">
        <is>
          <t>Manual Assumptions by Scenario  (blue = input)</t>
        </is>
      </c>
    </row>
    <row r="29">
      <c r="A29" s="14" t="inlineStr">
        <is>
          <t>Driver</t>
        </is>
      </c>
      <c r="B29" s="16" t="inlineStr">
        <is>
          <t>Bear</t>
        </is>
      </c>
      <c r="C29" s="16" t="inlineStr">
        <is>
          <t>Base</t>
        </is>
      </c>
      <c r="D29" s="16" t="inlineStr">
        <is>
          <t>Bull</t>
        </is>
      </c>
      <c r="E29" s="16" t="inlineStr">
        <is>
          <t>Selected</t>
        </is>
      </c>
    </row>
    <row r="30">
      <c r="A30" s="6" t="inlineStr">
        <is>
          <t>Revenue growth %</t>
        </is>
      </c>
      <c r="B30" s="28" t="n"/>
      <c r="C30" s="28" t="n"/>
      <c r="D30" s="28" t="n"/>
      <c r="E30" s="18">
        <f>CHOOSE(Scenario,'Assumptions'!$B$30,'Assumptions'!$C$30,'Assumptions'!$D$30)</f>
        <v/>
      </c>
    </row>
    <row r="31">
      <c r="A31" s="6" t="inlineStr">
        <is>
          <t>Gross margin %</t>
        </is>
      </c>
      <c r="B31" s="28" t="n"/>
      <c r="C31" s="28" t="n"/>
      <c r="D31" s="28" t="n"/>
      <c r="E31" s="18">
        <f>CHOOSE(Scenario,'Assumptions'!$B$31,'Assumptions'!$C$31,'Assumptions'!$D$31)</f>
        <v/>
      </c>
    </row>
    <row r="32">
      <c r="A32" s="6" t="inlineStr">
        <is>
          <t>EBITDA margin %</t>
        </is>
      </c>
      <c r="B32" s="28" t="n"/>
      <c r="C32" s="28" t="n"/>
      <c r="D32" s="28" t="n"/>
      <c r="E32" s="18">
        <f>CHOOSE(Scenario,'Assumptions'!$B$32,'Assumptions'!$C$32,'Assumptions'!$D$32)</f>
        <v/>
      </c>
    </row>
    <row r="33">
      <c r="A33" s="6" t="inlineStr">
        <is>
          <t>Tax rate %</t>
        </is>
      </c>
      <c r="B33" s="28" t="n"/>
      <c r="C33" s="28" t="n"/>
      <c r="D33" s="28" t="n"/>
      <c r="E33" s="18">
        <f>CHOOSE(Scenario,'Assumptions'!$B$33,'Assumptions'!$C$33,'Assumptions'!$D$33)</f>
        <v/>
      </c>
    </row>
    <row r="34">
      <c r="A34" s="6" t="inlineStr">
        <is>
          <t>Receivable days</t>
        </is>
      </c>
      <c r="B34" s="29" t="n"/>
      <c r="C34" s="29" t="n"/>
      <c r="D34" s="29" t="n"/>
      <c r="E34" s="23">
        <f>CHOOSE(Scenario,'Assumptions'!$B$34,'Assumptions'!$C$34,'Assumptions'!$D$34)</f>
        <v/>
      </c>
    </row>
    <row r="35">
      <c r="A35" s="6" t="inlineStr">
        <is>
          <t>Inventory days</t>
        </is>
      </c>
      <c r="B35" s="29" t="n"/>
      <c r="C35" s="29" t="n"/>
      <c r="D35" s="29" t="n"/>
      <c r="E35" s="23">
        <f>CHOOSE(Scenario,'Assumptions'!$B$35,'Assumptions'!$C$35,'Assumptions'!$D$35)</f>
        <v/>
      </c>
    </row>
    <row r="36">
      <c r="A36" s="6" t="inlineStr">
        <is>
          <t>Payable days</t>
        </is>
      </c>
      <c r="B36" s="29" t="n"/>
      <c r="C36" s="29" t="n"/>
      <c r="D36" s="29" t="n"/>
      <c r="E36" s="23">
        <f>CHOOSE(Scenario,'Assumptions'!$B$36,'Assumptions'!$C$36,'Assumptions'!$D$36)</f>
        <v/>
      </c>
    </row>
    <row r="37">
      <c r="A37" s="6" t="inlineStr">
        <is>
          <t>Capex % revenue</t>
        </is>
      </c>
      <c r="B37" s="28" t="n"/>
      <c r="C37" s="28" t="n"/>
      <c r="D37" s="28" t="n"/>
      <c r="E37" s="18">
        <f>CHOOSE(Scenario,'Assumptions'!$B$37,'Assumptions'!$C$37,'Assumptions'!$D$37)</f>
        <v/>
      </c>
    </row>
    <row r="38">
      <c r="A38" s="6" t="inlineStr">
        <is>
          <t>D&amp;A % revenue</t>
        </is>
      </c>
      <c r="B38" s="28" t="n"/>
      <c r="C38" s="28" t="n"/>
      <c r="D38" s="28" t="n"/>
      <c r="E38" s="18">
        <f>CHOOSE(Scenario,'Assumptions'!$B$38,'Assumptions'!$C$38,'Assumptions'!$D$38)</f>
        <v/>
      </c>
    </row>
    <row r="39">
      <c r="A39" s="6" t="inlineStr">
        <is>
          <t>Cash % revenue</t>
        </is>
      </c>
      <c r="B39" s="28" t="n"/>
      <c r="C39" s="28" t="n"/>
      <c r="D39" s="28" t="n"/>
      <c r="E39" s="18">
        <f>CHOOSE(Scenario,'Assumptions'!$B$39,'Assumptions'!$C$39,'Assumptions'!$D$39)</f>
        <v/>
      </c>
    </row>
    <row r="40">
      <c r="A40" s="6" t="inlineStr">
        <is>
          <t>Other assets % revenue</t>
        </is>
      </c>
      <c r="B40" s="28" t="n"/>
      <c r="C40" s="28" t="n"/>
      <c r="D40" s="28" t="n"/>
      <c r="E40" s="18">
        <f>CHOOSE(Scenario,'Assumptions'!$B$40,'Assumptions'!$C$40,'Assumptions'!$D$40)</f>
        <v/>
      </c>
    </row>
    <row r="41">
      <c r="A41" s="6" t="inlineStr">
        <is>
          <t>Other liabilities % revenue</t>
        </is>
      </c>
      <c r="B41" s="28" t="n"/>
      <c r="C41" s="28" t="n"/>
      <c r="D41" s="28" t="n"/>
      <c r="E41" s="18">
        <f>CHOOSE(Scenario,'Assumptions'!$B$41,'Assumptions'!$C$41,'Assumptions'!$D$41)</f>
        <v/>
      </c>
    </row>
    <row r="42">
      <c r="A42" s="6" t="inlineStr">
        <is>
          <t>Interest rate %</t>
        </is>
      </c>
      <c r="B42" s="28" t="n"/>
      <c r="C42" s="28" t="n"/>
      <c r="D42" s="28" t="n"/>
      <c r="E42" s="18">
        <f>CHOOSE(Scenario,'Assumptions'!$B$42,'Assumptions'!$C$42,'Assumptions'!$D$42)</f>
        <v/>
      </c>
    </row>
    <row r="43">
      <c r="A43" s="6" t="inlineStr">
        <is>
          <t>Dividend payout %</t>
        </is>
      </c>
      <c r="B43" s="28" t="n"/>
      <c r="C43" s="28" t="n"/>
      <c r="D43" s="28" t="n"/>
      <c r="E43" s="18">
        <f>CHOOSE(Scenario,'Assumptions'!$B$43,'Assumptions'!$C$43,'Assumptions'!$D$43)</f>
        <v/>
      </c>
    </row>
    <row r="44">
      <c r="A44" s="6" t="inlineStr">
        <is>
          <t>Debt repayment % (of LT debt)</t>
        </is>
      </c>
      <c r="B44" s="28" t="n"/>
      <c r="C44" s="28" t="n"/>
      <c r="D44" s="28" t="n"/>
      <c r="E44" s="18">
        <f>CHOOSE(Scenario,'Assumptions'!$B$44,'Assumptions'!$C$44,'Assumptions'!$D$44)</f>
        <v/>
      </c>
    </row>
    <row r="45">
      <c r="A45" s="6" t="inlineStr">
        <is>
          <t>New debt raised (amount/yr)</t>
        </is>
      </c>
      <c r="B45" s="20" t="n"/>
      <c r="C45" s="20" t="n"/>
      <c r="D45" s="20" t="n"/>
      <c r="E45" s="17">
        <f>CHOOSE(Scenario,'Assumptions'!$B$45,'Assumptions'!$C$45,'Assumptions'!$D$45)</f>
        <v/>
      </c>
    </row>
    <row r="46">
      <c r="A46" s="6" t="inlineStr">
        <is>
          <t>Yield on cash %</t>
        </is>
      </c>
      <c r="B46" s="28" t="n"/>
      <c r="C46" s="28" t="n"/>
      <c r="D46" s="28" t="n"/>
      <c r="E46" s="18">
        <f>CHOOSE(Scenario,'Assumptions'!$B$46,'Assumptions'!$C$46,'Assumptions'!$D$46)</f>
        <v/>
      </c>
    </row>
    <row r="48" ht="20" customHeight="1">
      <c r="A48" s="5" t="inlineStr">
        <is>
          <t>Active Forecast Drivers  (resolved by Method × Scenario)</t>
        </is>
      </c>
    </row>
    <row r="49">
      <c r="A49" s="14" t="inlineStr">
        <is>
          <t>Driver</t>
        </is>
      </c>
      <c r="B49" s="16" t="inlineStr">
        <is>
          <t>FY2025</t>
        </is>
      </c>
      <c r="C49" s="16" t="inlineStr">
        <is>
          <t>FY2026</t>
        </is>
      </c>
      <c r="D49" s="16" t="inlineStr">
        <is>
          <t>FY2027</t>
        </is>
      </c>
      <c r="E49" s="16" t="inlineStr">
        <is>
          <t>FY2028</t>
        </is>
      </c>
      <c r="F49" s="16" t="inlineStr">
        <is>
          <t>FY2029</t>
        </is>
      </c>
      <c r="G49" s="16" t="inlineStr">
        <is>
          <t>FY2030</t>
        </is>
      </c>
      <c r="H49" s="16" t="inlineStr">
        <is>
          <t>FY2031</t>
        </is>
      </c>
      <c r="I49" s="16" t="inlineStr">
        <is>
          <t>FY2032</t>
        </is>
      </c>
      <c r="J49" s="16" t="inlineStr">
        <is>
          <t>FY2033</t>
        </is>
      </c>
      <c r="K49" s="16" t="inlineStr">
        <is>
          <t>FY2034</t>
        </is>
      </c>
    </row>
    <row r="50">
      <c r="A50" s="6" t="inlineStr">
        <is>
          <t>Revenue growth %</t>
        </is>
      </c>
      <c r="B50" s="30">
        <f>IF(ISNUMBER('Assumptions'!$C$14),CHOOSE(Method,'Assumptions'!$C$14,'Assumptions'!$E$30,'Assumptions'!$C$14+('Assumptions'!$E$30-'Assumptions'!$C$14)*0.1000),'Assumptions'!$E$30)</f>
        <v/>
      </c>
      <c r="C50" s="30">
        <f>IF(ISNUMBER('Assumptions'!$C$14),CHOOSE(Method,'Assumptions'!$C$14,'Assumptions'!$E$30,'Assumptions'!$C$14+('Assumptions'!$E$30-'Assumptions'!$C$14)*0.2000),'Assumptions'!$E$30)</f>
        <v/>
      </c>
      <c r="D50" s="30">
        <f>IF(ISNUMBER('Assumptions'!$C$14),CHOOSE(Method,'Assumptions'!$C$14,'Assumptions'!$E$30,'Assumptions'!$C$14+('Assumptions'!$E$30-'Assumptions'!$C$14)*0.3000),'Assumptions'!$E$30)</f>
        <v/>
      </c>
      <c r="E50" s="30">
        <f>IF(ISNUMBER('Assumptions'!$C$14),CHOOSE(Method,'Assumptions'!$C$14,'Assumptions'!$E$30,'Assumptions'!$C$14+('Assumptions'!$E$30-'Assumptions'!$C$14)*0.4000),'Assumptions'!$E$30)</f>
        <v/>
      </c>
      <c r="F50" s="30">
        <f>IF(ISNUMBER('Assumptions'!$C$14),CHOOSE(Method,'Assumptions'!$C$14,'Assumptions'!$E$30,'Assumptions'!$C$14+('Assumptions'!$E$30-'Assumptions'!$C$14)*0.5000),'Assumptions'!$E$30)</f>
        <v/>
      </c>
      <c r="G50" s="30">
        <f>IF(ISNUMBER('Assumptions'!$C$14),CHOOSE(Method,'Assumptions'!$C$14,'Assumptions'!$E$30,'Assumptions'!$C$14+('Assumptions'!$E$30-'Assumptions'!$C$14)*0.6000),'Assumptions'!$E$30)</f>
        <v/>
      </c>
      <c r="H50" s="30">
        <f>IF(ISNUMBER('Assumptions'!$C$14),CHOOSE(Method,'Assumptions'!$C$14,'Assumptions'!$E$30,'Assumptions'!$C$14+('Assumptions'!$E$30-'Assumptions'!$C$14)*0.7000),'Assumptions'!$E$30)</f>
        <v/>
      </c>
      <c r="I50" s="30">
        <f>IF(ISNUMBER('Assumptions'!$C$14),CHOOSE(Method,'Assumptions'!$C$14,'Assumptions'!$E$30,'Assumptions'!$C$14+('Assumptions'!$E$30-'Assumptions'!$C$14)*0.8000),'Assumptions'!$E$30)</f>
        <v/>
      </c>
      <c r="J50" s="30">
        <f>IF(ISNUMBER('Assumptions'!$C$14),CHOOSE(Method,'Assumptions'!$C$14,'Assumptions'!$E$30,'Assumptions'!$C$14+('Assumptions'!$E$30-'Assumptions'!$C$14)*0.9000),'Assumptions'!$E$30)</f>
        <v/>
      </c>
      <c r="K50" s="30">
        <f>IF(ISNUMBER('Assumptions'!$C$14),CHOOSE(Method,'Assumptions'!$C$14,'Assumptions'!$E$30,'Assumptions'!$C$14+('Assumptions'!$E$30-'Assumptions'!$C$14)*1.0000),'Assumptions'!$E$30)</f>
        <v/>
      </c>
    </row>
    <row r="51">
      <c r="A51" s="6" t="inlineStr">
        <is>
          <t>Gross margin %</t>
        </is>
      </c>
      <c r="B51" s="30">
        <f>IF(ISNUMBER('Assumptions'!$C$15),CHOOSE(Method,'Assumptions'!$C$15,'Assumptions'!$E$31,'Assumptions'!$C$15+('Assumptions'!$E$31-'Assumptions'!$C$15)*0.1000),'Assumptions'!$E$31)</f>
        <v/>
      </c>
      <c r="C51" s="30">
        <f>IF(ISNUMBER('Assumptions'!$C$15),CHOOSE(Method,'Assumptions'!$C$15,'Assumptions'!$E$31,'Assumptions'!$C$15+('Assumptions'!$E$31-'Assumptions'!$C$15)*0.2000),'Assumptions'!$E$31)</f>
        <v/>
      </c>
      <c r="D51" s="30">
        <f>IF(ISNUMBER('Assumptions'!$C$15),CHOOSE(Method,'Assumptions'!$C$15,'Assumptions'!$E$31,'Assumptions'!$C$15+('Assumptions'!$E$31-'Assumptions'!$C$15)*0.3000),'Assumptions'!$E$31)</f>
        <v/>
      </c>
      <c r="E51" s="30">
        <f>IF(ISNUMBER('Assumptions'!$C$15),CHOOSE(Method,'Assumptions'!$C$15,'Assumptions'!$E$31,'Assumptions'!$C$15+('Assumptions'!$E$31-'Assumptions'!$C$15)*0.4000),'Assumptions'!$E$31)</f>
        <v/>
      </c>
      <c r="F51" s="30">
        <f>IF(ISNUMBER('Assumptions'!$C$15),CHOOSE(Method,'Assumptions'!$C$15,'Assumptions'!$E$31,'Assumptions'!$C$15+('Assumptions'!$E$31-'Assumptions'!$C$15)*0.5000),'Assumptions'!$E$31)</f>
        <v/>
      </c>
      <c r="G51" s="30">
        <f>IF(ISNUMBER('Assumptions'!$C$15),CHOOSE(Method,'Assumptions'!$C$15,'Assumptions'!$E$31,'Assumptions'!$C$15+('Assumptions'!$E$31-'Assumptions'!$C$15)*0.6000),'Assumptions'!$E$31)</f>
        <v/>
      </c>
      <c r="H51" s="30">
        <f>IF(ISNUMBER('Assumptions'!$C$15),CHOOSE(Method,'Assumptions'!$C$15,'Assumptions'!$E$31,'Assumptions'!$C$15+('Assumptions'!$E$31-'Assumptions'!$C$15)*0.7000),'Assumptions'!$E$31)</f>
        <v/>
      </c>
      <c r="I51" s="30">
        <f>IF(ISNUMBER('Assumptions'!$C$15),CHOOSE(Method,'Assumptions'!$C$15,'Assumptions'!$E$31,'Assumptions'!$C$15+('Assumptions'!$E$31-'Assumptions'!$C$15)*0.8000),'Assumptions'!$E$31)</f>
        <v/>
      </c>
      <c r="J51" s="30">
        <f>IF(ISNUMBER('Assumptions'!$C$15),CHOOSE(Method,'Assumptions'!$C$15,'Assumptions'!$E$31,'Assumptions'!$C$15+('Assumptions'!$E$31-'Assumptions'!$C$15)*0.9000),'Assumptions'!$E$31)</f>
        <v/>
      </c>
      <c r="K51" s="30">
        <f>IF(ISNUMBER('Assumptions'!$C$15),CHOOSE(Method,'Assumptions'!$C$15,'Assumptions'!$E$31,'Assumptions'!$C$15+('Assumptions'!$E$31-'Assumptions'!$C$15)*1.0000),'Assumptions'!$E$31)</f>
        <v/>
      </c>
    </row>
    <row r="52">
      <c r="A52" s="6" t="inlineStr">
        <is>
          <t>EBITDA margin %</t>
        </is>
      </c>
      <c r="B52" s="30">
        <f>IF(ISNUMBER('Assumptions'!$C$16),CHOOSE(Method,'Assumptions'!$C$16,'Assumptions'!$E$32,'Assumptions'!$C$16+('Assumptions'!$E$32-'Assumptions'!$C$16)*0.1000),'Assumptions'!$E$32)</f>
        <v/>
      </c>
      <c r="C52" s="30">
        <f>IF(ISNUMBER('Assumptions'!$C$16),CHOOSE(Method,'Assumptions'!$C$16,'Assumptions'!$E$32,'Assumptions'!$C$16+('Assumptions'!$E$32-'Assumptions'!$C$16)*0.2000),'Assumptions'!$E$32)</f>
        <v/>
      </c>
      <c r="D52" s="30">
        <f>IF(ISNUMBER('Assumptions'!$C$16),CHOOSE(Method,'Assumptions'!$C$16,'Assumptions'!$E$32,'Assumptions'!$C$16+('Assumptions'!$E$32-'Assumptions'!$C$16)*0.3000),'Assumptions'!$E$32)</f>
        <v/>
      </c>
      <c r="E52" s="30">
        <f>IF(ISNUMBER('Assumptions'!$C$16),CHOOSE(Method,'Assumptions'!$C$16,'Assumptions'!$E$32,'Assumptions'!$C$16+('Assumptions'!$E$32-'Assumptions'!$C$16)*0.4000),'Assumptions'!$E$32)</f>
        <v/>
      </c>
      <c r="F52" s="30">
        <f>IF(ISNUMBER('Assumptions'!$C$16),CHOOSE(Method,'Assumptions'!$C$16,'Assumptions'!$E$32,'Assumptions'!$C$16+('Assumptions'!$E$32-'Assumptions'!$C$16)*0.5000),'Assumptions'!$E$32)</f>
        <v/>
      </c>
      <c r="G52" s="30">
        <f>IF(ISNUMBER('Assumptions'!$C$16),CHOOSE(Method,'Assumptions'!$C$16,'Assumptions'!$E$32,'Assumptions'!$C$16+('Assumptions'!$E$32-'Assumptions'!$C$16)*0.6000),'Assumptions'!$E$32)</f>
        <v/>
      </c>
      <c r="H52" s="30">
        <f>IF(ISNUMBER('Assumptions'!$C$16),CHOOSE(Method,'Assumptions'!$C$16,'Assumptions'!$E$32,'Assumptions'!$C$16+('Assumptions'!$E$32-'Assumptions'!$C$16)*0.7000),'Assumptions'!$E$32)</f>
        <v/>
      </c>
      <c r="I52" s="30">
        <f>IF(ISNUMBER('Assumptions'!$C$16),CHOOSE(Method,'Assumptions'!$C$16,'Assumptions'!$E$32,'Assumptions'!$C$16+('Assumptions'!$E$32-'Assumptions'!$C$16)*0.8000),'Assumptions'!$E$32)</f>
        <v/>
      </c>
      <c r="J52" s="30">
        <f>IF(ISNUMBER('Assumptions'!$C$16),CHOOSE(Method,'Assumptions'!$C$16,'Assumptions'!$E$32,'Assumptions'!$C$16+('Assumptions'!$E$32-'Assumptions'!$C$16)*0.9000),'Assumptions'!$E$32)</f>
        <v/>
      </c>
      <c r="K52" s="30">
        <f>IF(ISNUMBER('Assumptions'!$C$16),CHOOSE(Method,'Assumptions'!$C$16,'Assumptions'!$E$32,'Assumptions'!$C$16+('Assumptions'!$E$32-'Assumptions'!$C$16)*1.0000),'Assumptions'!$E$32)</f>
        <v/>
      </c>
    </row>
    <row r="53">
      <c r="A53" s="6" t="inlineStr">
        <is>
          <t>Tax rate %</t>
        </is>
      </c>
      <c r="B53" s="30">
        <f>IF(ISNUMBER('Assumptions'!$C$17),CHOOSE(Method,'Assumptions'!$C$17,'Assumptions'!$E$33,'Assumptions'!$C$17+('Assumptions'!$E$33-'Assumptions'!$C$17)*0.1000),'Assumptions'!$E$33)</f>
        <v/>
      </c>
      <c r="C53" s="30">
        <f>IF(ISNUMBER('Assumptions'!$C$17),CHOOSE(Method,'Assumptions'!$C$17,'Assumptions'!$E$33,'Assumptions'!$C$17+('Assumptions'!$E$33-'Assumptions'!$C$17)*0.2000),'Assumptions'!$E$33)</f>
        <v/>
      </c>
      <c r="D53" s="30">
        <f>IF(ISNUMBER('Assumptions'!$C$17),CHOOSE(Method,'Assumptions'!$C$17,'Assumptions'!$E$33,'Assumptions'!$C$17+('Assumptions'!$E$33-'Assumptions'!$C$17)*0.3000),'Assumptions'!$E$33)</f>
        <v/>
      </c>
      <c r="E53" s="30">
        <f>IF(ISNUMBER('Assumptions'!$C$17),CHOOSE(Method,'Assumptions'!$C$17,'Assumptions'!$E$33,'Assumptions'!$C$17+('Assumptions'!$E$33-'Assumptions'!$C$17)*0.4000),'Assumptions'!$E$33)</f>
        <v/>
      </c>
      <c r="F53" s="30">
        <f>IF(ISNUMBER('Assumptions'!$C$17),CHOOSE(Method,'Assumptions'!$C$17,'Assumptions'!$E$33,'Assumptions'!$C$17+('Assumptions'!$E$33-'Assumptions'!$C$17)*0.5000),'Assumptions'!$E$33)</f>
        <v/>
      </c>
      <c r="G53" s="30">
        <f>IF(ISNUMBER('Assumptions'!$C$17),CHOOSE(Method,'Assumptions'!$C$17,'Assumptions'!$E$33,'Assumptions'!$C$17+('Assumptions'!$E$33-'Assumptions'!$C$17)*0.6000),'Assumptions'!$E$33)</f>
        <v/>
      </c>
      <c r="H53" s="30">
        <f>IF(ISNUMBER('Assumptions'!$C$17),CHOOSE(Method,'Assumptions'!$C$17,'Assumptions'!$E$33,'Assumptions'!$C$17+('Assumptions'!$E$33-'Assumptions'!$C$17)*0.7000),'Assumptions'!$E$33)</f>
        <v/>
      </c>
      <c r="I53" s="30">
        <f>IF(ISNUMBER('Assumptions'!$C$17),CHOOSE(Method,'Assumptions'!$C$17,'Assumptions'!$E$33,'Assumptions'!$C$17+('Assumptions'!$E$33-'Assumptions'!$C$17)*0.8000),'Assumptions'!$E$33)</f>
        <v/>
      </c>
      <c r="J53" s="30">
        <f>IF(ISNUMBER('Assumptions'!$C$17),CHOOSE(Method,'Assumptions'!$C$17,'Assumptions'!$E$33,'Assumptions'!$C$17+('Assumptions'!$E$33-'Assumptions'!$C$17)*0.9000),'Assumptions'!$E$33)</f>
        <v/>
      </c>
      <c r="K53" s="30">
        <f>IF(ISNUMBER('Assumptions'!$C$17),CHOOSE(Method,'Assumptions'!$C$17,'Assumptions'!$E$33,'Assumptions'!$C$17+('Assumptions'!$E$33-'Assumptions'!$C$17)*1.0000),'Assumptions'!$E$33)</f>
        <v/>
      </c>
    </row>
    <row r="54">
      <c r="A54" s="6" t="inlineStr">
        <is>
          <t>Receivable days</t>
        </is>
      </c>
      <c r="B54" s="31">
        <f>IF(ISNUMBER('Assumptions'!$C$18),CHOOSE(Method,'Assumptions'!$C$18,'Assumptions'!$E$34,'Assumptions'!$C$18+('Assumptions'!$E$34-'Assumptions'!$C$18)*0.1000),'Assumptions'!$E$34)</f>
        <v/>
      </c>
      <c r="C54" s="31">
        <f>IF(ISNUMBER('Assumptions'!$C$18),CHOOSE(Method,'Assumptions'!$C$18,'Assumptions'!$E$34,'Assumptions'!$C$18+('Assumptions'!$E$34-'Assumptions'!$C$18)*0.2000),'Assumptions'!$E$34)</f>
        <v/>
      </c>
      <c r="D54" s="31">
        <f>IF(ISNUMBER('Assumptions'!$C$18),CHOOSE(Method,'Assumptions'!$C$18,'Assumptions'!$E$34,'Assumptions'!$C$18+('Assumptions'!$E$34-'Assumptions'!$C$18)*0.3000),'Assumptions'!$E$34)</f>
        <v/>
      </c>
      <c r="E54" s="31">
        <f>IF(ISNUMBER('Assumptions'!$C$18),CHOOSE(Method,'Assumptions'!$C$18,'Assumptions'!$E$34,'Assumptions'!$C$18+('Assumptions'!$E$34-'Assumptions'!$C$18)*0.4000),'Assumptions'!$E$34)</f>
        <v/>
      </c>
      <c r="F54" s="31">
        <f>IF(ISNUMBER('Assumptions'!$C$18),CHOOSE(Method,'Assumptions'!$C$18,'Assumptions'!$E$34,'Assumptions'!$C$18+('Assumptions'!$E$34-'Assumptions'!$C$18)*0.5000),'Assumptions'!$E$34)</f>
        <v/>
      </c>
      <c r="G54" s="31">
        <f>IF(ISNUMBER('Assumptions'!$C$18),CHOOSE(Method,'Assumptions'!$C$18,'Assumptions'!$E$34,'Assumptions'!$C$18+('Assumptions'!$E$34-'Assumptions'!$C$18)*0.6000),'Assumptions'!$E$34)</f>
        <v/>
      </c>
      <c r="H54" s="31">
        <f>IF(ISNUMBER('Assumptions'!$C$18),CHOOSE(Method,'Assumptions'!$C$18,'Assumptions'!$E$34,'Assumptions'!$C$18+('Assumptions'!$E$34-'Assumptions'!$C$18)*0.7000),'Assumptions'!$E$34)</f>
        <v/>
      </c>
      <c r="I54" s="31">
        <f>IF(ISNUMBER('Assumptions'!$C$18),CHOOSE(Method,'Assumptions'!$C$18,'Assumptions'!$E$34,'Assumptions'!$C$18+('Assumptions'!$E$34-'Assumptions'!$C$18)*0.8000),'Assumptions'!$E$34)</f>
        <v/>
      </c>
      <c r="J54" s="31">
        <f>IF(ISNUMBER('Assumptions'!$C$18),CHOOSE(Method,'Assumptions'!$C$18,'Assumptions'!$E$34,'Assumptions'!$C$18+('Assumptions'!$E$34-'Assumptions'!$C$18)*0.9000),'Assumptions'!$E$34)</f>
        <v/>
      </c>
      <c r="K54" s="31">
        <f>IF(ISNUMBER('Assumptions'!$C$18),CHOOSE(Method,'Assumptions'!$C$18,'Assumptions'!$E$34,'Assumptions'!$C$18+('Assumptions'!$E$34-'Assumptions'!$C$18)*1.0000),'Assumptions'!$E$34)</f>
        <v/>
      </c>
    </row>
    <row r="55">
      <c r="A55" s="6" t="inlineStr">
        <is>
          <t>Inventory days</t>
        </is>
      </c>
      <c r="B55" s="31">
        <f>IF(ISNUMBER('Assumptions'!$C$19),CHOOSE(Method,'Assumptions'!$C$19,'Assumptions'!$E$35,'Assumptions'!$C$19+('Assumptions'!$E$35-'Assumptions'!$C$19)*0.1000),'Assumptions'!$E$35)</f>
        <v/>
      </c>
      <c r="C55" s="31">
        <f>IF(ISNUMBER('Assumptions'!$C$19),CHOOSE(Method,'Assumptions'!$C$19,'Assumptions'!$E$35,'Assumptions'!$C$19+('Assumptions'!$E$35-'Assumptions'!$C$19)*0.2000),'Assumptions'!$E$35)</f>
        <v/>
      </c>
      <c r="D55" s="31">
        <f>IF(ISNUMBER('Assumptions'!$C$19),CHOOSE(Method,'Assumptions'!$C$19,'Assumptions'!$E$35,'Assumptions'!$C$19+('Assumptions'!$E$35-'Assumptions'!$C$19)*0.3000),'Assumptions'!$E$35)</f>
        <v/>
      </c>
      <c r="E55" s="31">
        <f>IF(ISNUMBER('Assumptions'!$C$19),CHOOSE(Method,'Assumptions'!$C$19,'Assumptions'!$E$35,'Assumptions'!$C$19+('Assumptions'!$E$35-'Assumptions'!$C$19)*0.4000),'Assumptions'!$E$35)</f>
        <v/>
      </c>
      <c r="F55" s="31">
        <f>IF(ISNUMBER('Assumptions'!$C$19),CHOOSE(Method,'Assumptions'!$C$19,'Assumptions'!$E$35,'Assumptions'!$C$19+('Assumptions'!$E$35-'Assumptions'!$C$19)*0.5000),'Assumptions'!$E$35)</f>
        <v/>
      </c>
      <c r="G55" s="31">
        <f>IF(ISNUMBER('Assumptions'!$C$19),CHOOSE(Method,'Assumptions'!$C$19,'Assumptions'!$E$35,'Assumptions'!$C$19+('Assumptions'!$E$35-'Assumptions'!$C$19)*0.6000),'Assumptions'!$E$35)</f>
        <v/>
      </c>
      <c r="H55" s="31">
        <f>IF(ISNUMBER('Assumptions'!$C$19),CHOOSE(Method,'Assumptions'!$C$19,'Assumptions'!$E$35,'Assumptions'!$C$19+('Assumptions'!$E$35-'Assumptions'!$C$19)*0.7000),'Assumptions'!$E$35)</f>
        <v/>
      </c>
      <c r="I55" s="31">
        <f>IF(ISNUMBER('Assumptions'!$C$19),CHOOSE(Method,'Assumptions'!$C$19,'Assumptions'!$E$35,'Assumptions'!$C$19+('Assumptions'!$E$35-'Assumptions'!$C$19)*0.8000),'Assumptions'!$E$35)</f>
        <v/>
      </c>
      <c r="J55" s="31">
        <f>IF(ISNUMBER('Assumptions'!$C$19),CHOOSE(Method,'Assumptions'!$C$19,'Assumptions'!$E$35,'Assumptions'!$C$19+('Assumptions'!$E$35-'Assumptions'!$C$19)*0.9000),'Assumptions'!$E$35)</f>
        <v/>
      </c>
      <c r="K55" s="31">
        <f>IF(ISNUMBER('Assumptions'!$C$19),CHOOSE(Method,'Assumptions'!$C$19,'Assumptions'!$E$35,'Assumptions'!$C$19+('Assumptions'!$E$35-'Assumptions'!$C$19)*1.0000),'Assumptions'!$E$35)</f>
        <v/>
      </c>
    </row>
    <row r="56">
      <c r="A56" s="6" t="inlineStr">
        <is>
          <t>Payable days</t>
        </is>
      </c>
      <c r="B56" s="31">
        <f>IF(ISNUMBER('Assumptions'!$C$20),CHOOSE(Method,'Assumptions'!$C$20,'Assumptions'!$E$36,'Assumptions'!$C$20+('Assumptions'!$E$36-'Assumptions'!$C$20)*0.1000),'Assumptions'!$E$36)</f>
        <v/>
      </c>
      <c r="C56" s="31">
        <f>IF(ISNUMBER('Assumptions'!$C$20),CHOOSE(Method,'Assumptions'!$C$20,'Assumptions'!$E$36,'Assumptions'!$C$20+('Assumptions'!$E$36-'Assumptions'!$C$20)*0.2000),'Assumptions'!$E$36)</f>
        <v/>
      </c>
      <c r="D56" s="31">
        <f>IF(ISNUMBER('Assumptions'!$C$20),CHOOSE(Method,'Assumptions'!$C$20,'Assumptions'!$E$36,'Assumptions'!$C$20+('Assumptions'!$E$36-'Assumptions'!$C$20)*0.3000),'Assumptions'!$E$36)</f>
        <v/>
      </c>
      <c r="E56" s="31">
        <f>IF(ISNUMBER('Assumptions'!$C$20),CHOOSE(Method,'Assumptions'!$C$20,'Assumptions'!$E$36,'Assumptions'!$C$20+('Assumptions'!$E$36-'Assumptions'!$C$20)*0.4000),'Assumptions'!$E$36)</f>
        <v/>
      </c>
      <c r="F56" s="31">
        <f>IF(ISNUMBER('Assumptions'!$C$20),CHOOSE(Method,'Assumptions'!$C$20,'Assumptions'!$E$36,'Assumptions'!$C$20+('Assumptions'!$E$36-'Assumptions'!$C$20)*0.5000),'Assumptions'!$E$36)</f>
        <v/>
      </c>
      <c r="G56" s="31">
        <f>IF(ISNUMBER('Assumptions'!$C$20),CHOOSE(Method,'Assumptions'!$C$20,'Assumptions'!$E$36,'Assumptions'!$C$20+('Assumptions'!$E$36-'Assumptions'!$C$20)*0.6000),'Assumptions'!$E$36)</f>
        <v/>
      </c>
      <c r="H56" s="31">
        <f>IF(ISNUMBER('Assumptions'!$C$20),CHOOSE(Method,'Assumptions'!$C$20,'Assumptions'!$E$36,'Assumptions'!$C$20+('Assumptions'!$E$36-'Assumptions'!$C$20)*0.7000),'Assumptions'!$E$36)</f>
        <v/>
      </c>
      <c r="I56" s="31">
        <f>IF(ISNUMBER('Assumptions'!$C$20),CHOOSE(Method,'Assumptions'!$C$20,'Assumptions'!$E$36,'Assumptions'!$C$20+('Assumptions'!$E$36-'Assumptions'!$C$20)*0.8000),'Assumptions'!$E$36)</f>
        <v/>
      </c>
      <c r="J56" s="31">
        <f>IF(ISNUMBER('Assumptions'!$C$20),CHOOSE(Method,'Assumptions'!$C$20,'Assumptions'!$E$36,'Assumptions'!$C$20+('Assumptions'!$E$36-'Assumptions'!$C$20)*0.9000),'Assumptions'!$E$36)</f>
        <v/>
      </c>
      <c r="K56" s="31">
        <f>IF(ISNUMBER('Assumptions'!$C$20),CHOOSE(Method,'Assumptions'!$C$20,'Assumptions'!$E$36,'Assumptions'!$C$20+('Assumptions'!$E$36-'Assumptions'!$C$20)*1.0000),'Assumptions'!$E$36)</f>
        <v/>
      </c>
    </row>
    <row r="57">
      <c r="A57" s="6" t="inlineStr">
        <is>
          <t>Capex % revenue</t>
        </is>
      </c>
      <c r="B57" s="30">
        <f>IF(ISNUMBER('Assumptions'!$C$21),CHOOSE(Method,'Assumptions'!$C$21,'Assumptions'!$E$37,'Assumptions'!$C$21+('Assumptions'!$E$37-'Assumptions'!$C$21)*0.1000),'Assumptions'!$E$37)</f>
        <v/>
      </c>
      <c r="C57" s="30">
        <f>IF(ISNUMBER('Assumptions'!$C$21),CHOOSE(Method,'Assumptions'!$C$21,'Assumptions'!$E$37,'Assumptions'!$C$21+('Assumptions'!$E$37-'Assumptions'!$C$21)*0.2000),'Assumptions'!$E$37)</f>
        <v/>
      </c>
      <c r="D57" s="30">
        <f>IF(ISNUMBER('Assumptions'!$C$21),CHOOSE(Method,'Assumptions'!$C$21,'Assumptions'!$E$37,'Assumptions'!$C$21+('Assumptions'!$E$37-'Assumptions'!$C$21)*0.3000),'Assumptions'!$E$37)</f>
        <v/>
      </c>
      <c r="E57" s="30">
        <f>IF(ISNUMBER('Assumptions'!$C$21),CHOOSE(Method,'Assumptions'!$C$21,'Assumptions'!$E$37,'Assumptions'!$C$21+('Assumptions'!$E$37-'Assumptions'!$C$21)*0.4000),'Assumptions'!$E$37)</f>
        <v/>
      </c>
      <c r="F57" s="30">
        <f>IF(ISNUMBER('Assumptions'!$C$21),CHOOSE(Method,'Assumptions'!$C$21,'Assumptions'!$E$37,'Assumptions'!$C$21+('Assumptions'!$E$37-'Assumptions'!$C$21)*0.5000),'Assumptions'!$E$37)</f>
        <v/>
      </c>
      <c r="G57" s="30">
        <f>IF(ISNUMBER('Assumptions'!$C$21),CHOOSE(Method,'Assumptions'!$C$21,'Assumptions'!$E$37,'Assumptions'!$C$21+('Assumptions'!$E$37-'Assumptions'!$C$21)*0.6000),'Assumptions'!$E$37)</f>
        <v/>
      </c>
      <c r="H57" s="30">
        <f>IF(ISNUMBER('Assumptions'!$C$21),CHOOSE(Method,'Assumptions'!$C$21,'Assumptions'!$E$37,'Assumptions'!$C$21+('Assumptions'!$E$37-'Assumptions'!$C$21)*0.7000),'Assumptions'!$E$37)</f>
        <v/>
      </c>
      <c r="I57" s="30">
        <f>IF(ISNUMBER('Assumptions'!$C$21),CHOOSE(Method,'Assumptions'!$C$21,'Assumptions'!$E$37,'Assumptions'!$C$21+('Assumptions'!$E$37-'Assumptions'!$C$21)*0.8000),'Assumptions'!$E$37)</f>
        <v/>
      </c>
      <c r="J57" s="30">
        <f>IF(ISNUMBER('Assumptions'!$C$21),CHOOSE(Method,'Assumptions'!$C$21,'Assumptions'!$E$37,'Assumptions'!$C$21+('Assumptions'!$E$37-'Assumptions'!$C$21)*0.9000),'Assumptions'!$E$37)</f>
        <v/>
      </c>
      <c r="K57" s="30">
        <f>IF(ISNUMBER('Assumptions'!$C$21),CHOOSE(Method,'Assumptions'!$C$21,'Assumptions'!$E$37,'Assumptions'!$C$21+('Assumptions'!$E$37-'Assumptions'!$C$21)*1.0000),'Assumptions'!$E$37)</f>
        <v/>
      </c>
    </row>
    <row r="58">
      <c r="A58" s="6" t="inlineStr">
        <is>
          <t>D&amp;A % revenue</t>
        </is>
      </c>
      <c r="B58" s="30">
        <f>IF(ISNUMBER('Assumptions'!$C$22),CHOOSE(Method,'Assumptions'!$C$22,'Assumptions'!$E$38,'Assumptions'!$C$22+('Assumptions'!$E$38-'Assumptions'!$C$22)*0.1000),'Assumptions'!$E$38)</f>
        <v/>
      </c>
      <c r="C58" s="30">
        <f>IF(ISNUMBER('Assumptions'!$C$22),CHOOSE(Method,'Assumptions'!$C$22,'Assumptions'!$E$38,'Assumptions'!$C$22+('Assumptions'!$E$38-'Assumptions'!$C$22)*0.2000),'Assumptions'!$E$38)</f>
        <v/>
      </c>
      <c r="D58" s="30">
        <f>IF(ISNUMBER('Assumptions'!$C$22),CHOOSE(Method,'Assumptions'!$C$22,'Assumptions'!$E$38,'Assumptions'!$C$22+('Assumptions'!$E$38-'Assumptions'!$C$22)*0.3000),'Assumptions'!$E$38)</f>
        <v/>
      </c>
      <c r="E58" s="30">
        <f>IF(ISNUMBER('Assumptions'!$C$22),CHOOSE(Method,'Assumptions'!$C$22,'Assumptions'!$E$38,'Assumptions'!$C$22+('Assumptions'!$E$38-'Assumptions'!$C$22)*0.4000),'Assumptions'!$E$38)</f>
        <v/>
      </c>
      <c r="F58" s="30">
        <f>IF(ISNUMBER('Assumptions'!$C$22),CHOOSE(Method,'Assumptions'!$C$22,'Assumptions'!$E$38,'Assumptions'!$C$22+('Assumptions'!$E$38-'Assumptions'!$C$22)*0.5000),'Assumptions'!$E$38)</f>
        <v/>
      </c>
      <c r="G58" s="30">
        <f>IF(ISNUMBER('Assumptions'!$C$22),CHOOSE(Method,'Assumptions'!$C$22,'Assumptions'!$E$38,'Assumptions'!$C$22+('Assumptions'!$E$38-'Assumptions'!$C$22)*0.6000),'Assumptions'!$E$38)</f>
        <v/>
      </c>
      <c r="H58" s="30">
        <f>IF(ISNUMBER('Assumptions'!$C$22),CHOOSE(Method,'Assumptions'!$C$22,'Assumptions'!$E$38,'Assumptions'!$C$22+('Assumptions'!$E$38-'Assumptions'!$C$22)*0.7000),'Assumptions'!$E$38)</f>
        <v/>
      </c>
      <c r="I58" s="30">
        <f>IF(ISNUMBER('Assumptions'!$C$22),CHOOSE(Method,'Assumptions'!$C$22,'Assumptions'!$E$38,'Assumptions'!$C$22+('Assumptions'!$E$38-'Assumptions'!$C$22)*0.8000),'Assumptions'!$E$38)</f>
        <v/>
      </c>
      <c r="J58" s="30">
        <f>IF(ISNUMBER('Assumptions'!$C$22),CHOOSE(Method,'Assumptions'!$C$22,'Assumptions'!$E$38,'Assumptions'!$C$22+('Assumptions'!$E$38-'Assumptions'!$C$22)*0.9000),'Assumptions'!$E$38)</f>
        <v/>
      </c>
      <c r="K58" s="30">
        <f>IF(ISNUMBER('Assumptions'!$C$22),CHOOSE(Method,'Assumptions'!$C$22,'Assumptions'!$E$38,'Assumptions'!$C$22+('Assumptions'!$E$38-'Assumptions'!$C$22)*1.0000),'Assumptions'!$E$38)</f>
        <v/>
      </c>
    </row>
    <row r="59">
      <c r="A59" s="6" t="inlineStr">
        <is>
          <t>Cash % revenue</t>
        </is>
      </c>
      <c r="B59" s="30">
        <f>IF(ISNUMBER('Assumptions'!$C$23),CHOOSE(Method,'Assumptions'!$C$23,'Assumptions'!$E$39,'Assumptions'!$C$23+('Assumptions'!$E$39-'Assumptions'!$C$23)*0.1000),'Assumptions'!$E$39)</f>
        <v/>
      </c>
      <c r="C59" s="30">
        <f>IF(ISNUMBER('Assumptions'!$C$23),CHOOSE(Method,'Assumptions'!$C$23,'Assumptions'!$E$39,'Assumptions'!$C$23+('Assumptions'!$E$39-'Assumptions'!$C$23)*0.2000),'Assumptions'!$E$39)</f>
        <v/>
      </c>
      <c r="D59" s="30">
        <f>IF(ISNUMBER('Assumptions'!$C$23),CHOOSE(Method,'Assumptions'!$C$23,'Assumptions'!$E$39,'Assumptions'!$C$23+('Assumptions'!$E$39-'Assumptions'!$C$23)*0.3000),'Assumptions'!$E$39)</f>
        <v/>
      </c>
      <c r="E59" s="30">
        <f>IF(ISNUMBER('Assumptions'!$C$23),CHOOSE(Method,'Assumptions'!$C$23,'Assumptions'!$E$39,'Assumptions'!$C$23+('Assumptions'!$E$39-'Assumptions'!$C$23)*0.4000),'Assumptions'!$E$39)</f>
        <v/>
      </c>
      <c r="F59" s="30">
        <f>IF(ISNUMBER('Assumptions'!$C$23),CHOOSE(Method,'Assumptions'!$C$23,'Assumptions'!$E$39,'Assumptions'!$C$23+('Assumptions'!$E$39-'Assumptions'!$C$23)*0.5000),'Assumptions'!$E$39)</f>
        <v/>
      </c>
      <c r="G59" s="30">
        <f>IF(ISNUMBER('Assumptions'!$C$23),CHOOSE(Method,'Assumptions'!$C$23,'Assumptions'!$E$39,'Assumptions'!$C$23+('Assumptions'!$E$39-'Assumptions'!$C$23)*0.6000),'Assumptions'!$E$39)</f>
        <v/>
      </c>
      <c r="H59" s="30">
        <f>IF(ISNUMBER('Assumptions'!$C$23),CHOOSE(Method,'Assumptions'!$C$23,'Assumptions'!$E$39,'Assumptions'!$C$23+('Assumptions'!$E$39-'Assumptions'!$C$23)*0.7000),'Assumptions'!$E$39)</f>
        <v/>
      </c>
      <c r="I59" s="30">
        <f>IF(ISNUMBER('Assumptions'!$C$23),CHOOSE(Method,'Assumptions'!$C$23,'Assumptions'!$E$39,'Assumptions'!$C$23+('Assumptions'!$E$39-'Assumptions'!$C$23)*0.8000),'Assumptions'!$E$39)</f>
        <v/>
      </c>
      <c r="J59" s="30">
        <f>IF(ISNUMBER('Assumptions'!$C$23),CHOOSE(Method,'Assumptions'!$C$23,'Assumptions'!$E$39,'Assumptions'!$C$23+('Assumptions'!$E$39-'Assumptions'!$C$23)*0.9000),'Assumptions'!$E$39)</f>
        <v/>
      </c>
      <c r="K59" s="30">
        <f>IF(ISNUMBER('Assumptions'!$C$23),CHOOSE(Method,'Assumptions'!$C$23,'Assumptions'!$E$39,'Assumptions'!$C$23+('Assumptions'!$E$39-'Assumptions'!$C$23)*1.0000),'Assumptions'!$E$39)</f>
        <v/>
      </c>
    </row>
    <row r="60">
      <c r="A60" s="6" t="inlineStr">
        <is>
          <t>Other assets % revenue</t>
        </is>
      </c>
      <c r="B60" s="30">
        <f>IF(ISNUMBER('Assumptions'!$C$24),CHOOSE(Method,'Assumptions'!$C$24,'Assumptions'!$E$40,'Assumptions'!$C$24+('Assumptions'!$E$40-'Assumptions'!$C$24)*0.1000),'Assumptions'!$E$40)</f>
        <v/>
      </c>
      <c r="C60" s="30">
        <f>IF(ISNUMBER('Assumptions'!$C$24),CHOOSE(Method,'Assumptions'!$C$24,'Assumptions'!$E$40,'Assumptions'!$C$24+('Assumptions'!$E$40-'Assumptions'!$C$24)*0.2000),'Assumptions'!$E$40)</f>
        <v/>
      </c>
      <c r="D60" s="30">
        <f>IF(ISNUMBER('Assumptions'!$C$24),CHOOSE(Method,'Assumptions'!$C$24,'Assumptions'!$E$40,'Assumptions'!$C$24+('Assumptions'!$E$40-'Assumptions'!$C$24)*0.3000),'Assumptions'!$E$40)</f>
        <v/>
      </c>
      <c r="E60" s="30">
        <f>IF(ISNUMBER('Assumptions'!$C$24),CHOOSE(Method,'Assumptions'!$C$24,'Assumptions'!$E$40,'Assumptions'!$C$24+('Assumptions'!$E$40-'Assumptions'!$C$24)*0.4000),'Assumptions'!$E$40)</f>
        <v/>
      </c>
      <c r="F60" s="30">
        <f>IF(ISNUMBER('Assumptions'!$C$24),CHOOSE(Method,'Assumptions'!$C$24,'Assumptions'!$E$40,'Assumptions'!$C$24+('Assumptions'!$E$40-'Assumptions'!$C$24)*0.5000),'Assumptions'!$E$40)</f>
        <v/>
      </c>
      <c r="G60" s="30">
        <f>IF(ISNUMBER('Assumptions'!$C$24),CHOOSE(Method,'Assumptions'!$C$24,'Assumptions'!$E$40,'Assumptions'!$C$24+('Assumptions'!$E$40-'Assumptions'!$C$24)*0.6000),'Assumptions'!$E$40)</f>
        <v/>
      </c>
      <c r="H60" s="30">
        <f>IF(ISNUMBER('Assumptions'!$C$24),CHOOSE(Method,'Assumptions'!$C$24,'Assumptions'!$E$40,'Assumptions'!$C$24+('Assumptions'!$E$40-'Assumptions'!$C$24)*0.7000),'Assumptions'!$E$40)</f>
        <v/>
      </c>
      <c r="I60" s="30">
        <f>IF(ISNUMBER('Assumptions'!$C$24),CHOOSE(Method,'Assumptions'!$C$24,'Assumptions'!$E$40,'Assumptions'!$C$24+('Assumptions'!$E$40-'Assumptions'!$C$24)*0.8000),'Assumptions'!$E$40)</f>
        <v/>
      </c>
      <c r="J60" s="30">
        <f>IF(ISNUMBER('Assumptions'!$C$24),CHOOSE(Method,'Assumptions'!$C$24,'Assumptions'!$E$40,'Assumptions'!$C$24+('Assumptions'!$E$40-'Assumptions'!$C$24)*0.9000),'Assumptions'!$E$40)</f>
        <v/>
      </c>
      <c r="K60" s="30">
        <f>IF(ISNUMBER('Assumptions'!$C$24),CHOOSE(Method,'Assumptions'!$C$24,'Assumptions'!$E$40,'Assumptions'!$C$24+('Assumptions'!$E$40-'Assumptions'!$C$24)*1.0000),'Assumptions'!$E$40)</f>
        <v/>
      </c>
    </row>
    <row r="61">
      <c r="A61" s="6" t="inlineStr">
        <is>
          <t>Other liabilities % revenue</t>
        </is>
      </c>
      <c r="B61" s="30">
        <f>IF(ISNUMBER('Assumptions'!$C$25),CHOOSE(Method,'Assumptions'!$C$25,'Assumptions'!$E$41,'Assumptions'!$C$25+('Assumptions'!$E$41-'Assumptions'!$C$25)*0.1000),'Assumptions'!$E$41)</f>
        <v/>
      </c>
      <c r="C61" s="30">
        <f>IF(ISNUMBER('Assumptions'!$C$25),CHOOSE(Method,'Assumptions'!$C$25,'Assumptions'!$E$41,'Assumptions'!$C$25+('Assumptions'!$E$41-'Assumptions'!$C$25)*0.2000),'Assumptions'!$E$41)</f>
        <v/>
      </c>
      <c r="D61" s="30">
        <f>IF(ISNUMBER('Assumptions'!$C$25),CHOOSE(Method,'Assumptions'!$C$25,'Assumptions'!$E$41,'Assumptions'!$C$25+('Assumptions'!$E$41-'Assumptions'!$C$25)*0.3000),'Assumptions'!$E$41)</f>
        <v/>
      </c>
      <c r="E61" s="30">
        <f>IF(ISNUMBER('Assumptions'!$C$25),CHOOSE(Method,'Assumptions'!$C$25,'Assumptions'!$E$41,'Assumptions'!$C$25+('Assumptions'!$E$41-'Assumptions'!$C$25)*0.4000),'Assumptions'!$E$41)</f>
        <v/>
      </c>
      <c r="F61" s="30">
        <f>IF(ISNUMBER('Assumptions'!$C$25),CHOOSE(Method,'Assumptions'!$C$25,'Assumptions'!$E$41,'Assumptions'!$C$25+('Assumptions'!$E$41-'Assumptions'!$C$25)*0.5000),'Assumptions'!$E$41)</f>
        <v/>
      </c>
      <c r="G61" s="30">
        <f>IF(ISNUMBER('Assumptions'!$C$25),CHOOSE(Method,'Assumptions'!$C$25,'Assumptions'!$E$41,'Assumptions'!$C$25+('Assumptions'!$E$41-'Assumptions'!$C$25)*0.6000),'Assumptions'!$E$41)</f>
        <v/>
      </c>
      <c r="H61" s="30">
        <f>IF(ISNUMBER('Assumptions'!$C$25),CHOOSE(Method,'Assumptions'!$C$25,'Assumptions'!$E$41,'Assumptions'!$C$25+('Assumptions'!$E$41-'Assumptions'!$C$25)*0.7000),'Assumptions'!$E$41)</f>
        <v/>
      </c>
      <c r="I61" s="30">
        <f>IF(ISNUMBER('Assumptions'!$C$25),CHOOSE(Method,'Assumptions'!$C$25,'Assumptions'!$E$41,'Assumptions'!$C$25+('Assumptions'!$E$41-'Assumptions'!$C$25)*0.8000),'Assumptions'!$E$41)</f>
        <v/>
      </c>
      <c r="J61" s="30">
        <f>IF(ISNUMBER('Assumptions'!$C$25),CHOOSE(Method,'Assumptions'!$C$25,'Assumptions'!$E$41,'Assumptions'!$C$25+('Assumptions'!$E$41-'Assumptions'!$C$25)*0.9000),'Assumptions'!$E$41)</f>
        <v/>
      </c>
      <c r="K61" s="30">
        <f>IF(ISNUMBER('Assumptions'!$C$25),CHOOSE(Method,'Assumptions'!$C$25,'Assumptions'!$E$41,'Assumptions'!$C$25+('Assumptions'!$E$41-'Assumptions'!$C$25)*1.0000),'Assumptions'!$E$41)</f>
        <v/>
      </c>
    </row>
    <row r="62">
      <c r="A62" s="6" t="inlineStr">
        <is>
          <t>Interest rate %</t>
        </is>
      </c>
      <c r="B62" s="30">
        <f>IF(ISNUMBER('Assumptions'!$C$26),CHOOSE(Method,'Assumptions'!$C$26,'Assumptions'!$E$42,'Assumptions'!$C$26+('Assumptions'!$E$42-'Assumptions'!$C$26)*0.1000),'Assumptions'!$E$42)</f>
        <v/>
      </c>
      <c r="C62" s="30">
        <f>IF(ISNUMBER('Assumptions'!$C$26),CHOOSE(Method,'Assumptions'!$C$26,'Assumptions'!$E$42,'Assumptions'!$C$26+('Assumptions'!$E$42-'Assumptions'!$C$26)*0.2000),'Assumptions'!$E$42)</f>
        <v/>
      </c>
      <c r="D62" s="30">
        <f>IF(ISNUMBER('Assumptions'!$C$26),CHOOSE(Method,'Assumptions'!$C$26,'Assumptions'!$E$42,'Assumptions'!$C$26+('Assumptions'!$E$42-'Assumptions'!$C$26)*0.3000),'Assumptions'!$E$42)</f>
        <v/>
      </c>
      <c r="E62" s="30">
        <f>IF(ISNUMBER('Assumptions'!$C$26),CHOOSE(Method,'Assumptions'!$C$26,'Assumptions'!$E$42,'Assumptions'!$C$26+('Assumptions'!$E$42-'Assumptions'!$C$26)*0.4000),'Assumptions'!$E$42)</f>
        <v/>
      </c>
      <c r="F62" s="30">
        <f>IF(ISNUMBER('Assumptions'!$C$26),CHOOSE(Method,'Assumptions'!$C$26,'Assumptions'!$E$42,'Assumptions'!$C$26+('Assumptions'!$E$42-'Assumptions'!$C$26)*0.5000),'Assumptions'!$E$42)</f>
        <v/>
      </c>
      <c r="G62" s="30">
        <f>IF(ISNUMBER('Assumptions'!$C$26),CHOOSE(Method,'Assumptions'!$C$26,'Assumptions'!$E$42,'Assumptions'!$C$26+('Assumptions'!$E$42-'Assumptions'!$C$26)*0.6000),'Assumptions'!$E$42)</f>
        <v/>
      </c>
      <c r="H62" s="30">
        <f>IF(ISNUMBER('Assumptions'!$C$26),CHOOSE(Method,'Assumptions'!$C$26,'Assumptions'!$E$42,'Assumptions'!$C$26+('Assumptions'!$E$42-'Assumptions'!$C$26)*0.7000),'Assumptions'!$E$42)</f>
        <v/>
      </c>
      <c r="I62" s="30">
        <f>IF(ISNUMBER('Assumptions'!$C$26),CHOOSE(Method,'Assumptions'!$C$26,'Assumptions'!$E$42,'Assumptions'!$C$26+('Assumptions'!$E$42-'Assumptions'!$C$26)*0.8000),'Assumptions'!$E$42)</f>
        <v/>
      </c>
      <c r="J62" s="30">
        <f>IF(ISNUMBER('Assumptions'!$C$26),CHOOSE(Method,'Assumptions'!$C$26,'Assumptions'!$E$42,'Assumptions'!$C$26+('Assumptions'!$E$42-'Assumptions'!$C$26)*0.9000),'Assumptions'!$E$42)</f>
        <v/>
      </c>
      <c r="K62" s="30">
        <f>IF(ISNUMBER('Assumptions'!$C$26),CHOOSE(Method,'Assumptions'!$C$26,'Assumptions'!$E$42,'Assumptions'!$C$26+('Assumptions'!$E$42-'Assumptions'!$C$26)*1.0000),'Assumptions'!$E$42)</f>
        <v/>
      </c>
    </row>
    <row r="63">
      <c r="A63" s="6" t="inlineStr">
        <is>
          <t>Dividend payout %</t>
        </is>
      </c>
      <c r="B63" s="30">
        <f>'Assumptions'!$E$43</f>
        <v/>
      </c>
      <c r="C63" s="30">
        <f>'Assumptions'!$E$43</f>
        <v/>
      </c>
      <c r="D63" s="30">
        <f>'Assumptions'!$E$43</f>
        <v/>
      </c>
      <c r="E63" s="30">
        <f>'Assumptions'!$E$43</f>
        <v/>
      </c>
      <c r="F63" s="30">
        <f>'Assumptions'!$E$43</f>
        <v/>
      </c>
      <c r="G63" s="30">
        <f>'Assumptions'!$E$43</f>
        <v/>
      </c>
      <c r="H63" s="30">
        <f>'Assumptions'!$E$43</f>
        <v/>
      </c>
      <c r="I63" s="30">
        <f>'Assumptions'!$E$43</f>
        <v/>
      </c>
      <c r="J63" s="30">
        <f>'Assumptions'!$E$43</f>
        <v/>
      </c>
      <c r="K63" s="30">
        <f>'Assumptions'!$E$43</f>
        <v/>
      </c>
    </row>
    <row r="64">
      <c r="A64" s="6" t="inlineStr">
        <is>
          <t>Debt repayment % (of LT debt)</t>
        </is>
      </c>
      <c r="B64" s="30">
        <f>'Assumptions'!$E$44</f>
        <v/>
      </c>
      <c r="C64" s="30">
        <f>'Assumptions'!$E$44</f>
        <v/>
      </c>
      <c r="D64" s="30">
        <f>'Assumptions'!$E$44</f>
        <v/>
      </c>
      <c r="E64" s="30">
        <f>'Assumptions'!$E$44</f>
        <v/>
      </c>
      <c r="F64" s="30">
        <f>'Assumptions'!$E$44</f>
        <v/>
      </c>
      <c r="G64" s="30">
        <f>'Assumptions'!$E$44</f>
        <v/>
      </c>
      <c r="H64" s="30">
        <f>'Assumptions'!$E$44</f>
        <v/>
      </c>
      <c r="I64" s="30">
        <f>'Assumptions'!$E$44</f>
        <v/>
      </c>
      <c r="J64" s="30">
        <f>'Assumptions'!$E$44</f>
        <v/>
      </c>
      <c r="K64" s="30">
        <f>'Assumptions'!$E$44</f>
        <v/>
      </c>
    </row>
    <row r="65">
      <c r="A65" s="6" t="inlineStr">
        <is>
          <t>New debt raised (amount/yr)</t>
        </is>
      </c>
      <c r="B65" s="32">
        <f>'Assumptions'!$E$45</f>
        <v/>
      </c>
      <c r="C65" s="32">
        <f>'Assumptions'!$E$45</f>
        <v/>
      </c>
      <c r="D65" s="32">
        <f>'Assumptions'!$E$45</f>
        <v/>
      </c>
      <c r="E65" s="32">
        <f>'Assumptions'!$E$45</f>
        <v/>
      </c>
      <c r="F65" s="32">
        <f>'Assumptions'!$E$45</f>
        <v/>
      </c>
      <c r="G65" s="32">
        <f>'Assumptions'!$E$45</f>
        <v/>
      </c>
      <c r="H65" s="32">
        <f>'Assumptions'!$E$45</f>
        <v/>
      </c>
      <c r="I65" s="32">
        <f>'Assumptions'!$E$45</f>
        <v/>
      </c>
      <c r="J65" s="32">
        <f>'Assumptions'!$E$45</f>
        <v/>
      </c>
      <c r="K65" s="32">
        <f>'Assumptions'!$E$45</f>
        <v/>
      </c>
    </row>
    <row r="66">
      <c r="A66" s="6" t="inlineStr">
        <is>
          <t>Yield on cash %</t>
        </is>
      </c>
      <c r="B66" s="30">
        <f>'Assumptions'!$E$46</f>
        <v/>
      </c>
      <c r="C66" s="30">
        <f>'Assumptions'!$E$46</f>
        <v/>
      </c>
      <c r="D66" s="30">
        <f>'Assumptions'!$E$46</f>
        <v/>
      </c>
      <c r="E66" s="30">
        <f>'Assumptions'!$E$46</f>
        <v/>
      </c>
      <c r="F66" s="30">
        <f>'Assumptions'!$E$46</f>
        <v/>
      </c>
      <c r="G66" s="30">
        <f>'Assumptions'!$E$46</f>
        <v/>
      </c>
      <c r="H66" s="30">
        <f>'Assumptions'!$E$46</f>
        <v/>
      </c>
      <c r="I66" s="30">
        <f>'Assumptions'!$E$46</f>
        <v/>
      </c>
      <c r="J66" s="30">
        <f>'Assumptions'!$E$46</f>
        <v/>
      </c>
      <c r="K66" s="30">
        <f>'Assumptions'!$E$46</f>
        <v/>
      </c>
    </row>
    <row r="68">
      <c r="A68" s="3" t="inlineStr">
        <is>
          <t>Tip: change Method or Scenario above — every forecast, diagnostic and chart updates automatically.</t>
        </is>
      </c>
    </row>
  </sheetData>
  <mergeCells count="12">
    <mergeCell ref="A12:K12"/>
    <mergeCell ref="A48:K48"/>
    <mergeCell ref="A3:K3"/>
    <mergeCell ref="B8:D8"/>
    <mergeCell ref="A7:K7"/>
    <mergeCell ref="A2:K2"/>
    <mergeCell ref="B9:D9"/>
    <mergeCell ref="F9:K9"/>
    <mergeCell ref="A28:K28"/>
    <mergeCell ref="F8:K8"/>
    <mergeCell ref="A68:K68"/>
    <mergeCell ref="A1:K1"/>
  </mergeCells>
  <dataValidations count="4">
    <dataValidation sqref="B8" showDropDown="0" showInputMessage="0" showErrorMessage="1" allowBlank="0" type="list">
      <formula1>"Historical Trend,Manual Forecast,Hybrid Forecast"</formula1>
    </dataValidation>
    <dataValidation sqref="E8" showDropDown="0" showInputMessage="0" showErrorMessage="1" allowBlank="0" type="list">
      <formula1>"1,2,3"</formula1>
    </dataValidation>
    <dataValidation sqref="B9" showDropDown="0" showInputMessage="0" showErrorMessage="1" allowBlank="0" type="list">
      <formula1>"Bear,Base,Bull"</formula1>
    </dataValidation>
    <dataValidation sqref="E9" showDropDown="0" showInputMessage="0" showErrorMessage="1" allowBlank="0" type="list">
      <formula1>"1,2,3"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L57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INTEGRATED FORECAST MODEL</t>
        </is>
      </c>
    </row>
    <row r="2">
      <c r="A2" s="2" t="inlineStr">
        <is>
          <t>A fully-reconciled 10-year three-statement forecast — no plugs, no circularity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6" t="inlineStr">
        <is>
          <t>Active method # / scenario #:</t>
        </is>
      </c>
      <c r="B7" s="25">
        <f>Method</f>
        <v/>
      </c>
      <c r="C7" s="25">
        <f>Scenario</f>
        <v/>
      </c>
      <c r="D7" s="3" t="inlineStr">
        <is>
          <t>All figures in USD millions unless stated; (F) = forecast year. Blue = input · Black = formula · Green = key output · Red = warning.</t>
        </is>
      </c>
    </row>
    <row r="8">
      <c r="A8" s="14" t="inlineStr">
        <is>
          <t>Line item</t>
        </is>
      </c>
      <c r="B8" s="16" t="inlineStr">
        <is>
          <t>FY2024 (base)</t>
        </is>
      </c>
      <c r="C8" s="16" t="inlineStr">
        <is>
          <t>FY2025</t>
        </is>
      </c>
      <c r="D8" s="16" t="inlineStr">
        <is>
          <t>FY2026</t>
        </is>
      </c>
      <c r="E8" s="16" t="inlineStr">
        <is>
          <t>FY2027</t>
        </is>
      </c>
      <c r="F8" s="16" t="inlineStr">
        <is>
          <t>FY2028</t>
        </is>
      </c>
      <c r="G8" s="16" t="inlineStr">
        <is>
          <t>FY2029</t>
        </is>
      </c>
      <c r="H8" s="16" t="inlineStr">
        <is>
          <t>FY2030</t>
        </is>
      </c>
      <c r="I8" s="16" t="inlineStr">
        <is>
          <t>FY2031</t>
        </is>
      </c>
      <c r="J8" s="16" t="inlineStr">
        <is>
          <t>FY2032</t>
        </is>
      </c>
      <c r="K8" s="16" t="inlineStr">
        <is>
          <t>FY2033</t>
        </is>
      </c>
      <c r="L8" s="16" t="inlineStr">
        <is>
          <t>FY2034</t>
        </is>
      </c>
    </row>
    <row r="9" ht="20" customHeight="1">
      <c r="A9" s="5" t="inlineStr">
        <is>
          <t>Income Statement Forecast</t>
        </is>
      </c>
    </row>
    <row r="10">
      <c r="A10" s="19" t="inlineStr">
        <is>
          <t>Revenue</t>
        </is>
      </c>
      <c r="B10" s="17">
        <f>'Historical'!$K$10</f>
        <v/>
      </c>
      <c r="C10" s="32">
        <f>'Forecast'!$B$10*(1+'Assumptions'!$B$50)</f>
        <v/>
      </c>
      <c r="D10" s="32">
        <f>'Forecast'!$C$10*(1+'Assumptions'!$C$50)</f>
        <v/>
      </c>
      <c r="E10" s="32">
        <f>'Forecast'!$D$10*(1+'Assumptions'!$D$50)</f>
        <v/>
      </c>
      <c r="F10" s="32">
        <f>'Forecast'!$E$10*(1+'Assumptions'!$E$50)</f>
        <v/>
      </c>
      <c r="G10" s="32">
        <f>'Forecast'!$F$10*(1+'Assumptions'!$F$50)</f>
        <v/>
      </c>
      <c r="H10" s="32">
        <f>'Forecast'!$G$10*(1+'Assumptions'!$G$50)</f>
        <v/>
      </c>
      <c r="I10" s="32">
        <f>'Forecast'!$H$10*(1+'Assumptions'!$H$50)</f>
        <v/>
      </c>
      <c r="J10" s="32">
        <f>'Forecast'!$I$10*(1+'Assumptions'!$I$50)</f>
        <v/>
      </c>
      <c r="K10" s="32">
        <f>'Forecast'!$J$10*(1+'Assumptions'!$J$50)</f>
        <v/>
      </c>
      <c r="L10" s="32">
        <f>'Forecast'!$K$10*(1+'Assumptions'!$K$50)</f>
        <v/>
      </c>
    </row>
    <row r="11">
      <c r="A11" s="6" t="inlineStr">
        <is>
          <t>Gross profit</t>
        </is>
      </c>
      <c r="B11" s="17">
        <f>'Historical'!$K$12</f>
        <v/>
      </c>
      <c r="C11" s="17">
        <f>'Forecast'!$C$10*'Assumptions'!$B$51</f>
        <v/>
      </c>
      <c r="D11" s="17">
        <f>'Forecast'!$D$10*'Assumptions'!$C$51</f>
        <v/>
      </c>
      <c r="E11" s="17">
        <f>'Forecast'!$E$10*'Assumptions'!$D$51</f>
        <v/>
      </c>
      <c r="F11" s="17">
        <f>'Forecast'!$F$10*'Assumptions'!$E$51</f>
        <v/>
      </c>
      <c r="G11" s="17">
        <f>'Forecast'!$G$10*'Assumptions'!$F$51</f>
        <v/>
      </c>
      <c r="H11" s="17">
        <f>'Forecast'!$H$10*'Assumptions'!$G$51</f>
        <v/>
      </c>
      <c r="I11" s="17">
        <f>'Forecast'!$I$10*'Assumptions'!$H$51</f>
        <v/>
      </c>
      <c r="J11" s="17">
        <f>'Forecast'!$J$10*'Assumptions'!$I$51</f>
        <v/>
      </c>
      <c r="K11" s="17">
        <f>'Forecast'!$K$10*'Assumptions'!$J$51</f>
        <v/>
      </c>
      <c r="L11" s="17">
        <f>'Forecast'!$L$10*'Assumptions'!$K$51</f>
        <v/>
      </c>
    </row>
    <row r="12">
      <c r="A12" s="6" t="inlineStr">
        <is>
          <t>Cost of goods sold</t>
        </is>
      </c>
      <c r="B12" s="17">
        <f>'Historical'!$K$11</f>
        <v/>
      </c>
      <c r="C12" s="17">
        <f>'Forecast'!$C$10-'Forecast'!$C$11</f>
        <v/>
      </c>
      <c r="D12" s="17">
        <f>'Forecast'!$D$10-'Forecast'!$D$11</f>
        <v/>
      </c>
      <c r="E12" s="17">
        <f>'Forecast'!$E$10-'Forecast'!$E$11</f>
        <v/>
      </c>
      <c r="F12" s="17">
        <f>'Forecast'!$F$10-'Forecast'!$F$11</f>
        <v/>
      </c>
      <c r="G12" s="17">
        <f>'Forecast'!$G$10-'Forecast'!$G$11</f>
        <v/>
      </c>
      <c r="H12" s="17">
        <f>'Forecast'!$H$10-'Forecast'!$H$11</f>
        <v/>
      </c>
      <c r="I12" s="17">
        <f>'Forecast'!$I$10-'Forecast'!$I$11</f>
        <v/>
      </c>
      <c r="J12" s="17">
        <f>'Forecast'!$J$10-'Forecast'!$J$11</f>
        <v/>
      </c>
      <c r="K12" s="17">
        <f>'Forecast'!$K$10-'Forecast'!$K$11</f>
        <v/>
      </c>
      <c r="L12" s="17">
        <f>'Forecast'!$L$10-'Forecast'!$L$11</f>
        <v/>
      </c>
    </row>
    <row r="13">
      <c r="A13" s="19" t="inlineStr">
        <is>
          <t>EBITDA</t>
        </is>
      </c>
      <c r="B13" s="17">
        <f>'Historical'!$K$14</f>
        <v/>
      </c>
      <c r="C13" s="32">
        <f>'Forecast'!$C$10*'Assumptions'!$B$52</f>
        <v/>
      </c>
      <c r="D13" s="32">
        <f>'Forecast'!$D$10*'Assumptions'!$C$52</f>
        <v/>
      </c>
      <c r="E13" s="32">
        <f>'Forecast'!$E$10*'Assumptions'!$D$52</f>
        <v/>
      </c>
      <c r="F13" s="32">
        <f>'Forecast'!$F$10*'Assumptions'!$E$52</f>
        <v/>
      </c>
      <c r="G13" s="32">
        <f>'Forecast'!$G$10*'Assumptions'!$F$52</f>
        <v/>
      </c>
      <c r="H13" s="32">
        <f>'Forecast'!$H$10*'Assumptions'!$G$52</f>
        <v/>
      </c>
      <c r="I13" s="32">
        <f>'Forecast'!$I$10*'Assumptions'!$H$52</f>
        <v/>
      </c>
      <c r="J13" s="32">
        <f>'Forecast'!$J$10*'Assumptions'!$I$52</f>
        <v/>
      </c>
      <c r="K13" s="32">
        <f>'Forecast'!$K$10*'Assumptions'!$J$52</f>
        <v/>
      </c>
      <c r="L13" s="32">
        <f>'Forecast'!$L$10*'Assumptions'!$K$52</f>
        <v/>
      </c>
    </row>
    <row r="14">
      <c r="A14" s="6" t="inlineStr">
        <is>
          <t>Operating expenses</t>
        </is>
      </c>
      <c r="B14" s="17">
        <f>'Historical'!$K$13</f>
        <v/>
      </c>
      <c r="C14" s="17">
        <f>'Forecast'!$C$11-'Forecast'!$C$13</f>
        <v/>
      </c>
      <c r="D14" s="17">
        <f>'Forecast'!$D$11-'Forecast'!$D$13</f>
        <v/>
      </c>
      <c r="E14" s="17">
        <f>'Forecast'!$E$11-'Forecast'!$E$13</f>
        <v/>
      </c>
      <c r="F14" s="17">
        <f>'Forecast'!$F$11-'Forecast'!$F$13</f>
        <v/>
      </c>
      <c r="G14" s="17">
        <f>'Forecast'!$G$11-'Forecast'!$G$13</f>
        <v/>
      </c>
      <c r="H14" s="17">
        <f>'Forecast'!$H$11-'Forecast'!$H$13</f>
        <v/>
      </c>
      <c r="I14" s="17">
        <f>'Forecast'!$I$11-'Forecast'!$I$13</f>
        <v/>
      </c>
      <c r="J14" s="17">
        <f>'Forecast'!$J$11-'Forecast'!$J$13</f>
        <v/>
      </c>
      <c r="K14" s="17">
        <f>'Forecast'!$K$11-'Forecast'!$K$13</f>
        <v/>
      </c>
      <c r="L14" s="17">
        <f>'Forecast'!$L$11-'Forecast'!$L$13</f>
        <v/>
      </c>
    </row>
    <row r="15">
      <c r="A15" s="6" t="inlineStr">
        <is>
          <t>Depreciation &amp; amortisation</t>
        </is>
      </c>
      <c r="B15" s="17">
        <f>'Historical'!$K$15</f>
        <v/>
      </c>
      <c r="C15" s="17">
        <f>'Forecast'!$C$10*'Assumptions'!$B$58</f>
        <v/>
      </c>
      <c r="D15" s="17">
        <f>'Forecast'!$D$10*'Assumptions'!$C$58</f>
        <v/>
      </c>
      <c r="E15" s="17">
        <f>'Forecast'!$E$10*'Assumptions'!$D$58</f>
        <v/>
      </c>
      <c r="F15" s="17">
        <f>'Forecast'!$F$10*'Assumptions'!$E$58</f>
        <v/>
      </c>
      <c r="G15" s="17">
        <f>'Forecast'!$G$10*'Assumptions'!$F$58</f>
        <v/>
      </c>
      <c r="H15" s="17">
        <f>'Forecast'!$H$10*'Assumptions'!$G$58</f>
        <v/>
      </c>
      <c r="I15" s="17">
        <f>'Forecast'!$I$10*'Assumptions'!$H$58</f>
        <v/>
      </c>
      <c r="J15" s="17">
        <f>'Forecast'!$J$10*'Assumptions'!$I$58</f>
        <v/>
      </c>
      <c r="K15" s="17">
        <f>'Forecast'!$K$10*'Assumptions'!$J$58</f>
        <v/>
      </c>
      <c r="L15" s="17">
        <f>'Forecast'!$L$10*'Assumptions'!$K$58</f>
        <v/>
      </c>
    </row>
    <row r="16">
      <c r="A16" s="19" t="inlineStr">
        <is>
          <t>EBIT</t>
        </is>
      </c>
      <c r="B16" s="17">
        <f>'Historical'!$K$16</f>
        <v/>
      </c>
      <c r="C16" s="32">
        <f>'Forecast'!$C$13-'Forecast'!$C$15</f>
        <v/>
      </c>
      <c r="D16" s="32">
        <f>'Forecast'!$D$13-'Forecast'!$D$15</f>
        <v/>
      </c>
      <c r="E16" s="32">
        <f>'Forecast'!$E$13-'Forecast'!$E$15</f>
        <v/>
      </c>
      <c r="F16" s="32">
        <f>'Forecast'!$F$13-'Forecast'!$F$15</f>
        <v/>
      </c>
      <c r="G16" s="32">
        <f>'Forecast'!$G$13-'Forecast'!$G$15</f>
        <v/>
      </c>
      <c r="H16" s="32">
        <f>'Forecast'!$H$13-'Forecast'!$H$15</f>
        <v/>
      </c>
      <c r="I16" s="32">
        <f>'Forecast'!$I$13-'Forecast'!$I$15</f>
        <v/>
      </c>
      <c r="J16" s="32">
        <f>'Forecast'!$J$13-'Forecast'!$J$15</f>
        <v/>
      </c>
      <c r="K16" s="32">
        <f>'Forecast'!$K$13-'Forecast'!$K$15</f>
        <v/>
      </c>
      <c r="L16" s="32">
        <f>'Forecast'!$L$13-'Forecast'!$L$15</f>
        <v/>
      </c>
    </row>
    <row r="17">
      <c r="A17" s="6" t="inlineStr">
        <is>
          <t>Interest expense</t>
        </is>
      </c>
      <c r="B17" s="17">
        <f>'Historical'!$K$17</f>
        <v/>
      </c>
      <c r="C17" s="17">
        <f>'Assumptions'!$B$62*'Forecast'!$B$57</f>
        <v/>
      </c>
      <c r="D17" s="17">
        <f>'Assumptions'!$C$62*'Forecast'!$C$57</f>
        <v/>
      </c>
      <c r="E17" s="17">
        <f>'Assumptions'!$D$62*'Forecast'!$D$57</f>
        <v/>
      </c>
      <c r="F17" s="17">
        <f>'Assumptions'!$E$62*'Forecast'!$E$57</f>
        <v/>
      </c>
      <c r="G17" s="17">
        <f>'Assumptions'!$F$62*'Forecast'!$F$57</f>
        <v/>
      </c>
      <c r="H17" s="17">
        <f>'Assumptions'!$G$62*'Forecast'!$G$57</f>
        <v/>
      </c>
      <c r="I17" s="17">
        <f>'Assumptions'!$H$62*'Forecast'!$H$57</f>
        <v/>
      </c>
      <c r="J17" s="17">
        <f>'Assumptions'!$I$62*'Forecast'!$I$57</f>
        <v/>
      </c>
      <c r="K17" s="17">
        <f>'Assumptions'!$J$62*'Forecast'!$J$57</f>
        <v/>
      </c>
      <c r="L17" s="17">
        <f>'Assumptions'!$K$62*'Forecast'!$K$57</f>
        <v/>
      </c>
    </row>
    <row r="18">
      <c r="A18" s="6" t="inlineStr">
        <is>
          <t>Interest income (on cash)</t>
        </is>
      </c>
      <c r="B18" s="17" t="n">
        <v>0</v>
      </c>
      <c r="C18" s="17">
        <f>'Assumptions'!$B$66*'Forecast'!$B$23</f>
        <v/>
      </c>
      <c r="D18" s="17">
        <f>'Assumptions'!$C$66*'Forecast'!$C$23</f>
        <v/>
      </c>
      <c r="E18" s="17">
        <f>'Assumptions'!$D$66*'Forecast'!$D$23</f>
        <v/>
      </c>
      <c r="F18" s="17">
        <f>'Assumptions'!$E$66*'Forecast'!$E$23</f>
        <v/>
      </c>
      <c r="G18" s="17">
        <f>'Assumptions'!$F$66*'Forecast'!$F$23</f>
        <v/>
      </c>
      <c r="H18" s="17">
        <f>'Assumptions'!$G$66*'Forecast'!$G$23</f>
        <v/>
      </c>
      <c r="I18" s="17">
        <f>'Assumptions'!$H$66*'Forecast'!$H$23</f>
        <v/>
      </c>
      <c r="J18" s="17">
        <f>'Assumptions'!$I$66*'Forecast'!$I$23</f>
        <v/>
      </c>
      <c r="K18" s="17">
        <f>'Assumptions'!$J$66*'Forecast'!$J$23</f>
        <v/>
      </c>
      <c r="L18" s="17">
        <f>'Assumptions'!$K$66*'Forecast'!$K$23</f>
        <v/>
      </c>
    </row>
    <row r="19">
      <c r="A19" s="6" t="inlineStr">
        <is>
          <t>Pre-tax income</t>
        </is>
      </c>
      <c r="B19" s="17">
        <f>'Historical'!$K$18</f>
        <v/>
      </c>
      <c r="C19" s="17">
        <f>'Forecast'!$C$16-'Forecast'!$C$17+'Forecast'!$C$18</f>
        <v/>
      </c>
      <c r="D19" s="17">
        <f>'Forecast'!$D$16-'Forecast'!$D$17+'Forecast'!$D$18</f>
        <v/>
      </c>
      <c r="E19" s="17">
        <f>'Forecast'!$E$16-'Forecast'!$E$17+'Forecast'!$E$18</f>
        <v/>
      </c>
      <c r="F19" s="17">
        <f>'Forecast'!$F$16-'Forecast'!$F$17+'Forecast'!$F$18</f>
        <v/>
      </c>
      <c r="G19" s="17">
        <f>'Forecast'!$G$16-'Forecast'!$G$17+'Forecast'!$G$18</f>
        <v/>
      </c>
      <c r="H19" s="17">
        <f>'Forecast'!$H$16-'Forecast'!$H$17+'Forecast'!$H$18</f>
        <v/>
      </c>
      <c r="I19" s="17">
        <f>'Forecast'!$I$16-'Forecast'!$I$17+'Forecast'!$I$18</f>
        <v/>
      </c>
      <c r="J19" s="17">
        <f>'Forecast'!$J$16-'Forecast'!$J$17+'Forecast'!$J$18</f>
        <v/>
      </c>
      <c r="K19" s="17">
        <f>'Forecast'!$K$16-'Forecast'!$K$17+'Forecast'!$K$18</f>
        <v/>
      </c>
      <c r="L19" s="17">
        <f>'Forecast'!$L$16-'Forecast'!$L$17+'Forecast'!$L$18</f>
        <v/>
      </c>
    </row>
    <row r="20">
      <c r="A20" s="6" t="inlineStr">
        <is>
          <t>Tax expense</t>
        </is>
      </c>
      <c r="B20" s="17">
        <f>'Historical'!$K$19</f>
        <v/>
      </c>
      <c r="C20" s="17">
        <f>'Assumptions'!$B$53*'Forecast'!$C$19</f>
        <v/>
      </c>
      <c r="D20" s="17">
        <f>'Assumptions'!$C$53*'Forecast'!$D$19</f>
        <v/>
      </c>
      <c r="E20" s="17">
        <f>'Assumptions'!$D$53*'Forecast'!$E$19</f>
        <v/>
      </c>
      <c r="F20" s="17">
        <f>'Assumptions'!$E$53*'Forecast'!$F$19</f>
        <v/>
      </c>
      <c r="G20" s="17">
        <f>'Assumptions'!$F$53*'Forecast'!$G$19</f>
        <v/>
      </c>
      <c r="H20" s="17">
        <f>'Assumptions'!$G$53*'Forecast'!$H$19</f>
        <v/>
      </c>
      <c r="I20" s="17">
        <f>'Assumptions'!$H$53*'Forecast'!$I$19</f>
        <v/>
      </c>
      <c r="J20" s="17">
        <f>'Assumptions'!$I$53*'Forecast'!$J$19</f>
        <v/>
      </c>
      <c r="K20" s="17">
        <f>'Assumptions'!$J$53*'Forecast'!$K$19</f>
        <v/>
      </c>
      <c r="L20" s="17">
        <f>'Assumptions'!$K$53*'Forecast'!$L$19</f>
        <v/>
      </c>
    </row>
    <row r="21">
      <c r="A21" s="19" t="inlineStr">
        <is>
          <t>Net income</t>
        </is>
      </c>
      <c r="B21" s="17">
        <f>'Historical'!$K$20</f>
        <v/>
      </c>
      <c r="C21" s="32">
        <f>'Forecast'!$C$19-'Forecast'!$C$20</f>
        <v/>
      </c>
      <c r="D21" s="32">
        <f>'Forecast'!$D$19-'Forecast'!$D$20</f>
        <v/>
      </c>
      <c r="E21" s="32">
        <f>'Forecast'!$E$19-'Forecast'!$E$20</f>
        <v/>
      </c>
      <c r="F21" s="32">
        <f>'Forecast'!$F$19-'Forecast'!$F$20</f>
        <v/>
      </c>
      <c r="G21" s="32">
        <f>'Forecast'!$G$19-'Forecast'!$G$20</f>
        <v/>
      </c>
      <c r="H21" s="32">
        <f>'Forecast'!$H$19-'Forecast'!$H$20</f>
        <v/>
      </c>
      <c r="I21" s="32">
        <f>'Forecast'!$I$19-'Forecast'!$I$20</f>
        <v/>
      </c>
      <c r="J21" s="32">
        <f>'Forecast'!$J$19-'Forecast'!$J$20</f>
        <v/>
      </c>
      <c r="K21" s="32">
        <f>'Forecast'!$K$19-'Forecast'!$K$20</f>
        <v/>
      </c>
      <c r="L21" s="32">
        <f>'Forecast'!$L$19-'Forecast'!$L$20</f>
        <v/>
      </c>
    </row>
    <row r="22" ht="20" customHeight="1">
      <c r="A22" s="5" t="inlineStr">
        <is>
          <t>Balance Sheet Forecast — Assets</t>
        </is>
      </c>
    </row>
    <row r="23">
      <c r="A23" s="6" t="inlineStr">
        <is>
          <t>Cash &amp; equivalents</t>
        </is>
      </c>
      <c r="B23" s="17">
        <f>'Historical'!$K$22</f>
        <v/>
      </c>
      <c r="C23" s="17">
        <f>'Forecast'!$B$23+'Forecast'!$C$42+'Forecast'!$C$44+'Forecast'!$C$45</f>
        <v/>
      </c>
      <c r="D23" s="17">
        <f>'Forecast'!$C$23+'Forecast'!$D$42+'Forecast'!$D$44+'Forecast'!$D$45</f>
        <v/>
      </c>
      <c r="E23" s="17">
        <f>'Forecast'!$D$23+'Forecast'!$E$42+'Forecast'!$E$44+'Forecast'!$E$45</f>
        <v/>
      </c>
      <c r="F23" s="17">
        <f>'Forecast'!$E$23+'Forecast'!$F$42+'Forecast'!$F$44+'Forecast'!$F$45</f>
        <v/>
      </c>
      <c r="G23" s="17">
        <f>'Forecast'!$F$23+'Forecast'!$G$42+'Forecast'!$G$44+'Forecast'!$G$45</f>
        <v/>
      </c>
      <c r="H23" s="17">
        <f>'Forecast'!$G$23+'Forecast'!$H$42+'Forecast'!$H$44+'Forecast'!$H$45</f>
        <v/>
      </c>
      <c r="I23" s="17">
        <f>'Forecast'!$H$23+'Forecast'!$I$42+'Forecast'!$I$44+'Forecast'!$I$45</f>
        <v/>
      </c>
      <c r="J23" s="17">
        <f>'Forecast'!$I$23+'Forecast'!$J$42+'Forecast'!$J$44+'Forecast'!$J$45</f>
        <v/>
      </c>
      <c r="K23" s="17">
        <f>'Forecast'!$J$23+'Forecast'!$K$42+'Forecast'!$K$44+'Forecast'!$K$45</f>
        <v/>
      </c>
      <c r="L23" s="17">
        <f>'Forecast'!$K$23+'Forecast'!$L$42+'Forecast'!$L$44+'Forecast'!$L$45</f>
        <v/>
      </c>
    </row>
    <row r="24">
      <c r="A24" s="6" t="inlineStr">
        <is>
          <t>Receivables</t>
        </is>
      </c>
      <c r="B24" s="17">
        <f>'Historical'!$K$23</f>
        <v/>
      </c>
      <c r="C24" s="17">
        <f>'Assumptions'!$B$54/365*'Forecast'!$C$10</f>
        <v/>
      </c>
      <c r="D24" s="17">
        <f>'Assumptions'!$C$54/365*'Forecast'!$D$10</f>
        <v/>
      </c>
      <c r="E24" s="17">
        <f>'Assumptions'!$D$54/365*'Forecast'!$E$10</f>
        <v/>
      </c>
      <c r="F24" s="17">
        <f>'Assumptions'!$E$54/365*'Forecast'!$F$10</f>
        <v/>
      </c>
      <c r="G24" s="17">
        <f>'Assumptions'!$F$54/365*'Forecast'!$G$10</f>
        <v/>
      </c>
      <c r="H24" s="17">
        <f>'Assumptions'!$G$54/365*'Forecast'!$H$10</f>
        <v/>
      </c>
      <c r="I24" s="17">
        <f>'Assumptions'!$H$54/365*'Forecast'!$I$10</f>
        <v/>
      </c>
      <c r="J24" s="17">
        <f>'Assumptions'!$I$54/365*'Forecast'!$J$10</f>
        <v/>
      </c>
      <c r="K24" s="17">
        <f>'Assumptions'!$J$54/365*'Forecast'!$K$10</f>
        <v/>
      </c>
      <c r="L24" s="17">
        <f>'Assumptions'!$K$54/365*'Forecast'!$L$10</f>
        <v/>
      </c>
    </row>
    <row r="25">
      <c r="A25" s="6" t="inlineStr">
        <is>
          <t>Inventory</t>
        </is>
      </c>
      <c r="B25" s="17">
        <f>'Historical'!$K$24</f>
        <v/>
      </c>
      <c r="C25" s="17">
        <f>'Assumptions'!$B$55/365*'Forecast'!$C$12</f>
        <v/>
      </c>
      <c r="D25" s="17">
        <f>'Assumptions'!$C$55/365*'Forecast'!$D$12</f>
        <v/>
      </c>
      <c r="E25" s="17">
        <f>'Assumptions'!$D$55/365*'Forecast'!$E$12</f>
        <v/>
      </c>
      <c r="F25" s="17">
        <f>'Assumptions'!$E$55/365*'Forecast'!$F$12</f>
        <v/>
      </c>
      <c r="G25" s="17">
        <f>'Assumptions'!$F$55/365*'Forecast'!$G$12</f>
        <v/>
      </c>
      <c r="H25" s="17">
        <f>'Assumptions'!$G$55/365*'Forecast'!$H$12</f>
        <v/>
      </c>
      <c r="I25" s="17">
        <f>'Assumptions'!$H$55/365*'Forecast'!$I$12</f>
        <v/>
      </c>
      <c r="J25" s="17">
        <f>'Assumptions'!$I$55/365*'Forecast'!$J$12</f>
        <v/>
      </c>
      <c r="K25" s="17">
        <f>'Assumptions'!$J$55/365*'Forecast'!$K$12</f>
        <v/>
      </c>
      <c r="L25" s="17">
        <f>'Assumptions'!$K$55/365*'Forecast'!$L$12</f>
        <v/>
      </c>
    </row>
    <row r="26">
      <c r="A26" s="6" t="inlineStr">
        <is>
          <t>Other current assets</t>
        </is>
      </c>
      <c r="B26" s="17">
        <f>'Historical'!$K$25</f>
        <v/>
      </c>
      <c r="C26" s="17">
        <f>IFERROR('Forecast'!$C$10*'Historical'!$K$25/'Historical'!$K$10,0)</f>
        <v/>
      </c>
      <c r="D26" s="17">
        <f>IFERROR('Forecast'!$D$10*'Historical'!$K$25/'Historical'!$K$10,0)</f>
        <v/>
      </c>
      <c r="E26" s="17">
        <f>IFERROR('Forecast'!$E$10*'Historical'!$K$25/'Historical'!$K$10,0)</f>
        <v/>
      </c>
      <c r="F26" s="17">
        <f>IFERROR('Forecast'!$F$10*'Historical'!$K$25/'Historical'!$K$10,0)</f>
        <v/>
      </c>
      <c r="G26" s="17">
        <f>IFERROR('Forecast'!$G$10*'Historical'!$K$25/'Historical'!$K$10,0)</f>
        <v/>
      </c>
      <c r="H26" s="17">
        <f>IFERROR('Forecast'!$H$10*'Historical'!$K$25/'Historical'!$K$10,0)</f>
        <v/>
      </c>
      <c r="I26" s="17">
        <f>IFERROR('Forecast'!$I$10*'Historical'!$K$25/'Historical'!$K$10,0)</f>
        <v/>
      </c>
      <c r="J26" s="17">
        <f>IFERROR('Forecast'!$J$10*'Historical'!$K$25/'Historical'!$K$10,0)</f>
        <v/>
      </c>
      <c r="K26" s="17">
        <f>IFERROR('Forecast'!$K$10*'Historical'!$K$25/'Historical'!$K$10,0)</f>
        <v/>
      </c>
      <c r="L26" s="17">
        <f>IFERROR('Forecast'!$L$10*'Historical'!$K$25/'Historical'!$K$10,0)</f>
        <v/>
      </c>
    </row>
    <row r="27">
      <c r="A27" s="6" t="inlineStr">
        <is>
          <t>PP&amp;E (net)</t>
        </is>
      </c>
      <c r="B27" s="17">
        <f>'Historical'!$K$26</f>
        <v/>
      </c>
      <c r="C27" s="17">
        <f>'Forecast'!$B$27+'Forecast'!$C$43-'Forecast'!$C$15</f>
        <v/>
      </c>
      <c r="D27" s="17">
        <f>'Forecast'!$C$27+'Forecast'!$D$43-'Forecast'!$D$15</f>
        <v/>
      </c>
      <c r="E27" s="17">
        <f>'Forecast'!$D$27+'Forecast'!$E$43-'Forecast'!$E$15</f>
        <v/>
      </c>
      <c r="F27" s="17">
        <f>'Forecast'!$E$27+'Forecast'!$F$43-'Forecast'!$F$15</f>
        <v/>
      </c>
      <c r="G27" s="17">
        <f>'Forecast'!$F$27+'Forecast'!$G$43-'Forecast'!$G$15</f>
        <v/>
      </c>
      <c r="H27" s="17">
        <f>'Forecast'!$G$27+'Forecast'!$H$43-'Forecast'!$H$15</f>
        <v/>
      </c>
      <c r="I27" s="17">
        <f>'Forecast'!$H$27+'Forecast'!$I$43-'Forecast'!$I$15</f>
        <v/>
      </c>
      <c r="J27" s="17">
        <f>'Forecast'!$I$27+'Forecast'!$J$43-'Forecast'!$J$15</f>
        <v/>
      </c>
      <c r="K27" s="17">
        <f>'Forecast'!$J$27+'Forecast'!$K$43-'Forecast'!$K$15</f>
        <v/>
      </c>
      <c r="L27" s="17">
        <f>'Forecast'!$K$27+'Forecast'!$L$43-'Forecast'!$L$15</f>
        <v/>
      </c>
    </row>
    <row r="28">
      <c r="A28" s="6" t="inlineStr">
        <is>
          <t>Intangibles</t>
        </is>
      </c>
      <c r="B28" s="17">
        <f>'Historical'!$K$27</f>
        <v/>
      </c>
      <c r="C28" s="17">
        <f>'Forecast'!$B$28</f>
        <v/>
      </c>
      <c r="D28" s="17">
        <f>'Forecast'!$C$28</f>
        <v/>
      </c>
      <c r="E28" s="17">
        <f>'Forecast'!$D$28</f>
        <v/>
      </c>
      <c r="F28" s="17">
        <f>'Forecast'!$E$28</f>
        <v/>
      </c>
      <c r="G28" s="17">
        <f>'Forecast'!$F$28</f>
        <v/>
      </c>
      <c r="H28" s="17">
        <f>'Forecast'!$G$28</f>
        <v/>
      </c>
      <c r="I28" s="17">
        <f>'Forecast'!$H$28</f>
        <v/>
      </c>
      <c r="J28" s="17">
        <f>'Forecast'!$I$28</f>
        <v/>
      </c>
      <c r="K28" s="17">
        <f>'Forecast'!$J$28</f>
        <v/>
      </c>
      <c r="L28" s="17">
        <f>'Forecast'!$K$28</f>
        <v/>
      </c>
    </row>
    <row r="29">
      <c r="A29" s="6" t="inlineStr">
        <is>
          <t>Other assets</t>
        </is>
      </c>
      <c r="B29" s="17">
        <f>'Historical'!$K$28</f>
        <v/>
      </c>
      <c r="C29" s="17">
        <f>'Assumptions'!$B$60*'Forecast'!$C$10</f>
        <v/>
      </c>
      <c r="D29" s="17">
        <f>'Assumptions'!$C$60*'Forecast'!$D$10</f>
        <v/>
      </c>
      <c r="E29" s="17">
        <f>'Assumptions'!$D$60*'Forecast'!$E$10</f>
        <v/>
      </c>
      <c r="F29" s="17">
        <f>'Assumptions'!$E$60*'Forecast'!$F$10</f>
        <v/>
      </c>
      <c r="G29" s="17">
        <f>'Assumptions'!$F$60*'Forecast'!$G$10</f>
        <v/>
      </c>
      <c r="H29" s="17">
        <f>'Assumptions'!$G$60*'Forecast'!$H$10</f>
        <v/>
      </c>
      <c r="I29" s="17">
        <f>'Assumptions'!$H$60*'Forecast'!$I$10</f>
        <v/>
      </c>
      <c r="J29" s="17">
        <f>'Assumptions'!$I$60*'Forecast'!$J$10</f>
        <v/>
      </c>
      <c r="K29" s="17">
        <f>'Assumptions'!$J$60*'Forecast'!$K$10</f>
        <v/>
      </c>
      <c r="L29" s="17">
        <f>'Assumptions'!$K$60*'Forecast'!$L$10</f>
        <v/>
      </c>
    </row>
    <row r="30">
      <c r="A30" s="19" t="inlineStr">
        <is>
          <t>Total assets</t>
        </is>
      </c>
      <c r="B30" s="17">
        <f>'Historical'!$K$29</f>
        <v/>
      </c>
      <c r="C30" s="32">
        <f>'Forecast'!$C$23+'Forecast'!$C$24+'Forecast'!$C$25+'Forecast'!$C$26+'Forecast'!$C$27+'Forecast'!$C$28+'Forecast'!$C$29</f>
        <v/>
      </c>
      <c r="D30" s="32">
        <f>'Forecast'!$D$23+'Forecast'!$D$24+'Forecast'!$D$25+'Forecast'!$D$26+'Forecast'!$D$27+'Forecast'!$D$28+'Forecast'!$D$29</f>
        <v/>
      </c>
      <c r="E30" s="32">
        <f>'Forecast'!$E$23+'Forecast'!$E$24+'Forecast'!$E$25+'Forecast'!$E$26+'Forecast'!$E$27+'Forecast'!$E$28+'Forecast'!$E$29</f>
        <v/>
      </c>
      <c r="F30" s="32">
        <f>'Forecast'!$F$23+'Forecast'!$F$24+'Forecast'!$F$25+'Forecast'!$F$26+'Forecast'!$F$27+'Forecast'!$F$28+'Forecast'!$F$29</f>
        <v/>
      </c>
      <c r="G30" s="32">
        <f>'Forecast'!$G$23+'Forecast'!$G$24+'Forecast'!$G$25+'Forecast'!$G$26+'Forecast'!$G$27+'Forecast'!$G$28+'Forecast'!$G$29</f>
        <v/>
      </c>
      <c r="H30" s="32">
        <f>'Forecast'!$H$23+'Forecast'!$H$24+'Forecast'!$H$25+'Forecast'!$H$26+'Forecast'!$H$27+'Forecast'!$H$28+'Forecast'!$H$29</f>
        <v/>
      </c>
      <c r="I30" s="32">
        <f>'Forecast'!$I$23+'Forecast'!$I$24+'Forecast'!$I$25+'Forecast'!$I$26+'Forecast'!$I$27+'Forecast'!$I$28+'Forecast'!$I$29</f>
        <v/>
      </c>
      <c r="J30" s="32">
        <f>'Forecast'!$J$23+'Forecast'!$J$24+'Forecast'!$J$25+'Forecast'!$J$26+'Forecast'!$J$27+'Forecast'!$J$28+'Forecast'!$J$29</f>
        <v/>
      </c>
      <c r="K30" s="32">
        <f>'Forecast'!$K$23+'Forecast'!$K$24+'Forecast'!$K$25+'Forecast'!$K$26+'Forecast'!$K$27+'Forecast'!$K$28+'Forecast'!$K$29</f>
        <v/>
      </c>
      <c r="L30" s="32">
        <f>'Forecast'!$L$23+'Forecast'!$L$24+'Forecast'!$L$25+'Forecast'!$L$26+'Forecast'!$L$27+'Forecast'!$L$28+'Forecast'!$L$29</f>
        <v/>
      </c>
    </row>
    <row r="31" ht="20" customHeight="1">
      <c r="A31" s="5" t="inlineStr">
        <is>
          <t>Balance Sheet Forecast — Liabilities &amp; Equity</t>
        </is>
      </c>
    </row>
    <row r="32">
      <c r="A32" s="6" t="inlineStr">
        <is>
          <t>Payables</t>
        </is>
      </c>
      <c r="B32" s="17">
        <f>'Historical'!$K$31</f>
        <v/>
      </c>
      <c r="C32" s="17">
        <f>'Assumptions'!$B$56/365*'Forecast'!$C$12</f>
        <v/>
      </c>
      <c r="D32" s="17">
        <f>'Assumptions'!$C$56/365*'Forecast'!$D$12</f>
        <v/>
      </c>
      <c r="E32" s="17">
        <f>'Assumptions'!$D$56/365*'Forecast'!$E$12</f>
        <v/>
      </c>
      <c r="F32" s="17">
        <f>'Assumptions'!$E$56/365*'Forecast'!$F$12</f>
        <v/>
      </c>
      <c r="G32" s="17">
        <f>'Assumptions'!$F$56/365*'Forecast'!$G$12</f>
        <v/>
      </c>
      <c r="H32" s="17">
        <f>'Assumptions'!$G$56/365*'Forecast'!$H$12</f>
        <v/>
      </c>
      <c r="I32" s="17">
        <f>'Assumptions'!$H$56/365*'Forecast'!$I$12</f>
        <v/>
      </c>
      <c r="J32" s="17">
        <f>'Assumptions'!$I$56/365*'Forecast'!$J$12</f>
        <v/>
      </c>
      <c r="K32" s="17">
        <f>'Assumptions'!$J$56/365*'Forecast'!$K$12</f>
        <v/>
      </c>
      <c r="L32" s="17">
        <f>'Assumptions'!$K$56/365*'Forecast'!$L$12</f>
        <v/>
      </c>
    </row>
    <row r="33">
      <c r="A33" s="6" t="inlineStr">
        <is>
          <t>Short-term debt</t>
        </is>
      </c>
      <c r="B33" s="17">
        <f>'Historical'!$K$32</f>
        <v/>
      </c>
      <c r="C33" s="17">
        <f>'Forecast'!$B$33</f>
        <v/>
      </c>
      <c r="D33" s="17">
        <f>'Forecast'!$C$33</f>
        <v/>
      </c>
      <c r="E33" s="17">
        <f>'Forecast'!$D$33</f>
        <v/>
      </c>
      <c r="F33" s="17">
        <f>'Forecast'!$E$33</f>
        <v/>
      </c>
      <c r="G33" s="17">
        <f>'Forecast'!$F$33</f>
        <v/>
      </c>
      <c r="H33" s="17">
        <f>'Forecast'!$G$33</f>
        <v/>
      </c>
      <c r="I33" s="17">
        <f>'Forecast'!$H$33</f>
        <v/>
      </c>
      <c r="J33" s="17">
        <f>'Forecast'!$I$33</f>
        <v/>
      </c>
      <c r="K33" s="17">
        <f>'Forecast'!$J$33</f>
        <v/>
      </c>
      <c r="L33" s="17">
        <f>'Forecast'!$K$33</f>
        <v/>
      </c>
    </row>
    <row r="34">
      <c r="A34" s="6" t="inlineStr">
        <is>
          <t>Long-term debt</t>
        </is>
      </c>
      <c r="B34" s="17">
        <f>'Historical'!$K$33</f>
        <v/>
      </c>
      <c r="C34" s="17">
        <f>'Forecast'!$B$34+'Forecast'!$C$54-'Forecast'!$C$55</f>
        <v/>
      </c>
      <c r="D34" s="17">
        <f>'Forecast'!$C$34+'Forecast'!$D$54-'Forecast'!$D$55</f>
        <v/>
      </c>
      <c r="E34" s="17">
        <f>'Forecast'!$D$34+'Forecast'!$E$54-'Forecast'!$E$55</f>
        <v/>
      </c>
      <c r="F34" s="17">
        <f>'Forecast'!$E$34+'Forecast'!$F$54-'Forecast'!$F$55</f>
        <v/>
      </c>
      <c r="G34" s="17">
        <f>'Forecast'!$F$34+'Forecast'!$G$54-'Forecast'!$G$55</f>
        <v/>
      </c>
      <c r="H34" s="17">
        <f>'Forecast'!$G$34+'Forecast'!$H$54-'Forecast'!$H$55</f>
        <v/>
      </c>
      <c r="I34" s="17">
        <f>'Forecast'!$H$34+'Forecast'!$I$54-'Forecast'!$I$55</f>
        <v/>
      </c>
      <c r="J34" s="17">
        <f>'Forecast'!$I$34+'Forecast'!$J$54-'Forecast'!$J$55</f>
        <v/>
      </c>
      <c r="K34" s="17">
        <f>'Forecast'!$J$34+'Forecast'!$K$54-'Forecast'!$K$55</f>
        <v/>
      </c>
      <c r="L34" s="17">
        <f>'Forecast'!$K$34+'Forecast'!$L$54-'Forecast'!$L$55</f>
        <v/>
      </c>
    </row>
    <row r="35">
      <c r="A35" s="6" t="inlineStr">
        <is>
          <t>Other liabilities</t>
        </is>
      </c>
      <c r="B35" s="17">
        <f>'Historical'!$K$34</f>
        <v/>
      </c>
      <c r="C35" s="17">
        <f>'Assumptions'!$B$61*'Forecast'!$C$10</f>
        <v/>
      </c>
      <c r="D35" s="17">
        <f>'Assumptions'!$C$61*'Forecast'!$D$10</f>
        <v/>
      </c>
      <c r="E35" s="17">
        <f>'Assumptions'!$D$61*'Forecast'!$E$10</f>
        <v/>
      </c>
      <c r="F35" s="17">
        <f>'Assumptions'!$E$61*'Forecast'!$F$10</f>
        <v/>
      </c>
      <c r="G35" s="17">
        <f>'Assumptions'!$F$61*'Forecast'!$G$10</f>
        <v/>
      </c>
      <c r="H35" s="17">
        <f>'Assumptions'!$G$61*'Forecast'!$H$10</f>
        <v/>
      </c>
      <c r="I35" s="17">
        <f>'Assumptions'!$H$61*'Forecast'!$I$10</f>
        <v/>
      </c>
      <c r="J35" s="17">
        <f>'Assumptions'!$I$61*'Forecast'!$J$10</f>
        <v/>
      </c>
      <c r="K35" s="17">
        <f>'Assumptions'!$J$61*'Forecast'!$K$10</f>
        <v/>
      </c>
      <c r="L35" s="17">
        <f>'Assumptions'!$K$61*'Forecast'!$L$10</f>
        <v/>
      </c>
    </row>
    <row r="36">
      <c r="A36" s="19" t="inlineStr">
        <is>
          <t>Total liabilities</t>
        </is>
      </c>
      <c r="B36" s="17">
        <f>'Historical'!$K$35</f>
        <v/>
      </c>
      <c r="C36" s="21">
        <f>'Forecast'!$C$32+'Forecast'!$C$33+'Forecast'!$C$34+'Forecast'!$C$35</f>
        <v/>
      </c>
      <c r="D36" s="21">
        <f>'Forecast'!$D$32+'Forecast'!$D$33+'Forecast'!$D$34+'Forecast'!$D$35</f>
        <v/>
      </c>
      <c r="E36" s="21">
        <f>'Forecast'!$E$32+'Forecast'!$E$33+'Forecast'!$E$34+'Forecast'!$E$35</f>
        <v/>
      </c>
      <c r="F36" s="21">
        <f>'Forecast'!$F$32+'Forecast'!$F$33+'Forecast'!$F$34+'Forecast'!$F$35</f>
        <v/>
      </c>
      <c r="G36" s="21">
        <f>'Forecast'!$G$32+'Forecast'!$G$33+'Forecast'!$G$34+'Forecast'!$G$35</f>
        <v/>
      </c>
      <c r="H36" s="21">
        <f>'Forecast'!$H$32+'Forecast'!$H$33+'Forecast'!$H$34+'Forecast'!$H$35</f>
        <v/>
      </c>
      <c r="I36" s="21">
        <f>'Forecast'!$I$32+'Forecast'!$I$33+'Forecast'!$I$34+'Forecast'!$I$35</f>
        <v/>
      </c>
      <c r="J36" s="21">
        <f>'Forecast'!$J$32+'Forecast'!$J$33+'Forecast'!$J$34+'Forecast'!$J$35</f>
        <v/>
      </c>
      <c r="K36" s="21">
        <f>'Forecast'!$K$32+'Forecast'!$K$33+'Forecast'!$K$34+'Forecast'!$K$35</f>
        <v/>
      </c>
      <c r="L36" s="21">
        <f>'Forecast'!$L$32+'Forecast'!$L$33+'Forecast'!$L$34+'Forecast'!$L$35</f>
        <v/>
      </c>
    </row>
    <row r="37">
      <c r="A37" s="19" t="inlineStr">
        <is>
          <t>Shareholders' equity</t>
        </is>
      </c>
      <c r="B37" s="17">
        <f>'Historical'!$K$36</f>
        <v/>
      </c>
      <c r="C37" s="32">
        <f>'Forecast'!$B$37+'Forecast'!$C$21-'Forecast'!$C$50</f>
        <v/>
      </c>
      <c r="D37" s="32">
        <f>'Forecast'!$C$37+'Forecast'!$D$21-'Forecast'!$D$50</f>
        <v/>
      </c>
      <c r="E37" s="32">
        <f>'Forecast'!$D$37+'Forecast'!$E$21-'Forecast'!$E$50</f>
        <v/>
      </c>
      <c r="F37" s="32">
        <f>'Forecast'!$E$37+'Forecast'!$F$21-'Forecast'!$F$50</f>
        <v/>
      </c>
      <c r="G37" s="32">
        <f>'Forecast'!$F$37+'Forecast'!$G$21-'Forecast'!$G$50</f>
        <v/>
      </c>
      <c r="H37" s="32">
        <f>'Forecast'!$G$37+'Forecast'!$H$21-'Forecast'!$H$50</f>
        <v/>
      </c>
      <c r="I37" s="32">
        <f>'Forecast'!$H$37+'Forecast'!$I$21-'Forecast'!$I$50</f>
        <v/>
      </c>
      <c r="J37" s="32">
        <f>'Forecast'!$I$37+'Forecast'!$J$21-'Forecast'!$J$50</f>
        <v/>
      </c>
      <c r="K37" s="32">
        <f>'Forecast'!$J$37+'Forecast'!$K$21-'Forecast'!$K$50</f>
        <v/>
      </c>
      <c r="L37" s="32">
        <f>'Forecast'!$K$37+'Forecast'!$L$21-'Forecast'!$L$50</f>
        <v/>
      </c>
    </row>
    <row r="38">
      <c r="A38" s="19" t="inlineStr">
        <is>
          <t>Total liabilities &amp; equity</t>
        </is>
      </c>
      <c r="B38" s="17">
        <f>'Historical'!$K$37</f>
        <v/>
      </c>
      <c r="C38" s="21">
        <f>'Forecast'!$C$36+'Forecast'!$C$37</f>
        <v/>
      </c>
      <c r="D38" s="21">
        <f>'Forecast'!$D$36+'Forecast'!$D$37</f>
        <v/>
      </c>
      <c r="E38" s="21">
        <f>'Forecast'!$E$36+'Forecast'!$E$37</f>
        <v/>
      </c>
      <c r="F38" s="21">
        <f>'Forecast'!$F$36+'Forecast'!$F$37</f>
        <v/>
      </c>
      <c r="G38" s="21">
        <f>'Forecast'!$G$36+'Forecast'!$G$37</f>
        <v/>
      </c>
      <c r="H38" s="21">
        <f>'Forecast'!$H$36+'Forecast'!$H$37</f>
        <v/>
      </c>
      <c r="I38" s="21">
        <f>'Forecast'!$I$36+'Forecast'!$I$37</f>
        <v/>
      </c>
      <c r="J38" s="21">
        <f>'Forecast'!$J$36+'Forecast'!$J$37</f>
        <v/>
      </c>
      <c r="K38" s="21">
        <f>'Forecast'!$K$36+'Forecast'!$K$37</f>
        <v/>
      </c>
      <c r="L38" s="21">
        <f>'Forecast'!$L$36+'Forecast'!$L$37</f>
        <v/>
      </c>
    </row>
    <row r="39">
      <c r="A39" s="6" t="inlineStr">
        <is>
          <t>Balance check  (must be 0)</t>
        </is>
      </c>
      <c r="B39" s="17" t="n">
        <v>0</v>
      </c>
      <c r="C39" s="17">
        <f>'Forecast'!$C$30-'Forecast'!$C$38</f>
        <v/>
      </c>
      <c r="D39" s="17">
        <f>'Forecast'!$D$30-'Forecast'!$D$38</f>
        <v/>
      </c>
      <c r="E39" s="17">
        <f>'Forecast'!$E$30-'Forecast'!$E$38</f>
        <v/>
      </c>
      <c r="F39" s="17">
        <f>'Forecast'!$F$30-'Forecast'!$F$38</f>
        <v/>
      </c>
      <c r="G39" s="17">
        <f>'Forecast'!$G$30-'Forecast'!$G$38</f>
        <v/>
      </c>
      <c r="H39" s="17">
        <f>'Forecast'!$H$30-'Forecast'!$H$38</f>
        <v/>
      </c>
      <c r="I39" s="17">
        <f>'Forecast'!$I$30-'Forecast'!$I$38</f>
        <v/>
      </c>
      <c r="J39" s="17">
        <f>'Forecast'!$J$30-'Forecast'!$J$38</f>
        <v/>
      </c>
      <c r="K39" s="17">
        <f>'Forecast'!$K$30-'Forecast'!$K$38</f>
        <v/>
      </c>
      <c r="L39" s="17">
        <f>'Forecast'!$L$30-'Forecast'!$L$38</f>
        <v/>
      </c>
    </row>
    <row r="40" ht="20" customHeight="1">
      <c r="A40" s="5" t="inlineStr">
        <is>
          <t>Cash Flow Forecast</t>
        </is>
      </c>
    </row>
    <row r="41">
      <c r="A41" s="6" t="inlineStr">
        <is>
          <t>(−) Increase in working capital</t>
        </is>
      </c>
      <c r="B41" s="17" t="n">
        <v>0</v>
      </c>
      <c r="C41" s="17">
        <f>('Forecast'!$C$24-'Forecast'!$B$24)+('Forecast'!$C$25-'Forecast'!$B$25)+('Forecast'!$C$26-'Forecast'!$B$26)-('Forecast'!$C$32-'Forecast'!$B$32)-('Forecast'!$C$35-'Forecast'!$B$35)</f>
        <v/>
      </c>
      <c r="D41" s="17">
        <f>('Forecast'!$D$24-'Forecast'!$C$24)+('Forecast'!$D$25-'Forecast'!$C$25)+('Forecast'!$D$26-'Forecast'!$C$26)-('Forecast'!$D$32-'Forecast'!$C$32)-('Forecast'!$D$35-'Forecast'!$C$35)</f>
        <v/>
      </c>
      <c r="E41" s="17">
        <f>('Forecast'!$E$24-'Forecast'!$D$24)+('Forecast'!$E$25-'Forecast'!$D$25)+('Forecast'!$E$26-'Forecast'!$D$26)-('Forecast'!$E$32-'Forecast'!$D$32)-('Forecast'!$E$35-'Forecast'!$D$35)</f>
        <v/>
      </c>
      <c r="F41" s="17">
        <f>('Forecast'!$F$24-'Forecast'!$E$24)+('Forecast'!$F$25-'Forecast'!$E$25)+('Forecast'!$F$26-'Forecast'!$E$26)-('Forecast'!$F$32-'Forecast'!$E$32)-('Forecast'!$F$35-'Forecast'!$E$35)</f>
        <v/>
      </c>
      <c r="G41" s="17">
        <f>('Forecast'!$G$24-'Forecast'!$F$24)+('Forecast'!$G$25-'Forecast'!$F$25)+('Forecast'!$G$26-'Forecast'!$F$26)-('Forecast'!$G$32-'Forecast'!$F$32)-('Forecast'!$G$35-'Forecast'!$F$35)</f>
        <v/>
      </c>
      <c r="H41" s="17">
        <f>('Forecast'!$H$24-'Forecast'!$G$24)+('Forecast'!$H$25-'Forecast'!$G$25)+('Forecast'!$H$26-'Forecast'!$G$26)-('Forecast'!$H$32-'Forecast'!$G$32)-('Forecast'!$H$35-'Forecast'!$G$35)</f>
        <v/>
      </c>
      <c r="I41" s="17">
        <f>('Forecast'!$I$24-'Forecast'!$H$24)+('Forecast'!$I$25-'Forecast'!$H$25)+('Forecast'!$I$26-'Forecast'!$H$26)-('Forecast'!$I$32-'Forecast'!$H$32)-('Forecast'!$I$35-'Forecast'!$H$35)</f>
        <v/>
      </c>
      <c r="J41" s="17">
        <f>('Forecast'!$J$24-'Forecast'!$I$24)+('Forecast'!$J$25-'Forecast'!$I$25)+('Forecast'!$J$26-'Forecast'!$I$26)-('Forecast'!$J$32-'Forecast'!$I$32)-('Forecast'!$J$35-'Forecast'!$I$35)</f>
        <v/>
      </c>
      <c r="K41" s="17">
        <f>('Forecast'!$K$24-'Forecast'!$J$24)+('Forecast'!$K$25-'Forecast'!$J$25)+('Forecast'!$K$26-'Forecast'!$J$26)-('Forecast'!$K$32-'Forecast'!$J$32)-('Forecast'!$K$35-'Forecast'!$J$35)</f>
        <v/>
      </c>
      <c r="L41" s="17">
        <f>('Forecast'!$L$24-'Forecast'!$K$24)+('Forecast'!$L$25-'Forecast'!$K$25)+('Forecast'!$L$26-'Forecast'!$K$26)-('Forecast'!$L$32-'Forecast'!$K$32)-('Forecast'!$L$35-'Forecast'!$K$35)</f>
        <v/>
      </c>
    </row>
    <row r="42">
      <c r="A42" s="19" t="inlineStr">
        <is>
          <t>Operating cash flow (CFO)</t>
        </is>
      </c>
      <c r="B42" s="17">
        <f>'Historical'!$K$40</f>
        <v/>
      </c>
      <c r="C42" s="32">
        <f>'Forecast'!$C$21+'Forecast'!$C$15-'Forecast'!$C$41</f>
        <v/>
      </c>
      <c r="D42" s="32">
        <f>'Forecast'!$D$21+'Forecast'!$D$15-'Forecast'!$D$41</f>
        <v/>
      </c>
      <c r="E42" s="32">
        <f>'Forecast'!$E$21+'Forecast'!$E$15-'Forecast'!$E$41</f>
        <v/>
      </c>
      <c r="F42" s="32">
        <f>'Forecast'!$F$21+'Forecast'!$F$15-'Forecast'!$F$41</f>
        <v/>
      </c>
      <c r="G42" s="32">
        <f>'Forecast'!$G$21+'Forecast'!$G$15-'Forecast'!$G$41</f>
        <v/>
      </c>
      <c r="H42" s="32">
        <f>'Forecast'!$H$21+'Forecast'!$H$15-'Forecast'!$H$41</f>
        <v/>
      </c>
      <c r="I42" s="32">
        <f>'Forecast'!$I$21+'Forecast'!$I$15-'Forecast'!$I$41</f>
        <v/>
      </c>
      <c r="J42" s="32">
        <f>'Forecast'!$J$21+'Forecast'!$J$15-'Forecast'!$J$41</f>
        <v/>
      </c>
      <c r="K42" s="32">
        <f>'Forecast'!$K$21+'Forecast'!$K$15-'Forecast'!$K$41</f>
        <v/>
      </c>
      <c r="L42" s="32">
        <f>'Forecast'!$L$21+'Forecast'!$L$15-'Forecast'!$L$41</f>
        <v/>
      </c>
    </row>
    <row r="43">
      <c r="A43" s="6" t="inlineStr">
        <is>
          <t>Capital expenditure</t>
        </is>
      </c>
      <c r="B43" s="17">
        <f>'Historical'!$K$41</f>
        <v/>
      </c>
      <c r="C43" s="17">
        <f>'Assumptions'!$B$57*'Forecast'!$C$10</f>
        <v/>
      </c>
      <c r="D43" s="17">
        <f>'Assumptions'!$C$57*'Forecast'!$D$10</f>
        <v/>
      </c>
      <c r="E43" s="17">
        <f>'Assumptions'!$D$57*'Forecast'!$E$10</f>
        <v/>
      </c>
      <c r="F43" s="17">
        <f>'Assumptions'!$E$57*'Forecast'!$F$10</f>
        <v/>
      </c>
      <c r="G43" s="17">
        <f>'Assumptions'!$F$57*'Forecast'!$G$10</f>
        <v/>
      </c>
      <c r="H43" s="17">
        <f>'Assumptions'!$G$57*'Forecast'!$H$10</f>
        <v/>
      </c>
      <c r="I43" s="17">
        <f>'Assumptions'!$H$57*'Forecast'!$I$10</f>
        <v/>
      </c>
      <c r="J43" s="17">
        <f>'Assumptions'!$I$57*'Forecast'!$J$10</f>
        <v/>
      </c>
      <c r="K43" s="17">
        <f>'Assumptions'!$J$57*'Forecast'!$K$10</f>
        <v/>
      </c>
      <c r="L43" s="17">
        <f>'Assumptions'!$K$57*'Forecast'!$L$10</f>
        <v/>
      </c>
    </row>
    <row r="44">
      <c r="A44" s="6" t="inlineStr">
        <is>
          <t>Investing cash flow (CFI)</t>
        </is>
      </c>
      <c r="B44" s="17" t="n">
        <v>0</v>
      </c>
      <c r="C44" s="17">
        <f>-'Forecast'!$C$43-('Forecast'!$C$29-'Forecast'!$B$29)-('Forecast'!$C$28-'Forecast'!$B$28)</f>
        <v/>
      </c>
      <c r="D44" s="17">
        <f>-'Forecast'!$D$43-('Forecast'!$D$29-'Forecast'!$C$29)-('Forecast'!$D$28-'Forecast'!$C$28)</f>
        <v/>
      </c>
      <c r="E44" s="17">
        <f>-'Forecast'!$E$43-('Forecast'!$E$29-'Forecast'!$D$29)-('Forecast'!$E$28-'Forecast'!$D$28)</f>
        <v/>
      </c>
      <c r="F44" s="17">
        <f>-'Forecast'!$F$43-('Forecast'!$F$29-'Forecast'!$E$29)-('Forecast'!$F$28-'Forecast'!$E$28)</f>
        <v/>
      </c>
      <c r="G44" s="17">
        <f>-'Forecast'!$G$43-('Forecast'!$G$29-'Forecast'!$F$29)-('Forecast'!$G$28-'Forecast'!$F$28)</f>
        <v/>
      </c>
      <c r="H44" s="17">
        <f>-'Forecast'!$H$43-('Forecast'!$H$29-'Forecast'!$G$29)-('Forecast'!$H$28-'Forecast'!$G$28)</f>
        <v/>
      </c>
      <c r="I44" s="17">
        <f>-'Forecast'!$I$43-('Forecast'!$I$29-'Forecast'!$H$29)-('Forecast'!$I$28-'Forecast'!$H$28)</f>
        <v/>
      </c>
      <c r="J44" s="17">
        <f>-'Forecast'!$J$43-('Forecast'!$J$29-'Forecast'!$I$29)-('Forecast'!$J$28-'Forecast'!$I$28)</f>
        <v/>
      </c>
      <c r="K44" s="17">
        <f>-'Forecast'!$K$43-('Forecast'!$K$29-'Forecast'!$J$29)-('Forecast'!$K$28-'Forecast'!$J$28)</f>
        <v/>
      </c>
      <c r="L44" s="17">
        <f>-'Forecast'!$L$43-('Forecast'!$L$29-'Forecast'!$K$29)-('Forecast'!$L$28-'Forecast'!$K$28)</f>
        <v/>
      </c>
    </row>
    <row r="45">
      <c r="A45" s="6" t="inlineStr">
        <is>
          <t>Financing cash flow (CFF)</t>
        </is>
      </c>
      <c r="B45" s="17" t="n">
        <v>0</v>
      </c>
      <c r="C45" s="17">
        <f>'Forecast'!$C$54-'Forecast'!$C$55-'Forecast'!$C$50+('Forecast'!$C$33-'Forecast'!$B$33)</f>
        <v/>
      </c>
      <c r="D45" s="17">
        <f>'Forecast'!$D$54-'Forecast'!$D$55-'Forecast'!$D$50+('Forecast'!$D$33-'Forecast'!$C$33)</f>
        <v/>
      </c>
      <c r="E45" s="17">
        <f>'Forecast'!$E$54-'Forecast'!$E$55-'Forecast'!$E$50+('Forecast'!$E$33-'Forecast'!$D$33)</f>
        <v/>
      </c>
      <c r="F45" s="17">
        <f>'Forecast'!$F$54-'Forecast'!$F$55-'Forecast'!$F$50+('Forecast'!$F$33-'Forecast'!$E$33)</f>
        <v/>
      </c>
      <c r="G45" s="17">
        <f>'Forecast'!$G$54-'Forecast'!$G$55-'Forecast'!$G$50+('Forecast'!$G$33-'Forecast'!$F$33)</f>
        <v/>
      </c>
      <c r="H45" s="17">
        <f>'Forecast'!$H$54-'Forecast'!$H$55-'Forecast'!$H$50+('Forecast'!$H$33-'Forecast'!$G$33)</f>
        <v/>
      </c>
      <c r="I45" s="17">
        <f>'Forecast'!$I$54-'Forecast'!$I$55-'Forecast'!$I$50+('Forecast'!$I$33-'Forecast'!$H$33)</f>
        <v/>
      </c>
      <c r="J45" s="17">
        <f>'Forecast'!$J$54-'Forecast'!$J$55-'Forecast'!$J$50+('Forecast'!$J$33-'Forecast'!$I$33)</f>
        <v/>
      </c>
      <c r="K45" s="17">
        <f>'Forecast'!$K$54-'Forecast'!$K$55-'Forecast'!$K$50+('Forecast'!$K$33-'Forecast'!$J$33)</f>
        <v/>
      </c>
      <c r="L45" s="17">
        <f>'Forecast'!$L$54-'Forecast'!$L$55-'Forecast'!$L$50+('Forecast'!$L$33-'Forecast'!$K$33)</f>
        <v/>
      </c>
    </row>
    <row r="46">
      <c r="A46" s="19" t="inlineStr">
        <is>
          <t>Free cash flow (CFO − capex)</t>
        </is>
      </c>
      <c r="B46" s="17">
        <f>'Historical'!$K$42</f>
        <v/>
      </c>
      <c r="C46" s="32">
        <f>'Forecast'!$C$42-'Forecast'!$C$43</f>
        <v/>
      </c>
      <c r="D46" s="32">
        <f>'Forecast'!$D$42-'Forecast'!$D$43</f>
        <v/>
      </c>
      <c r="E46" s="32">
        <f>'Forecast'!$E$42-'Forecast'!$E$43</f>
        <v/>
      </c>
      <c r="F46" s="32">
        <f>'Forecast'!$F$42-'Forecast'!$F$43</f>
        <v/>
      </c>
      <c r="G46" s="32">
        <f>'Forecast'!$G$42-'Forecast'!$G$43</f>
        <v/>
      </c>
      <c r="H46" s="32">
        <f>'Forecast'!$H$42-'Forecast'!$H$43</f>
        <v/>
      </c>
      <c r="I46" s="32">
        <f>'Forecast'!$I$42-'Forecast'!$I$43</f>
        <v/>
      </c>
      <c r="J46" s="32">
        <f>'Forecast'!$J$42-'Forecast'!$J$43</f>
        <v/>
      </c>
      <c r="K46" s="32">
        <f>'Forecast'!$K$42-'Forecast'!$K$43</f>
        <v/>
      </c>
      <c r="L46" s="32">
        <f>'Forecast'!$L$42-'Forecast'!$L$43</f>
        <v/>
      </c>
    </row>
    <row r="47" ht="20" customHeight="1">
      <c r="A47" s="5" t="inlineStr">
        <is>
          <t>Equity Roll-Forward</t>
        </is>
      </c>
    </row>
    <row r="48">
      <c r="A48" s="6" t="inlineStr">
        <is>
          <t>Beginning equity</t>
        </is>
      </c>
      <c r="B48" s="17" t="n">
        <v>0</v>
      </c>
      <c r="C48" s="17">
        <f>'Forecast'!$B$37</f>
        <v/>
      </c>
      <c r="D48" s="17">
        <f>'Forecast'!$C$37</f>
        <v/>
      </c>
      <c r="E48" s="17">
        <f>'Forecast'!$D$37</f>
        <v/>
      </c>
      <c r="F48" s="17">
        <f>'Forecast'!$E$37</f>
        <v/>
      </c>
      <c r="G48" s="17">
        <f>'Forecast'!$F$37</f>
        <v/>
      </c>
      <c r="H48" s="17">
        <f>'Forecast'!$G$37</f>
        <v/>
      </c>
      <c r="I48" s="17">
        <f>'Forecast'!$H$37</f>
        <v/>
      </c>
      <c r="J48" s="17">
        <f>'Forecast'!$I$37</f>
        <v/>
      </c>
      <c r="K48" s="17">
        <f>'Forecast'!$J$37</f>
        <v/>
      </c>
      <c r="L48" s="17">
        <f>'Forecast'!$K$37</f>
        <v/>
      </c>
    </row>
    <row r="49">
      <c r="A49" s="6" t="inlineStr">
        <is>
          <t>(+) Net income</t>
        </is>
      </c>
      <c r="B49" s="17" t="n">
        <v>0</v>
      </c>
      <c r="C49" s="17">
        <f>'Forecast'!$C$21</f>
        <v/>
      </c>
      <c r="D49" s="17">
        <f>'Forecast'!$D$21</f>
        <v/>
      </c>
      <c r="E49" s="17">
        <f>'Forecast'!$E$21</f>
        <v/>
      </c>
      <c r="F49" s="17">
        <f>'Forecast'!$F$21</f>
        <v/>
      </c>
      <c r="G49" s="17">
        <f>'Forecast'!$G$21</f>
        <v/>
      </c>
      <c r="H49" s="17">
        <f>'Forecast'!$H$21</f>
        <v/>
      </c>
      <c r="I49" s="17">
        <f>'Forecast'!$I$21</f>
        <v/>
      </c>
      <c r="J49" s="17">
        <f>'Forecast'!$J$21</f>
        <v/>
      </c>
      <c r="K49" s="17">
        <f>'Forecast'!$K$21</f>
        <v/>
      </c>
      <c r="L49" s="17">
        <f>'Forecast'!$L$21</f>
        <v/>
      </c>
    </row>
    <row r="50">
      <c r="A50" s="6" t="inlineStr">
        <is>
          <t>(−) Dividends</t>
        </is>
      </c>
      <c r="B50" s="17" t="n">
        <v>0</v>
      </c>
      <c r="C50" s="17">
        <f>'Assumptions'!$B$63*MAX(0,'Forecast'!$C$21)</f>
        <v/>
      </c>
      <c r="D50" s="17">
        <f>'Assumptions'!$C$63*MAX(0,'Forecast'!$D$21)</f>
        <v/>
      </c>
      <c r="E50" s="17">
        <f>'Assumptions'!$D$63*MAX(0,'Forecast'!$E$21)</f>
        <v/>
      </c>
      <c r="F50" s="17">
        <f>'Assumptions'!$E$63*MAX(0,'Forecast'!$F$21)</f>
        <v/>
      </c>
      <c r="G50" s="17">
        <f>'Assumptions'!$F$63*MAX(0,'Forecast'!$G$21)</f>
        <v/>
      </c>
      <c r="H50" s="17">
        <f>'Assumptions'!$G$63*MAX(0,'Forecast'!$H$21)</f>
        <v/>
      </c>
      <c r="I50" s="17">
        <f>'Assumptions'!$H$63*MAX(0,'Forecast'!$I$21)</f>
        <v/>
      </c>
      <c r="J50" s="17">
        <f>'Assumptions'!$I$63*MAX(0,'Forecast'!$J$21)</f>
        <v/>
      </c>
      <c r="K50" s="17">
        <f>'Assumptions'!$J$63*MAX(0,'Forecast'!$K$21)</f>
        <v/>
      </c>
      <c r="L50" s="17">
        <f>'Assumptions'!$K$63*MAX(0,'Forecast'!$L$21)</f>
        <v/>
      </c>
    </row>
    <row r="51">
      <c r="A51" s="19" t="inlineStr">
        <is>
          <t>(=) Ending equity</t>
        </is>
      </c>
      <c r="B51" s="17">
        <f>'Historical'!$K$36</f>
        <v/>
      </c>
      <c r="C51" s="21">
        <f>'Forecast'!$C$37</f>
        <v/>
      </c>
      <c r="D51" s="21">
        <f>'Forecast'!$D$37</f>
        <v/>
      </c>
      <c r="E51" s="21">
        <f>'Forecast'!$E$37</f>
        <v/>
      </c>
      <c r="F51" s="21">
        <f>'Forecast'!$F$37</f>
        <v/>
      </c>
      <c r="G51" s="21">
        <f>'Forecast'!$G$37</f>
        <v/>
      </c>
      <c r="H51" s="21">
        <f>'Forecast'!$H$37</f>
        <v/>
      </c>
      <c r="I51" s="21">
        <f>'Forecast'!$I$37</f>
        <v/>
      </c>
      <c r="J51" s="21">
        <f>'Forecast'!$J$37</f>
        <v/>
      </c>
      <c r="K51" s="21">
        <f>'Forecast'!$K$37</f>
        <v/>
      </c>
      <c r="L51" s="21">
        <f>'Forecast'!$L$37</f>
        <v/>
      </c>
    </row>
    <row r="52" ht="20" customHeight="1">
      <c r="A52" s="5" t="inlineStr">
        <is>
          <t>Debt Roll-Forward</t>
        </is>
      </c>
    </row>
    <row r="53">
      <c r="A53" s="6" t="inlineStr">
        <is>
          <t>Beginning long-term debt</t>
        </is>
      </c>
      <c r="B53" s="17" t="n">
        <v>0</v>
      </c>
      <c r="C53" s="17">
        <f>'Forecast'!$B$34</f>
        <v/>
      </c>
      <c r="D53" s="17">
        <f>'Forecast'!$C$34</f>
        <v/>
      </c>
      <c r="E53" s="17">
        <f>'Forecast'!$D$34</f>
        <v/>
      </c>
      <c r="F53" s="17">
        <f>'Forecast'!$E$34</f>
        <v/>
      </c>
      <c r="G53" s="17">
        <f>'Forecast'!$F$34</f>
        <v/>
      </c>
      <c r="H53" s="17">
        <f>'Forecast'!$G$34</f>
        <v/>
      </c>
      <c r="I53" s="17">
        <f>'Forecast'!$H$34</f>
        <v/>
      </c>
      <c r="J53" s="17">
        <f>'Forecast'!$I$34</f>
        <v/>
      </c>
      <c r="K53" s="17">
        <f>'Forecast'!$J$34</f>
        <v/>
      </c>
      <c r="L53" s="17">
        <f>'Forecast'!$K$34</f>
        <v/>
      </c>
    </row>
    <row r="54">
      <c r="A54" s="6" t="inlineStr">
        <is>
          <t>(+) New debt raised</t>
        </is>
      </c>
      <c r="B54" s="17" t="n">
        <v>0</v>
      </c>
      <c r="C54" s="17">
        <f>'Assumptions'!$B$65</f>
        <v/>
      </c>
      <c r="D54" s="17">
        <f>'Assumptions'!$C$65</f>
        <v/>
      </c>
      <c r="E54" s="17">
        <f>'Assumptions'!$D$65</f>
        <v/>
      </c>
      <c r="F54" s="17">
        <f>'Assumptions'!$E$65</f>
        <v/>
      </c>
      <c r="G54" s="17">
        <f>'Assumptions'!$F$65</f>
        <v/>
      </c>
      <c r="H54" s="17">
        <f>'Assumptions'!$G$65</f>
        <v/>
      </c>
      <c r="I54" s="17">
        <f>'Assumptions'!$H$65</f>
        <v/>
      </c>
      <c r="J54" s="17">
        <f>'Assumptions'!$I$65</f>
        <v/>
      </c>
      <c r="K54" s="17">
        <f>'Assumptions'!$J$65</f>
        <v/>
      </c>
      <c r="L54" s="17">
        <f>'Assumptions'!$K$65</f>
        <v/>
      </c>
    </row>
    <row r="55">
      <c r="A55" s="6" t="inlineStr">
        <is>
          <t>(−) Debt repayment</t>
        </is>
      </c>
      <c r="B55" s="17" t="n">
        <v>0</v>
      </c>
      <c r="C55" s="17">
        <f>'Assumptions'!$B$64*'Forecast'!$B$34</f>
        <v/>
      </c>
      <c r="D55" s="17">
        <f>'Assumptions'!$C$64*'Forecast'!$C$34</f>
        <v/>
      </c>
      <c r="E55" s="17">
        <f>'Assumptions'!$D$64*'Forecast'!$D$34</f>
        <v/>
      </c>
      <c r="F55" s="17">
        <f>'Assumptions'!$E$64*'Forecast'!$E$34</f>
        <v/>
      </c>
      <c r="G55" s="17">
        <f>'Assumptions'!$F$64*'Forecast'!$F$34</f>
        <v/>
      </c>
      <c r="H55" s="17">
        <f>'Assumptions'!$G$64*'Forecast'!$G$34</f>
        <v/>
      </c>
      <c r="I55" s="17">
        <f>'Assumptions'!$H$64*'Forecast'!$H$34</f>
        <v/>
      </c>
      <c r="J55" s="17">
        <f>'Assumptions'!$I$64*'Forecast'!$I$34</f>
        <v/>
      </c>
      <c r="K55" s="17">
        <f>'Assumptions'!$J$64*'Forecast'!$J$34</f>
        <v/>
      </c>
      <c r="L55" s="17">
        <f>'Assumptions'!$K$64*'Forecast'!$K$34</f>
        <v/>
      </c>
    </row>
    <row r="56">
      <c r="A56" s="19" t="inlineStr">
        <is>
          <t>(=) Ending long-term debt</t>
        </is>
      </c>
      <c r="B56" s="17">
        <f>'Historical'!$K$33</f>
        <v/>
      </c>
      <c r="C56" s="21">
        <f>'Forecast'!$C$34</f>
        <v/>
      </c>
      <c r="D56" s="21">
        <f>'Forecast'!$D$34</f>
        <v/>
      </c>
      <c r="E56" s="21">
        <f>'Forecast'!$E$34</f>
        <v/>
      </c>
      <c r="F56" s="21">
        <f>'Forecast'!$F$34</f>
        <v/>
      </c>
      <c r="G56" s="21">
        <f>'Forecast'!$G$34</f>
        <v/>
      </c>
      <c r="H56" s="21">
        <f>'Forecast'!$H$34</f>
        <v/>
      </c>
      <c r="I56" s="21">
        <f>'Forecast'!$I$34</f>
        <v/>
      </c>
      <c r="J56" s="21">
        <f>'Forecast'!$J$34</f>
        <v/>
      </c>
      <c r="K56" s="21">
        <f>'Forecast'!$K$34</f>
        <v/>
      </c>
      <c r="L56" s="21">
        <f>'Forecast'!$L$34</f>
        <v/>
      </c>
    </row>
    <row r="57">
      <c r="A57" s="6" t="inlineStr">
        <is>
          <t>Total debt (memo)</t>
        </is>
      </c>
      <c r="B57" s="17">
        <f>'Historical'!$K$44</f>
        <v/>
      </c>
      <c r="C57" s="17">
        <f>'Forecast'!$C$33+'Forecast'!$C$34</f>
        <v/>
      </c>
      <c r="D57" s="17">
        <f>'Forecast'!$D$33+'Forecast'!$D$34</f>
        <v/>
      </c>
      <c r="E57" s="17">
        <f>'Forecast'!$E$33+'Forecast'!$E$34</f>
        <v/>
      </c>
      <c r="F57" s="17">
        <f>'Forecast'!$F$33+'Forecast'!$F$34</f>
        <v/>
      </c>
      <c r="G57" s="17">
        <f>'Forecast'!$G$33+'Forecast'!$G$34</f>
        <v/>
      </c>
      <c r="H57" s="17">
        <f>'Forecast'!$H$33+'Forecast'!$H$34</f>
        <v/>
      </c>
      <c r="I57" s="17">
        <f>'Forecast'!$I$33+'Forecast'!$I$34</f>
        <v/>
      </c>
      <c r="J57" s="17">
        <f>'Forecast'!$J$33+'Forecast'!$J$34</f>
        <v/>
      </c>
      <c r="K57" s="17">
        <f>'Forecast'!$K$33+'Forecast'!$K$34</f>
        <v/>
      </c>
      <c r="L57" s="17">
        <f>'Forecast'!$L$33+'Forecast'!$L$34</f>
        <v/>
      </c>
    </row>
  </sheetData>
  <mergeCells count="10">
    <mergeCell ref="D7:L7"/>
    <mergeCell ref="A2:L2"/>
    <mergeCell ref="A52:L52"/>
    <mergeCell ref="A47:L47"/>
    <mergeCell ref="A1:L1"/>
    <mergeCell ref="A31:L31"/>
    <mergeCell ref="A22:L22"/>
    <mergeCell ref="A40:L40"/>
    <mergeCell ref="A9:L9"/>
    <mergeCell ref="A3:L3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K2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1" t="inlineStr">
        <is>
          <t>FORECAST BRIDGE</t>
        </is>
      </c>
    </row>
    <row r="2">
      <c r="A2" s="2" t="inlineStr">
        <is>
          <t>Why revenue, EBITDA and net income change each year — effect decomposition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>
      <c r="A8" s="14" t="inlineStr">
        <is>
          <t>Effect</t>
        </is>
      </c>
      <c r="B8" s="16" t="inlineStr">
        <is>
          <t>FY2025</t>
        </is>
      </c>
      <c r="C8" s="16" t="inlineStr">
        <is>
          <t>FY2026</t>
        </is>
      </c>
      <c r="D8" s="16" t="inlineStr">
        <is>
          <t>FY2027</t>
        </is>
      </c>
      <c r="E8" s="16" t="inlineStr">
        <is>
          <t>FY2028</t>
        </is>
      </c>
      <c r="F8" s="16" t="inlineStr">
        <is>
          <t>FY2029</t>
        </is>
      </c>
      <c r="G8" s="16" t="inlineStr">
        <is>
          <t>FY2030</t>
        </is>
      </c>
      <c r="H8" s="16" t="inlineStr">
        <is>
          <t>FY2031</t>
        </is>
      </c>
      <c r="I8" s="16" t="inlineStr">
        <is>
          <t>FY2032</t>
        </is>
      </c>
      <c r="J8" s="16" t="inlineStr">
        <is>
          <t>FY2033</t>
        </is>
      </c>
      <c r="K8" s="16" t="inlineStr">
        <is>
          <t>FY2034</t>
        </is>
      </c>
    </row>
    <row r="9" ht="20" customHeight="1">
      <c r="A9" s="5" t="inlineStr">
        <is>
          <t>Revenue Bridge</t>
        </is>
      </c>
    </row>
    <row r="10">
      <c r="A10" s="6" t="inlineStr">
        <is>
          <t>Prior-year revenue</t>
        </is>
      </c>
      <c r="B10" s="17">
        <f>'Forecast'!$B$10</f>
        <v/>
      </c>
      <c r="C10" s="17">
        <f>'Forecast'!$C$10</f>
        <v/>
      </c>
      <c r="D10" s="17">
        <f>'Forecast'!$D$10</f>
        <v/>
      </c>
      <c r="E10" s="17">
        <f>'Forecast'!$E$10</f>
        <v/>
      </c>
      <c r="F10" s="17">
        <f>'Forecast'!$F$10</f>
        <v/>
      </c>
      <c r="G10" s="17">
        <f>'Forecast'!$G$10</f>
        <v/>
      </c>
      <c r="H10" s="17">
        <f>'Forecast'!$H$10</f>
        <v/>
      </c>
      <c r="I10" s="17">
        <f>'Forecast'!$I$10</f>
        <v/>
      </c>
      <c r="J10" s="17">
        <f>'Forecast'!$J$10</f>
        <v/>
      </c>
      <c r="K10" s="17">
        <f>'Forecast'!$K$10</f>
        <v/>
      </c>
    </row>
    <row r="11">
      <c r="A11" s="6" t="inlineStr">
        <is>
          <t>(+) Growth effect</t>
        </is>
      </c>
      <c r="B11" s="17">
        <f>'Forecast'!$C$10-'Forecast'!$B$10</f>
        <v/>
      </c>
      <c r="C11" s="17">
        <f>'Forecast'!$D$10-'Forecast'!$C$10</f>
        <v/>
      </c>
      <c r="D11" s="17">
        <f>'Forecast'!$E$10-'Forecast'!$D$10</f>
        <v/>
      </c>
      <c r="E11" s="17">
        <f>'Forecast'!$F$10-'Forecast'!$E$10</f>
        <v/>
      </c>
      <c r="F11" s="17">
        <f>'Forecast'!$G$10-'Forecast'!$F$10</f>
        <v/>
      </c>
      <c r="G11" s="17">
        <f>'Forecast'!$H$10-'Forecast'!$G$10</f>
        <v/>
      </c>
      <c r="H11" s="17">
        <f>'Forecast'!$I$10-'Forecast'!$H$10</f>
        <v/>
      </c>
      <c r="I11" s="17">
        <f>'Forecast'!$J$10-'Forecast'!$I$10</f>
        <v/>
      </c>
      <c r="J11" s="17">
        <f>'Forecast'!$K$10-'Forecast'!$J$10</f>
        <v/>
      </c>
      <c r="K11" s="17">
        <f>'Forecast'!$L$10-'Forecast'!$K$10</f>
        <v/>
      </c>
    </row>
    <row r="12">
      <c r="A12" s="19" t="inlineStr">
        <is>
          <t>(=) Current revenue</t>
        </is>
      </c>
      <c r="B12" s="21">
        <f>'Forecast'!$C$10</f>
        <v/>
      </c>
      <c r="C12" s="21">
        <f>'Forecast'!$D$10</f>
        <v/>
      </c>
      <c r="D12" s="21">
        <f>'Forecast'!$E$10</f>
        <v/>
      </c>
      <c r="E12" s="21">
        <f>'Forecast'!$F$10</f>
        <v/>
      </c>
      <c r="F12" s="21">
        <f>'Forecast'!$G$10</f>
        <v/>
      </c>
      <c r="G12" s="21">
        <f>'Forecast'!$H$10</f>
        <v/>
      </c>
      <c r="H12" s="21">
        <f>'Forecast'!$I$10</f>
        <v/>
      </c>
      <c r="I12" s="21">
        <f>'Forecast'!$J$10</f>
        <v/>
      </c>
      <c r="J12" s="21">
        <f>'Forecast'!$K$10</f>
        <v/>
      </c>
      <c r="K12" s="21">
        <f>'Forecast'!$L$10</f>
        <v/>
      </c>
    </row>
    <row r="13">
      <c r="A13" s="22" t="inlineStr">
        <is>
          <t>Check (effects − actual Δ)</t>
        </is>
      </c>
      <c r="B13" s="17">
        <f>($B$11)-('Forecast'!$C$10-'Forecast'!$B$10)</f>
        <v/>
      </c>
      <c r="C13" s="17">
        <f>($C$11)-('Forecast'!$D$10-'Forecast'!$C$10)</f>
        <v/>
      </c>
      <c r="D13" s="17">
        <f>($D$11)-('Forecast'!$E$10-'Forecast'!$D$10)</f>
        <v/>
      </c>
      <c r="E13" s="17">
        <f>($E$11)-('Forecast'!$F$10-'Forecast'!$E$10)</f>
        <v/>
      </c>
      <c r="F13" s="17">
        <f>($F$11)-('Forecast'!$G$10-'Forecast'!$F$10)</f>
        <v/>
      </c>
      <c r="G13" s="17">
        <f>($G$11)-('Forecast'!$H$10-'Forecast'!$G$10)</f>
        <v/>
      </c>
      <c r="H13" s="17">
        <f>($H$11)-('Forecast'!$I$10-'Forecast'!$H$10)</f>
        <v/>
      </c>
      <c r="I13" s="17">
        <f>($I$11)-('Forecast'!$J$10-'Forecast'!$I$10)</f>
        <v/>
      </c>
      <c r="J13" s="17">
        <f>($J$11)-('Forecast'!$K$10-'Forecast'!$J$10)</f>
        <v/>
      </c>
      <c r="K13" s="17">
        <f>($K$11)-('Forecast'!$L$10-'Forecast'!$K$10)</f>
        <v/>
      </c>
    </row>
    <row r="15" ht="20" customHeight="1">
      <c r="A15" s="5" t="inlineStr">
        <is>
          <t>EBITDA Bridge</t>
        </is>
      </c>
    </row>
    <row r="16">
      <c r="A16" s="6" t="inlineStr">
        <is>
          <t>Prior-year EBITDA</t>
        </is>
      </c>
      <c r="B16" s="17">
        <f>'Forecast'!$B$13</f>
        <v/>
      </c>
      <c r="C16" s="17">
        <f>'Forecast'!$C$13</f>
        <v/>
      </c>
      <c r="D16" s="17">
        <f>'Forecast'!$D$13</f>
        <v/>
      </c>
      <c r="E16" s="17">
        <f>'Forecast'!$E$13</f>
        <v/>
      </c>
      <c r="F16" s="17">
        <f>'Forecast'!$F$13</f>
        <v/>
      </c>
      <c r="G16" s="17">
        <f>'Forecast'!$G$13</f>
        <v/>
      </c>
      <c r="H16" s="17">
        <f>'Forecast'!$H$13</f>
        <v/>
      </c>
      <c r="I16" s="17">
        <f>'Forecast'!$I$13</f>
        <v/>
      </c>
      <c r="J16" s="17">
        <f>'Forecast'!$J$13</f>
        <v/>
      </c>
      <c r="K16" s="17">
        <f>'Forecast'!$K$13</f>
        <v/>
      </c>
    </row>
    <row r="17">
      <c r="A17" s="6" t="inlineStr">
        <is>
          <t>(+) Revenue (volume) effect</t>
        </is>
      </c>
      <c r="B17" s="17">
        <f>('Forecast'!$C$10-'Forecast'!$B$10)*IFERROR('Forecast'!$B$13/'Forecast'!$B$10,0)</f>
        <v/>
      </c>
      <c r="C17" s="17">
        <f>('Forecast'!$D$10-'Forecast'!$C$10)*IFERROR('Forecast'!$C$13/'Forecast'!$C$10,0)</f>
        <v/>
      </c>
      <c r="D17" s="17">
        <f>('Forecast'!$E$10-'Forecast'!$D$10)*IFERROR('Forecast'!$D$13/'Forecast'!$D$10,0)</f>
        <v/>
      </c>
      <c r="E17" s="17">
        <f>('Forecast'!$F$10-'Forecast'!$E$10)*IFERROR('Forecast'!$E$13/'Forecast'!$E$10,0)</f>
        <v/>
      </c>
      <c r="F17" s="17">
        <f>('Forecast'!$G$10-'Forecast'!$F$10)*IFERROR('Forecast'!$F$13/'Forecast'!$F$10,0)</f>
        <v/>
      </c>
      <c r="G17" s="17">
        <f>('Forecast'!$H$10-'Forecast'!$G$10)*IFERROR('Forecast'!$G$13/'Forecast'!$G$10,0)</f>
        <v/>
      </c>
      <c r="H17" s="17">
        <f>('Forecast'!$I$10-'Forecast'!$H$10)*IFERROR('Forecast'!$H$13/'Forecast'!$H$10,0)</f>
        <v/>
      </c>
      <c r="I17" s="17">
        <f>('Forecast'!$J$10-'Forecast'!$I$10)*IFERROR('Forecast'!$I$13/'Forecast'!$I$10,0)</f>
        <v/>
      </c>
      <c r="J17" s="17">
        <f>('Forecast'!$K$10-'Forecast'!$J$10)*IFERROR('Forecast'!$J$13/'Forecast'!$J$10,0)</f>
        <v/>
      </c>
      <c r="K17" s="17">
        <f>('Forecast'!$L$10-'Forecast'!$K$10)*IFERROR('Forecast'!$K$13/'Forecast'!$K$10,0)</f>
        <v/>
      </c>
    </row>
    <row r="18">
      <c r="A18" s="6" t="inlineStr">
        <is>
          <t>(+) Margin effect</t>
        </is>
      </c>
      <c r="B18" s="17">
        <f>(IFERROR('Forecast'!$C$13/'Forecast'!$C$10,0)-IFERROR('Forecast'!$B$13/'Forecast'!$B$10,0))*'Forecast'!$C$10</f>
        <v/>
      </c>
      <c r="C18" s="17">
        <f>(IFERROR('Forecast'!$D$13/'Forecast'!$D$10,0)-IFERROR('Forecast'!$C$13/'Forecast'!$C$10,0))*'Forecast'!$D$10</f>
        <v/>
      </c>
      <c r="D18" s="17">
        <f>(IFERROR('Forecast'!$E$13/'Forecast'!$E$10,0)-IFERROR('Forecast'!$D$13/'Forecast'!$D$10,0))*'Forecast'!$E$10</f>
        <v/>
      </c>
      <c r="E18" s="17">
        <f>(IFERROR('Forecast'!$F$13/'Forecast'!$F$10,0)-IFERROR('Forecast'!$E$13/'Forecast'!$E$10,0))*'Forecast'!$F$10</f>
        <v/>
      </c>
      <c r="F18" s="17">
        <f>(IFERROR('Forecast'!$G$13/'Forecast'!$G$10,0)-IFERROR('Forecast'!$F$13/'Forecast'!$F$10,0))*'Forecast'!$G$10</f>
        <v/>
      </c>
      <c r="G18" s="17">
        <f>(IFERROR('Forecast'!$H$13/'Forecast'!$H$10,0)-IFERROR('Forecast'!$G$13/'Forecast'!$G$10,0))*'Forecast'!$H$10</f>
        <v/>
      </c>
      <c r="H18" s="17">
        <f>(IFERROR('Forecast'!$I$13/'Forecast'!$I$10,0)-IFERROR('Forecast'!$H$13/'Forecast'!$H$10,0))*'Forecast'!$I$10</f>
        <v/>
      </c>
      <c r="I18" s="17">
        <f>(IFERROR('Forecast'!$J$13/'Forecast'!$J$10,0)-IFERROR('Forecast'!$I$13/'Forecast'!$I$10,0))*'Forecast'!$J$10</f>
        <v/>
      </c>
      <c r="J18" s="17">
        <f>(IFERROR('Forecast'!$K$13/'Forecast'!$K$10,0)-IFERROR('Forecast'!$J$13/'Forecast'!$J$10,0))*'Forecast'!$K$10</f>
        <v/>
      </c>
      <c r="K18" s="17">
        <f>(IFERROR('Forecast'!$L$13/'Forecast'!$L$10,0)-IFERROR('Forecast'!$K$13/'Forecast'!$K$10,0))*'Forecast'!$L$10</f>
        <v/>
      </c>
    </row>
    <row r="19">
      <c r="A19" s="19" t="inlineStr">
        <is>
          <t>(=) Current EBITDA</t>
        </is>
      </c>
      <c r="B19" s="21">
        <f>'Forecast'!$C$13</f>
        <v/>
      </c>
      <c r="C19" s="21">
        <f>'Forecast'!$D$13</f>
        <v/>
      </c>
      <c r="D19" s="21">
        <f>'Forecast'!$E$13</f>
        <v/>
      </c>
      <c r="E19" s="21">
        <f>'Forecast'!$F$13</f>
        <v/>
      </c>
      <c r="F19" s="21">
        <f>'Forecast'!$G$13</f>
        <v/>
      </c>
      <c r="G19" s="21">
        <f>'Forecast'!$H$13</f>
        <v/>
      </c>
      <c r="H19" s="21">
        <f>'Forecast'!$I$13</f>
        <v/>
      </c>
      <c r="I19" s="21">
        <f>'Forecast'!$J$13</f>
        <v/>
      </c>
      <c r="J19" s="21">
        <f>'Forecast'!$K$13</f>
        <v/>
      </c>
      <c r="K19" s="21">
        <f>'Forecast'!$L$13</f>
        <v/>
      </c>
    </row>
    <row r="20">
      <c r="A20" s="22" t="inlineStr">
        <is>
          <t>Check (effects − actual Δ)</t>
        </is>
      </c>
      <c r="B20" s="17">
        <f>($B$17+$B$18)-('Forecast'!$C$13-'Forecast'!$B$13)</f>
        <v/>
      </c>
      <c r="C20" s="17">
        <f>($C$17+$C$18)-('Forecast'!$D$13-'Forecast'!$C$13)</f>
        <v/>
      </c>
      <c r="D20" s="17">
        <f>($D$17+$D$18)-('Forecast'!$E$13-'Forecast'!$D$13)</f>
        <v/>
      </c>
      <c r="E20" s="17">
        <f>($E$17+$E$18)-('Forecast'!$F$13-'Forecast'!$E$13)</f>
        <v/>
      </c>
      <c r="F20" s="17">
        <f>($F$17+$F$18)-('Forecast'!$G$13-'Forecast'!$F$13)</f>
        <v/>
      </c>
      <c r="G20" s="17">
        <f>($G$17+$G$18)-('Forecast'!$H$13-'Forecast'!$G$13)</f>
        <v/>
      </c>
      <c r="H20" s="17">
        <f>($H$17+$H$18)-('Forecast'!$I$13-'Forecast'!$H$13)</f>
        <v/>
      </c>
      <c r="I20" s="17">
        <f>($I$17+$I$18)-('Forecast'!$J$13-'Forecast'!$I$13)</f>
        <v/>
      </c>
      <c r="J20" s="17">
        <f>($J$17+$J$18)-('Forecast'!$K$13-'Forecast'!$J$13)</f>
        <v/>
      </c>
      <c r="K20" s="17">
        <f>($K$17+$K$18)-('Forecast'!$L$13-'Forecast'!$K$13)</f>
        <v/>
      </c>
    </row>
    <row r="22" ht="20" customHeight="1">
      <c r="A22" s="5" t="inlineStr">
        <is>
          <t>Net Income Bridge</t>
        </is>
      </c>
    </row>
    <row r="23">
      <c r="A23" s="6" t="inlineStr">
        <is>
          <t>Prior-year net income</t>
        </is>
      </c>
      <c r="B23" s="17">
        <f>'Forecast'!$B$21</f>
        <v/>
      </c>
      <c r="C23" s="17">
        <f>'Forecast'!$C$21</f>
        <v/>
      </c>
      <c r="D23" s="17">
        <f>'Forecast'!$D$21</f>
        <v/>
      </c>
      <c r="E23" s="17">
        <f>'Forecast'!$E$21</f>
        <v/>
      </c>
      <c r="F23" s="17">
        <f>'Forecast'!$F$21</f>
        <v/>
      </c>
      <c r="G23" s="17">
        <f>'Forecast'!$G$21</f>
        <v/>
      </c>
      <c r="H23" s="17">
        <f>'Forecast'!$H$21</f>
        <v/>
      </c>
      <c r="I23" s="17">
        <f>'Forecast'!$I$21</f>
        <v/>
      </c>
      <c r="J23" s="17">
        <f>'Forecast'!$J$21</f>
        <v/>
      </c>
      <c r="K23" s="17">
        <f>'Forecast'!$K$21</f>
        <v/>
      </c>
    </row>
    <row r="24">
      <c r="A24" s="6" t="inlineStr">
        <is>
          <t>(+) EBITDA effect</t>
        </is>
      </c>
      <c r="B24" s="17">
        <f>('Forecast'!$C$13-'Forecast'!$B$13)*(1-IFERROR('Forecast'!$B$20/'Forecast'!$B$19,0))</f>
        <v/>
      </c>
      <c r="C24" s="17">
        <f>('Forecast'!$D$13-'Forecast'!$C$13)*(1-IFERROR('Forecast'!$C$20/'Forecast'!$C$19,0))</f>
        <v/>
      </c>
      <c r="D24" s="17">
        <f>('Forecast'!$E$13-'Forecast'!$D$13)*(1-IFERROR('Forecast'!$D$20/'Forecast'!$D$19,0))</f>
        <v/>
      </c>
      <c r="E24" s="17">
        <f>('Forecast'!$F$13-'Forecast'!$E$13)*(1-IFERROR('Forecast'!$E$20/'Forecast'!$E$19,0))</f>
        <v/>
      </c>
      <c r="F24" s="17">
        <f>('Forecast'!$G$13-'Forecast'!$F$13)*(1-IFERROR('Forecast'!$F$20/'Forecast'!$F$19,0))</f>
        <v/>
      </c>
      <c r="G24" s="17">
        <f>('Forecast'!$H$13-'Forecast'!$G$13)*(1-IFERROR('Forecast'!$G$20/'Forecast'!$G$19,0))</f>
        <v/>
      </c>
      <c r="H24" s="17">
        <f>('Forecast'!$I$13-'Forecast'!$H$13)*(1-IFERROR('Forecast'!$H$20/'Forecast'!$H$19,0))</f>
        <v/>
      </c>
      <c r="I24" s="17">
        <f>('Forecast'!$J$13-'Forecast'!$I$13)*(1-IFERROR('Forecast'!$I$20/'Forecast'!$I$19,0))</f>
        <v/>
      </c>
      <c r="J24" s="17">
        <f>('Forecast'!$K$13-'Forecast'!$J$13)*(1-IFERROR('Forecast'!$J$20/'Forecast'!$J$19,0))</f>
        <v/>
      </c>
      <c r="K24" s="17">
        <f>('Forecast'!$L$13-'Forecast'!$K$13)*(1-IFERROR('Forecast'!$K$20/'Forecast'!$K$19,0))</f>
        <v/>
      </c>
    </row>
    <row r="25">
      <c r="A25" s="6" t="inlineStr">
        <is>
          <t>(−) D&amp;A effect</t>
        </is>
      </c>
      <c r="B25" s="17">
        <f>-('Forecast'!$C$15-'Forecast'!$B$15)*(1-IFERROR('Forecast'!$B$20/'Forecast'!$B$19,0))</f>
        <v/>
      </c>
      <c r="C25" s="17">
        <f>-('Forecast'!$D$15-'Forecast'!$C$15)*(1-IFERROR('Forecast'!$C$20/'Forecast'!$C$19,0))</f>
        <v/>
      </c>
      <c r="D25" s="17">
        <f>-('Forecast'!$E$15-'Forecast'!$D$15)*(1-IFERROR('Forecast'!$D$20/'Forecast'!$D$19,0))</f>
        <v/>
      </c>
      <c r="E25" s="17">
        <f>-('Forecast'!$F$15-'Forecast'!$E$15)*(1-IFERROR('Forecast'!$E$20/'Forecast'!$E$19,0))</f>
        <v/>
      </c>
      <c r="F25" s="17">
        <f>-('Forecast'!$G$15-'Forecast'!$F$15)*(1-IFERROR('Forecast'!$F$20/'Forecast'!$F$19,0))</f>
        <v/>
      </c>
      <c r="G25" s="17">
        <f>-('Forecast'!$H$15-'Forecast'!$G$15)*(1-IFERROR('Forecast'!$G$20/'Forecast'!$G$19,0))</f>
        <v/>
      </c>
      <c r="H25" s="17">
        <f>-('Forecast'!$I$15-'Forecast'!$H$15)*(1-IFERROR('Forecast'!$H$20/'Forecast'!$H$19,0))</f>
        <v/>
      </c>
      <c r="I25" s="17">
        <f>-('Forecast'!$J$15-'Forecast'!$I$15)*(1-IFERROR('Forecast'!$I$20/'Forecast'!$I$19,0))</f>
        <v/>
      </c>
      <c r="J25" s="17">
        <f>-('Forecast'!$K$15-'Forecast'!$J$15)*(1-IFERROR('Forecast'!$J$20/'Forecast'!$J$19,0))</f>
        <v/>
      </c>
      <c r="K25" s="17">
        <f>-('Forecast'!$L$15-'Forecast'!$K$15)*(1-IFERROR('Forecast'!$K$20/'Forecast'!$K$19,0))</f>
        <v/>
      </c>
    </row>
    <row r="26">
      <c r="A26" s="6" t="inlineStr">
        <is>
          <t>(−) Financing effect</t>
        </is>
      </c>
      <c r="B26" s="17">
        <f>-(('Forecast'!$C$17-'Forecast'!$C$18)-('Forecast'!$B$17-'Forecast'!$B$18))*(1-IFERROR('Forecast'!$B$20/'Forecast'!$B$19,0))</f>
        <v/>
      </c>
      <c r="C26" s="17">
        <f>-(('Forecast'!$D$17-'Forecast'!$D$18)-('Forecast'!$C$17-'Forecast'!$C$18))*(1-IFERROR('Forecast'!$C$20/'Forecast'!$C$19,0))</f>
        <v/>
      </c>
      <c r="D26" s="17">
        <f>-(('Forecast'!$E$17-'Forecast'!$E$18)-('Forecast'!$D$17-'Forecast'!$D$18))*(1-IFERROR('Forecast'!$D$20/'Forecast'!$D$19,0))</f>
        <v/>
      </c>
      <c r="E26" s="17">
        <f>-(('Forecast'!$F$17-'Forecast'!$F$18)-('Forecast'!$E$17-'Forecast'!$E$18))*(1-IFERROR('Forecast'!$E$20/'Forecast'!$E$19,0))</f>
        <v/>
      </c>
      <c r="F26" s="17">
        <f>-(('Forecast'!$G$17-'Forecast'!$G$18)-('Forecast'!$F$17-'Forecast'!$F$18))*(1-IFERROR('Forecast'!$F$20/'Forecast'!$F$19,0))</f>
        <v/>
      </c>
      <c r="G26" s="17">
        <f>-(('Forecast'!$H$17-'Forecast'!$H$18)-('Forecast'!$G$17-'Forecast'!$G$18))*(1-IFERROR('Forecast'!$G$20/'Forecast'!$G$19,0))</f>
        <v/>
      </c>
      <c r="H26" s="17">
        <f>-(('Forecast'!$I$17-'Forecast'!$I$18)-('Forecast'!$H$17-'Forecast'!$H$18))*(1-IFERROR('Forecast'!$H$20/'Forecast'!$H$19,0))</f>
        <v/>
      </c>
      <c r="I26" s="17">
        <f>-(('Forecast'!$J$17-'Forecast'!$J$18)-('Forecast'!$I$17-'Forecast'!$I$18))*(1-IFERROR('Forecast'!$I$20/'Forecast'!$I$19,0))</f>
        <v/>
      </c>
      <c r="J26" s="17">
        <f>-(('Forecast'!$K$17-'Forecast'!$K$18)-('Forecast'!$J$17-'Forecast'!$J$18))*(1-IFERROR('Forecast'!$J$20/'Forecast'!$J$19,0))</f>
        <v/>
      </c>
      <c r="K26" s="17">
        <f>-(('Forecast'!$L$17-'Forecast'!$L$18)-('Forecast'!$K$17-'Forecast'!$K$18))*(1-IFERROR('Forecast'!$K$20/'Forecast'!$K$19,0))</f>
        <v/>
      </c>
    </row>
    <row r="27">
      <c r="A27" s="6" t="inlineStr">
        <is>
          <t>(−) Tax-rate effect</t>
        </is>
      </c>
      <c r="B27" s="17">
        <f>-'Forecast'!$C$19*(IFERROR('Forecast'!$C$20/'Forecast'!$C$19,0)-IFERROR('Forecast'!$B$20/'Forecast'!$B$19,0))</f>
        <v/>
      </c>
      <c r="C27" s="17">
        <f>-'Forecast'!$D$19*(IFERROR('Forecast'!$D$20/'Forecast'!$D$19,0)-IFERROR('Forecast'!$C$20/'Forecast'!$C$19,0))</f>
        <v/>
      </c>
      <c r="D27" s="17">
        <f>-'Forecast'!$E$19*(IFERROR('Forecast'!$E$20/'Forecast'!$E$19,0)-IFERROR('Forecast'!$D$20/'Forecast'!$D$19,0))</f>
        <v/>
      </c>
      <c r="E27" s="17">
        <f>-'Forecast'!$F$19*(IFERROR('Forecast'!$F$20/'Forecast'!$F$19,0)-IFERROR('Forecast'!$E$20/'Forecast'!$E$19,0))</f>
        <v/>
      </c>
      <c r="F27" s="17">
        <f>-'Forecast'!$G$19*(IFERROR('Forecast'!$G$20/'Forecast'!$G$19,0)-IFERROR('Forecast'!$F$20/'Forecast'!$F$19,0))</f>
        <v/>
      </c>
      <c r="G27" s="17">
        <f>-'Forecast'!$H$19*(IFERROR('Forecast'!$H$20/'Forecast'!$H$19,0)-IFERROR('Forecast'!$G$20/'Forecast'!$G$19,0))</f>
        <v/>
      </c>
      <c r="H27" s="17">
        <f>-'Forecast'!$I$19*(IFERROR('Forecast'!$I$20/'Forecast'!$I$19,0)-IFERROR('Forecast'!$H$20/'Forecast'!$H$19,0))</f>
        <v/>
      </c>
      <c r="I27" s="17">
        <f>-'Forecast'!$J$19*(IFERROR('Forecast'!$J$20/'Forecast'!$J$19,0)-IFERROR('Forecast'!$I$20/'Forecast'!$I$19,0))</f>
        <v/>
      </c>
      <c r="J27" s="17">
        <f>-'Forecast'!$K$19*(IFERROR('Forecast'!$K$20/'Forecast'!$K$19,0)-IFERROR('Forecast'!$J$20/'Forecast'!$J$19,0))</f>
        <v/>
      </c>
      <c r="K27" s="17">
        <f>-'Forecast'!$L$19*(IFERROR('Forecast'!$L$20/'Forecast'!$L$19,0)-IFERROR('Forecast'!$K$20/'Forecast'!$K$19,0))</f>
        <v/>
      </c>
    </row>
    <row r="28">
      <c r="A28" s="19" t="inlineStr">
        <is>
          <t>(=) Current net income</t>
        </is>
      </c>
      <c r="B28" s="21">
        <f>'Forecast'!$C$21</f>
        <v/>
      </c>
      <c r="C28" s="21">
        <f>'Forecast'!$D$21</f>
        <v/>
      </c>
      <c r="D28" s="21">
        <f>'Forecast'!$E$21</f>
        <v/>
      </c>
      <c r="E28" s="21">
        <f>'Forecast'!$F$21</f>
        <v/>
      </c>
      <c r="F28" s="21">
        <f>'Forecast'!$G$21</f>
        <v/>
      </c>
      <c r="G28" s="21">
        <f>'Forecast'!$H$21</f>
        <v/>
      </c>
      <c r="H28" s="21">
        <f>'Forecast'!$I$21</f>
        <v/>
      </c>
      <c r="I28" s="21">
        <f>'Forecast'!$J$21</f>
        <v/>
      </c>
      <c r="J28" s="21">
        <f>'Forecast'!$K$21</f>
        <v/>
      </c>
      <c r="K28" s="21">
        <f>'Forecast'!$L$21</f>
        <v/>
      </c>
    </row>
    <row r="29">
      <c r="A29" s="22" t="inlineStr">
        <is>
          <t>Check (effects − actual Δ)</t>
        </is>
      </c>
      <c r="B29" s="17">
        <f>($B$24+$B$25+$B$26+$B$27)-('Forecast'!$C$21-'Forecast'!$B$21)</f>
        <v/>
      </c>
      <c r="C29" s="17">
        <f>($C$24+$C$25+$C$26+$C$27)-('Forecast'!$D$21-'Forecast'!$C$21)</f>
        <v/>
      </c>
      <c r="D29" s="17">
        <f>($D$24+$D$25+$D$26+$D$27)-('Forecast'!$E$21-'Forecast'!$D$21)</f>
        <v/>
      </c>
      <c r="E29" s="17">
        <f>($E$24+$E$25+$E$26+$E$27)-('Forecast'!$F$21-'Forecast'!$E$21)</f>
        <v/>
      </c>
      <c r="F29" s="17">
        <f>($F$24+$F$25+$F$26+$F$27)-('Forecast'!$G$21-'Forecast'!$F$21)</f>
        <v/>
      </c>
      <c r="G29" s="17">
        <f>($G$24+$G$25+$G$26+$G$27)-('Forecast'!$H$21-'Forecast'!$G$21)</f>
        <v/>
      </c>
      <c r="H29" s="17">
        <f>($H$24+$H$25+$H$26+$H$27)-('Forecast'!$I$21-'Forecast'!$H$21)</f>
        <v/>
      </c>
      <c r="I29" s="17">
        <f>($I$24+$I$25+$I$26+$I$27)-('Forecast'!$J$21-'Forecast'!$I$21)</f>
        <v/>
      </c>
      <c r="J29" s="17">
        <f>($J$24+$J$25+$J$26+$J$27)-('Forecast'!$K$21-'Forecast'!$J$21)</f>
        <v/>
      </c>
      <c r="K29" s="17">
        <f>($K$24+$K$25+$K$26+$K$27)-('Forecast'!$L$21-'Forecast'!$K$21)</f>
        <v/>
      </c>
    </row>
  </sheetData>
  <mergeCells count="7">
    <mergeCell ref="A22:K22"/>
    <mergeCell ref="A3:K3"/>
    <mergeCell ref="A15:K15"/>
    <mergeCell ref="A7:K7"/>
    <mergeCell ref="A2:K2"/>
    <mergeCell ref="A1:K1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7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FORECAST DIAGNOSTICS</t>
        </is>
      </c>
    </row>
    <row r="2">
      <c r="A2" s="2" t="inlineStr">
        <is>
          <t>Accounting integrity, reasonableness checks and the Forecast Health Score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Forecast Health</t>
        </is>
      </c>
    </row>
    <row r="8">
      <c r="A8" s="19" t="inlineStr">
        <is>
          <t>Forecast Health Score (0–100)</t>
        </is>
      </c>
      <c r="B8" s="10">
        <f>ROUND((COUNTIF(C11:C22,"PASS")+0.5*COUNTIF(C11:C22,"WARN"))/10*100,0)</f>
        <v/>
      </c>
      <c r="C8" s="11" t="n"/>
      <c r="D8" s="3" t="inlineStr">
        <is>
          <t>100 = every check passes. WARN counts as half; FAIL as zero.</t>
        </is>
      </c>
    </row>
    <row r="9">
      <c r="A9" s="6" t="inlineStr">
        <is>
          <t>Checks failed / to review</t>
        </is>
      </c>
      <c r="B9" s="13">
        <f>COUNTIF(C11:C22,"FAIL")&amp;" / "&amp;COUNTIF(C11:C22,"WARN")</f>
        <v/>
      </c>
    </row>
    <row r="10" ht="20" customHeight="1">
      <c r="A10" s="5" t="inlineStr">
        <is>
          <t>Accounting Integrity</t>
        </is>
      </c>
    </row>
    <row r="11">
      <c r="A11" s="6" t="inlineStr">
        <is>
          <t>Historical data present</t>
        </is>
      </c>
      <c r="B11" s="17">
        <f>'Historical'!$K$10</f>
        <v/>
      </c>
      <c r="C11" s="12">
        <f>IF(AND(ISNUMBER('Historical'!$K$10),ISNUMBER('Historical'!$K$36)),"PASS","FAIL")</f>
        <v/>
      </c>
      <c r="D11" s="3" t="inlineStr">
        <is>
          <t>Fails until the historical statements (Sheet 2) are populated.</t>
        </is>
      </c>
    </row>
    <row r="12">
      <c r="A12" s="6" t="inlineStr">
        <is>
          <t>Assets = Liabilities + Equity</t>
        </is>
      </c>
      <c r="B12" s="17">
        <f>MAX(MAX('Forecast'!$C$39:$L$39),-MIN('Forecast'!$C$39:$L$39))</f>
        <v/>
      </c>
      <c r="C12" s="12">
        <f>IF($B$12&lt;=1.0,"PASS","FAIL")</f>
        <v/>
      </c>
      <c r="D12" s="3" t="inlineStr">
        <is>
          <t>Largest absolute balance-sheet imbalance across the forecast (should be 0).</t>
        </is>
      </c>
    </row>
    <row r="14" ht="20" customHeight="1">
      <c r="A14" s="5" t="inlineStr">
        <is>
          <t>Forecast Reasonableness</t>
        </is>
      </c>
    </row>
    <row r="15">
      <c r="A15" s="6" t="inlineStr">
        <is>
          <t>Revenue growth</t>
        </is>
      </c>
      <c r="B15" s="18">
        <f>MAX('Assumptions'!$B$50:$K$50)</f>
        <v/>
      </c>
      <c r="C15" s="12">
        <f>IF(AND(MAX('Assumptions'!$B$50:$K$50)&lt;=0.3,MIN('Assumptions'!$B$50:$K$50)&gt;=-0.2),"PASS","WARN")</f>
        <v/>
      </c>
      <c r="D15" s="3" t="inlineStr">
        <is>
          <t>Warns if any year's growth exceeds 30% or falls below -20%.</t>
        </is>
      </c>
    </row>
    <row r="16">
      <c r="A16" s="6" t="inlineStr">
        <is>
          <t>EBITDA-margin drift (per year)</t>
        </is>
      </c>
      <c r="B16" s="18">
        <f>IFERROR(('Forecast'!$L$13/'Forecast'!$L$10-'Forecast'!$C$13/'Forecast'!$C$10)/9,0)</f>
        <v/>
      </c>
      <c r="C16" s="12">
        <f>IF(ABS($B$16)&lt;=0.04,"PASS","WARN")</f>
        <v/>
      </c>
      <c r="D16" s="3" t="inlineStr">
        <is>
          <t>Warns if margins expand/contract too mechanically (avg annual change too large).</t>
        </is>
      </c>
    </row>
    <row r="17">
      <c r="A17" s="6" t="inlineStr">
        <is>
          <t>Positive cash</t>
        </is>
      </c>
      <c r="B17" s="17">
        <f>MIN('Forecast'!$C$23:$L$23)</f>
        <v/>
      </c>
      <c r="C17" s="12">
        <f>IF($B$17&gt;=0,"PASS","FAIL")</f>
        <v/>
      </c>
      <c r="D17" s="3" t="inlineStr">
        <is>
          <t>Fails if the forecast runs the cash balance negative (no revolver plug).</t>
        </is>
      </c>
    </row>
    <row r="18">
      <c r="A18" s="6" t="inlineStr">
        <is>
          <t>Positive equity</t>
        </is>
      </c>
      <c r="B18" s="17">
        <f>MIN('Forecast'!$C$37:$L$37)</f>
        <v/>
      </c>
      <c r="C18" s="12">
        <f>IF($B$18&gt;=0,"PASS","FAIL")</f>
        <v/>
      </c>
      <c r="D18" s="3" t="inlineStr">
        <is>
          <t>Fails if forecast equity turns negative.</t>
        </is>
      </c>
    </row>
    <row r="19">
      <c r="A19" s="6" t="inlineStr">
        <is>
          <t>Non-negative debt</t>
        </is>
      </c>
      <c r="B19" s="17">
        <f>MIN('Forecast'!$C$34:$L$34)</f>
        <v/>
      </c>
      <c r="C19" s="12">
        <f>IF($B$19&gt;=0,"PASS","WARN")</f>
        <v/>
      </c>
      <c r="D19" s="3" t="inlineStr">
        <is>
          <t>Warns if repayment over-runs the debt balance.</t>
        </is>
      </c>
    </row>
    <row r="20">
      <c r="A20" s="6" t="inlineStr">
        <is>
          <t>Working-capital cycle (days)</t>
        </is>
      </c>
      <c r="B20" s="33">
        <f>'Assumptions'!$K$54+'Assumptions'!$K$55-'Assumptions'!$K$56</f>
        <v/>
      </c>
      <c r="C20" s="12">
        <f>IF($B$20&lt;=250,"PASS","WARN")</f>
        <v/>
      </c>
      <c r="D20" s="3" t="inlineStr">
        <is>
          <t>Warns if the cash-conversion cycle is implausibly long.</t>
        </is>
      </c>
    </row>
    <row r="21">
      <c r="A21" s="6" t="inlineStr">
        <is>
          <t>Capex intensity</t>
        </is>
      </c>
      <c r="B21" s="18">
        <f>MAX('Assumptions'!$B$57:$K$57)</f>
        <v/>
      </c>
      <c r="C21" s="12">
        <f>IF($B$21&lt;=0.25,"PASS","WARN")</f>
        <v/>
      </c>
      <c r="D21" s="3" t="inlineStr">
        <is>
          <t>Warns if capex exceeds 25% of revenue.</t>
        </is>
      </c>
    </row>
    <row r="22">
      <c r="A22" s="6" t="inlineStr">
        <is>
          <t>Tax rate</t>
        </is>
      </c>
      <c r="B22" s="18">
        <f>MAX('Assumptions'!$B$53:$K$53)</f>
        <v/>
      </c>
      <c r="C22" s="12">
        <f>IF(AND(MAX('Assumptions'!$B$53:$K$53)&lt;=0.5,MIN('Assumptions'!$B$53:$K$53)&gt;=0.0),"PASS","WARN")</f>
        <v/>
      </c>
      <c r="D22" s="3" t="inlineStr">
        <is>
          <t>Warns if the tax rate falls outside 0–50%.</t>
        </is>
      </c>
    </row>
  </sheetData>
  <mergeCells count="8">
    <mergeCell ref="A1:D1"/>
    <mergeCell ref="A3:D3"/>
    <mergeCell ref="A7:D7"/>
    <mergeCell ref="A2:D2"/>
    <mergeCell ref="B9:C9"/>
    <mergeCell ref="A10:D10"/>
    <mergeCell ref="B8:C8"/>
    <mergeCell ref="A14:D14"/>
  </mergeCells>
  <conditionalFormatting sqref="C11:C22">
    <cfRule type="expression" priority="1" dxfId="0" stopIfTrue="1">
      <formula>OR(ISNUMBER(SEARCH("PASS",C11)),ISNUMBER(SEARCH("OK",C11)),ISNUMBER(SEARCH("Balanced",C11)),ISNUMBER(SEARCH("Healthy",C11)),ISNUMBER(SEARCH("Strong",C11)),ISNUMBER(SEARCH("Low",C11)),ISNUMBER(SEARCH("Reasonable",C11)),ISNUMBER(SEARCH("Clean",C11)))</formula>
    </cfRule>
    <cfRule type="expression" priority="2" dxfId="1" stopIfTrue="1">
      <formula>OR(ISNUMBER(SEARCH("WARN",C11)),ISNUMBER(SEARCH("REVIEW",C11)),ISNUMBER(SEARCH("Watch",C11)),ISNUMBER(SEARCH("Elevated",C11)),ISNUMBER(SEARCH("Caution",C11)),ISNUMBER(SEARCH("Check",C11)))</formula>
    </cfRule>
    <cfRule type="expression" priority="3" dxfId="2" stopIfTrue="1">
      <formula>OR(ISNUMBER(SEARCH("FAIL",C11)),ISNUMBER(SEARCH("Negative",C11)),ISNUMBER(SEARCH("Breach",C11)),ISNUMBER(SEARCH("Imbalanced",C11)),ISNUMBER(SEARCH("Error",C11)),ISNUMBER(SEARCH("Unreasonable",C11)),ISNUMBER(SEARCH("High risk",C11)))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L10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SCENARIO ANALYSIS</t>
        </is>
      </c>
    </row>
    <row r="2">
      <c r="A2" s="2" t="inlineStr">
        <is>
          <t>Bear / Base / Bull run through the full driver logic and compared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Scenario Comparison (10-year)</t>
        </is>
      </c>
    </row>
    <row r="8">
      <c r="A8" s="14" t="inlineStr">
        <is>
          <t>Metric</t>
        </is>
      </c>
      <c r="B8" s="16" t="inlineStr">
        <is>
          <t>Bear</t>
        </is>
      </c>
      <c r="C8" s="16" t="inlineStr">
        <is>
          <t>Base</t>
        </is>
      </c>
      <c r="D8" s="16" t="inlineStr">
        <is>
          <t>Bull</t>
        </is>
      </c>
    </row>
    <row r="9">
      <c r="A9" s="6" t="inlineStr">
        <is>
          <t>Revenue CAGR</t>
        </is>
      </c>
      <c r="B9" s="30">
        <f>IFERROR(('Scenario'!$L$23/'Scenario'!$B$23)^(1/10)-1,"")</f>
        <v/>
      </c>
      <c r="C9" s="30">
        <f>IFERROR(('Scenario'!$L$53/'Scenario'!$B$53)^(1/10)-1,"")</f>
        <v/>
      </c>
      <c r="D9" s="30">
        <f>IFERROR(('Scenario'!$L$83/'Scenario'!$B$83)^(1/10)-1,"")</f>
        <v/>
      </c>
    </row>
    <row r="10">
      <c r="A10" s="6" t="inlineStr">
        <is>
          <t>EBITDA CAGR</t>
        </is>
      </c>
      <c r="B10" s="30">
        <f>IFERROR(('Scenario'!$L$25/'Scenario'!$B$25)^(1/10)-1,"")</f>
        <v/>
      </c>
      <c r="C10" s="30">
        <f>IFERROR(('Scenario'!$L$55/'Scenario'!$B$55)^(1/10)-1,"")</f>
        <v/>
      </c>
      <c r="D10" s="30">
        <f>IFERROR(('Scenario'!$L$85/'Scenario'!$B$85)^(1/10)-1,"")</f>
        <v/>
      </c>
    </row>
    <row r="11">
      <c r="A11" s="6" t="inlineStr">
        <is>
          <t>EBIT CAGR</t>
        </is>
      </c>
      <c r="B11" s="30">
        <f>IFERROR(('Scenario'!$L$27/'Scenario'!$B$27)^(1/10)-1,"")</f>
        <v/>
      </c>
      <c r="C11" s="30">
        <f>IFERROR(('Scenario'!$L$57/'Scenario'!$B$57)^(1/10)-1,"")</f>
        <v/>
      </c>
      <c r="D11" s="30">
        <f>IFERROR(('Scenario'!$L$87/'Scenario'!$B$87)^(1/10)-1,"")</f>
        <v/>
      </c>
    </row>
    <row r="12">
      <c r="A12" s="6" t="inlineStr">
        <is>
          <t>Net income CAGR</t>
        </is>
      </c>
      <c r="B12" s="30">
        <f>IFERROR(('Scenario'!$L$34/'Scenario'!$B$34)^(1/10)-1,"")</f>
        <v/>
      </c>
      <c r="C12" s="30">
        <f>IFERROR(('Scenario'!$L$64/'Scenario'!$B$64)^(1/10)-1,"")</f>
        <v/>
      </c>
      <c r="D12" s="30">
        <f>IFERROR(('Scenario'!$L$94/'Scenario'!$B$94)^(1/10)-1,"")</f>
        <v/>
      </c>
    </row>
    <row r="13">
      <c r="A13" s="6" t="inlineStr">
        <is>
          <t>FCF CAGR</t>
        </is>
      </c>
      <c r="B13" s="30">
        <f>IFERROR(('Scenario'!$L$44/'Scenario'!$B$44)^(1/10)-1,"")</f>
        <v/>
      </c>
      <c r="C13" s="30">
        <f>IFERROR(('Scenario'!$L$74/'Scenario'!$B$74)^(1/10)-1,"")</f>
        <v/>
      </c>
      <c r="D13" s="30">
        <f>IFERROR(('Scenario'!$L$104/'Scenario'!$B$104)^(1/10)-1,"")</f>
        <v/>
      </c>
    </row>
    <row r="14">
      <c r="A14" s="6" t="inlineStr">
        <is>
          <t>EBITDA margin (terminal)</t>
        </is>
      </c>
      <c r="B14" s="30">
        <f>IFERROR('Scenario'!$L$25/'Scenario'!$L$23,"")</f>
        <v/>
      </c>
      <c r="C14" s="30">
        <f>IFERROR('Scenario'!$L$55/'Scenario'!$L$53,"")</f>
        <v/>
      </c>
      <c r="D14" s="30">
        <f>IFERROR('Scenario'!$L$85/'Scenario'!$L$83,"")</f>
        <v/>
      </c>
    </row>
    <row r="15">
      <c r="A15" s="6" t="inlineStr">
        <is>
          <t>Net margin (terminal)</t>
        </is>
      </c>
      <c r="B15" s="30">
        <f>IFERROR('Scenario'!$L$34/'Scenario'!$L$23,"")</f>
        <v/>
      </c>
      <c r="C15" s="30">
        <f>IFERROR('Scenario'!$L$64/'Scenario'!$L$53,"")</f>
        <v/>
      </c>
      <c r="D15" s="30">
        <f>IFERROR('Scenario'!$L$94/'Scenario'!$L$83,"")</f>
        <v/>
      </c>
    </row>
    <row r="16">
      <c r="A16" s="6" t="inlineStr">
        <is>
          <t>ROE (terminal)</t>
        </is>
      </c>
      <c r="B16" s="30">
        <f>IFERROR('Scenario'!$L$34/(('Scenario'!$L$47+'Scenario'!$K$47)/2),"")</f>
        <v/>
      </c>
      <c r="C16" s="30">
        <f>IFERROR('Scenario'!$L$64/(('Scenario'!$L$77+'Scenario'!$K$77)/2),"")</f>
        <v/>
      </c>
      <c r="D16" s="30">
        <f>IFERROR('Scenario'!$L$94/(('Scenario'!$L$107+'Scenario'!$K$107)/2),"")</f>
        <v/>
      </c>
    </row>
    <row r="17">
      <c r="A17" s="6" t="inlineStr">
        <is>
          <t>ROIC (terminal)</t>
        </is>
      </c>
      <c r="B17" s="30">
        <f>IFERROR('Scenario'!$L$48/(('Scenario'!$L$49+'Scenario'!$K$49)/2),"")</f>
        <v/>
      </c>
      <c r="C17" s="30">
        <f>IFERROR('Scenario'!$L$78/(('Scenario'!$L$79+'Scenario'!$K$79)/2),"")</f>
        <v/>
      </c>
      <c r="D17" s="30">
        <f>IFERROR('Scenario'!$L$108/(('Scenario'!$L$109+'Scenario'!$K$109)/2),"")</f>
        <v/>
      </c>
    </row>
    <row r="18">
      <c r="A18" s="6" t="inlineStr">
        <is>
          <t>Debt / EBITDA (terminal)</t>
        </is>
      </c>
      <c r="B18" s="34">
        <f>IFERROR('Scenario'!$L$29/'Scenario'!$L$25,"")</f>
        <v/>
      </c>
      <c r="C18" s="34">
        <f>IFERROR('Scenario'!$L$59/'Scenario'!$L$55,"")</f>
        <v/>
      </c>
      <c r="D18" s="34">
        <f>IFERROR('Scenario'!$L$89/'Scenario'!$L$85,"")</f>
        <v/>
      </c>
    </row>
    <row r="19">
      <c r="A19" s="3" t="inlineStr">
        <is>
          <t>Base reconciles with the Forecast sheet; Bear/Bull apply that scenario's drivers.</t>
        </is>
      </c>
    </row>
    <row r="21" ht="20" customHeight="1">
      <c r="A21" s="5" t="inlineStr">
        <is>
          <t>Scenario Engine — Bear</t>
        </is>
      </c>
    </row>
    <row r="22">
      <c r="A22" s="14" t="inlineStr">
        <is>
          <t>Line item</t>
        </is>
      </c>
      <c r="B22" s="16" t="inlineStr">
        <is>
          <t>FY2024 (base)</t>
        </is>
      </c>
      <c r="C22" s="16" t="inlineStr">
        <is>
          <t>FY2025</t>
        </is>
      </c>
      <c r="D22" s="16" t="inlineStr">
        <is>
          <t>FY2026</t>
        </is>
      </c>
      <c r="E22" s="16" t="inlineStr">
        <is>
          <t>FY2027</t>
        </is>
      </c>
      <c r="F22" s="16" t="inlineStr">
        <is>
          <t>FY2028</t>
        </is>
      </c>
      <c r="G22" s="16" t="inlineStr">
        <is>
          <t>FY2029</t>
        </is>
      </c>
      <c r="H22" s="16" t="inlineStr">
        <is>
          <t>FY2030</t>
        </is>
      </c>
      <c r="I22" s="16" t="inlineStr">
        <is>
          <t>FY2031</t>
        </is>
      </c>
      <c r="J22" s="16" t="inlineStr">
        <is>
          <t>FY2032</t>
        </is>
      </c>
      <c r="K22" s="16" t="inlineStr">
        <is>
          <t>FY2033</t>
        </is>
      </c>
      <c r="L22" s="16" t="inlineStr">
        <is>
          <t>FY2034</t>
        </is>
      </c>
    </row>
    <row r="23">
      <c r="A23" s="22" t="inlineStr">
        <is>
          <t>revenue</t>
        </is>
      </c>
      <c r="B23" s="17">
        <f>'Historical'!$K$10</f>
        <v/>
      </c>
      <c r="C23" s="17">
        <f>'Scenario'!$B$23*(1+IF(ISNUMBER('Assumptions'!$C$14),CHOOSE(Method,'Assumptions'!$C$14,'Assumptions'!$B$30,'Assumptions'!$C$14+('Assumptions'!$B$30-'Assumptions'!$C$14)*0.1000),'Assumptions'!$B$30))</f>
        <v/>
      </c>
      <c r="D23" s="17">
        <f>'Scenario'!$C$23*(1+IF(ISNUMBER('Assumptions'!$C$14),CHOOSE(Method,'Assumptions'!$C$14,'Assumptions'!$B$30,'Assumptions'!$C$14+('Assumptions'!$B$30-'Assumptions'!$C$14)*0.2000),'Assumptions'!$B$30))</f>
        <v/>
      </c>
      <c r="E23" s="17">
        <f>'Scenario'!$D$23*(1+IF(ISNUMBER('Assumptions'!$C$14),CHOOSE(Method,'Assumptions'!$C$14,'Assumptions'!$B$30,'Assumptions'!$C$14+('Assumptions'!$B$30-'Assumptions'!$C$14)*0.3000),'Assumptions'!$B$30))</f>
        <v/>
      </c>
      <c r="F23" s="17">
        <f>'Scenario'!$E$23*(1+IF(ISNUMBER('Assumptions'!$C$14),CHOOSE(Method,'Assumptions'!$C$14,'Assumptions'!$B$30,'Assumptions'!$C$14+('Assumptions'!$B$30-'Assumptions'!$C$14)*0.4000),'Assumptions'!$B$30))</f>
        <v/>
      </c>
      <c r="G23" s="17">
        <f>'Scenario'!$F$23*(1+IF(ISNUMBER('Assumptions'!$C$14),CHOOSE(Method,'Assumptions'!$C$14,'Assumptions'!$B$30,'Assumptions'!$C$14+('Assumptions'!$B$30-'Assumptions'!$C$14)*0.5000),'Assumptions'!$B$30))</f>
        <v/>
      </c>
      <c r="H23" s="17">
        <f>'Scenario'!$G$23*(1+IF(ISNUMBER('Assumptions'!$C$14),CHOOSE(Method,'Assumptions'!$C$14,'Assumptions'!$B$30,'Assumptions'!$C$14+('Assumptions'!$B$30-'Assumptions'!$C$14)*0.6000),'Assumptions'!$B$30))</f>
        <v/>
      </c>
      <c r="I23" s="17">
        <f>'Scenario'!$H$23*(1+IF(ISNUMBER('Assumptions'!$C$14),CHOOSE(Method,'Assumptions'!$C$14,'Assumptions'!$B$30,'Assumptions'!$C$14+('Assumptions'!$B$30-'Assumptions'!$C$14)*0.7000),'Assumptions'!$B$30))</f>
        <v/>
      </c>
      <c r="J23" s="17">
        <f>'Scenario'!$I$23*(1+IF(ISNUMBER('Assumptions'!$C$14),CHOOSE(Method,'Assumptions'!$C$14,'Assumptions'!$B$30,'Assumptions'!$C$14+('Assumptions'!$B$30-'Assumptions'!$C$14)*0.8000),'Assumptions'!$B$30))</f>
        <v/>
      </c>
      <c r="K23" s="17">
        <f>'Scenario'!$J$23*(1+IF(ISNUMBER('Assumptions'!$C$14),CHOOSE(Method,'Assumptions'!$C$14,'Assumptions'!$B$30,'Assumptions'!$C$14+('Assumptions'!$B$30-'Assumptions'!$C$14)*0.9000),'Assumptions'!$B$30))</f>
        <v/>
      </c>
      <c r="L23" s="17">
        <f>'Scenario'!$K$23*(1+IF(ISNUMBER('Assumptions'!$C$14),CHOOSE(Method,'Assumptions'!$C$14,'Assumptions'!$B$30,'Assumptions'!$C$14+('Assumptions'!$B$30-'Assumptions'!$C$14)*1.0000),'Assumptions'!$B$30))</f>
        <v/>
      </c>
    </row>
    <row r="24">
      <c r="A24" s="22" t="inlineStr">
        <is>
          <t>cogs</t>
        </is>
      </c>
      <c r="B24" s="17">
        <f>'Historical'!$K$11</f>
        <v/>
      </c>
      <c r="C24" s="17">
        <f>'Scenario'!$C$23*(1-IF(ISNUMBER('Assumptions'!$C$15),CHOOSE(Method,'Assumptions'!$C$15,'Assumptions'!$B$31,'Assumptions'!$C$15+('Assumptions'!$B$31-'Assumptions'!$C$15)*0.1000),'Assumptions'!$B$31))</f>
        <v/>
      </c>
      <c r="D24" s="17">
        <f>'Scenario'!$D$23*(1-IF(ISNUMBER('Assumptions'!$C$15),CHOOSE(Method,'Assumptions'!$C$15,'Assumptions'!$B$31,'Assumptions'!$C$15+('Assumptions'!$B$31-'Assumptions'!$C$15)*0.2000),'Assumptions'!$B$31))</f>
        <v/>
      </c>
      <c r="E24" s="17">
        <f>'Scenario'!$E$23*(1-IF(ISNUMBER('Assumptions'!$C$15),CHOOSE(Method,'Assumptions'!$C$15,'Assumptions'!$B$31,'Assumptions'!$C$15+('Assumptions'!$B$31-'Assumptions'!$C$15)*0.3000),'Assumptions'!$B$31))</f>
        <v/>
      </c>
      <c r="F24" s="17">
        <f>'Scenario'!$F$23*(1-IF(ISNUMBER('Assumptions'!$C$15),CHOOSE(Method,'Assumptions'!$C$15,'Assumptions'!$B$31,'Assumptions'!$C$15+('Assumptions'!$B$31-'Assumptions'!$C$15)*0.4000),'Assumptions'!$B$31))</f>
        <v/>
      </c>
      <c r="G24" s="17">
        <f>'Scenario'!$G$23*(1-IF(ISNUMBER('Assumptions'!$C$15),CHOOSE(Method,'Assumptions'!$C$15,'Assumptions'!$B$31,'Assumptions'!$C$15+('Assumptions'!$B$31-'Assumptions'!$C$15)*0.5000),'Assumptions'!$B$31))</f>
        <v/>
      </c>
      <c r="H24" s="17">
        <f>'Scenario'!$H$23*(1-IF(ISNUMBER('Assumptions'!$C$15),CHOOSE(Method,'Assumptions'!$C$15,'Assumptions'!$B$31,'Assumptions'!$C$15+('Assumptions'!$B$31-'Assumptions'!$C$15)*0.6000),'Assumptions'!$B$31))</f>
        <v/>
      </c>
      <c r="I24" s="17">
        <f>'Scenario'!$I$23*(1-IF(ISNUMBER('Assumptions'!$C$15),CHOOSE(Method,'Assumptions'!$C$15,'Assumptions'!$B$31,'Assumptions'!$C$15+('Assumptions'!$B$31-'Assumptions'!$C$15)*0.7000),'Assumptions'!$B$31))</f>
        <v/>
      </c>
      <c r="J24" s="17">
        <f>'Scenario'!$J$23*(1-IF(ISNUMBER('Assumptions'!$C$15),CHOOSE(Method,'Assumptions'!$C$15,'Assumptions'!$B$31,'Assumptions'!$C$15+('Assumptions'!$B$31-'Assumptions'!$C$15)*0.8000),'Assumptions'!$B$31))</f>
        <v/>
      </c>
      <c r="K24" s="17">
        <f>'Scenario'!$K$23*(1-IF(ISNUMBER('Assumptions'!$C$15),CHOOSE(Method,'Assumptions'!$C$15,'Assumptions'!$B$31,'Assumptions'!$C$15+('Assumptions'!$B$31-'Assumptions'!$C$15)*0.9000),'Assumptions'!$B$31))</f>
        <v/>
      </c>
      <c r="L24" s="17">
        <f>'Scenario'!$L$23*(1-IF(ISNUMBER('Assumptions'!$C$15),CHOOSE(Method,'Assumptions'!$C$15,'Assumptions'!$B$31,'Assumptions'!$C$15+('Assumptions'!$B$31-'Assumptions'!$C$15)*1.0000),'Assumptions'!$B$31))</f>
        <v/>
      </c>
    </row>
    <row r="25">
      <c r="A25" s="22" t="inlineStr">
        <is>
          <t>ebitda</t>
        </is>
      </c>
      <c r="B25" s="17">
        <f>'Historical'!$K$14</f>
        <v/>
      </c>
      <c r="C25" s="17">
        <f>'Scenario'!$C$23*IF(ISNUMBER('Assumptions'!$C$16),CHOOSE(Method,'Assumptions'!$C$16,'Assumptions'!$B$32,'Assumptions'!$C$16+('Assumptions'!$B$32-'Assumptions'!$C$16)*0.1000),'Assumptions'!$B$32)</f>
        <v/>
      </c>
      <c r="D25" s="17">
        <f>'Scenario'!$D$23*IF(ISNUMBER('Assumptions'!$C$16),CHOOSE(Method,'Assumptions'!$C$16,'Assumptions'!$B$32,'Assumptions'!$C$16+('Assumptions'!$B$32-'Assumptions'!$C$16)*0.2000),'Assumptions'!$B$32)</f>
        <v/>
      </c>
      <c r="E25" s="17">
        <f>'Scenario'!$E$23*IF(ISNUMBER('Assumptions'!$C$16),CHOOSE(Method,'Assumptions'!$C$16,'Assumptions'!$B$32,'Assumptions'!$C$16+('Assumptions'!$B$32-'Assumptions'!$C$16)*0.3000),'Assumptions'!$B$32)</f>
        <v/>
      </c>
      <c r="F25" s="17">
        <f>'Scenario'!$F$23*IF(ISNUMBER('Assumptions'!$C$16),CHOOSE(Method,'Assumptions'!$C$16,'Assumptions'!$B$32,'Assumptions'!$C$16+('Assumptions'!$B$32-'Assumptions'!$C$16)*0.4000),'Assumptions'!$B$32)</f>
        <v/>
      </c>
      <c r="G25" s="17">
        <f>'Scenario'!$G$23*IF(ISNUMBER('Assumptions'!$C$16),CHOOSE(Method,'Assumptions'!$C$16,'Assumptions'!$B$32,'Assumptions'!$C$16+('Assumptions'!$B$32-'Assumptions'!$C$16)*0.5000),'Assumptions'!$B$32)</f>
        <v/>
      </c>
      <c r="H25" s="17">
        <f>'Scenario'!$H$23*IF(ISNUMBER('Assumptions'!$C$16),CHOOSE(Method,'Assumptions'!$C$16,'Assumptions'!$B$32,'Assumptions'!$C$16+('Assumptions'!$B$32-'Assumptions'!$C$16)*0.6000),'Assumptions'!$B$32)</f>
        <v/>
      </c>
      <c r="I25" s="17">
        <f>'Scenario'!$I$23*IF(ISNUMBER('Assumptions'!$C$16),CHOOSE(Method,'Assumptions'!$C$16,'Assumptions'!$B$32,'Assumptions'!$C$16+('Assumptions'!$B$32-'Assumptions'!$C$16)*0.7000),'Assumptions'!$B$32)</f>
        <v/>
      </c>
      <c r="J25" s="17">
        <f>'Scenario'!$J$23*IF(ISNUMBER('Assumptions'!$C$16),CHOOSE(Method,'Assumptions'!$C$16,'Assumptions'!$B$32,'Assumptions'!$C$16+('Assumptions'!$B$32-'Assumptions'!$C$16)*0.8000),'Assumptions'!$B$32)</f>
        <v/>
      </c>
      <c r="K25" s="17">
        <f>'Scenario'!$K$23*IF(ISNUMBER('Assumptions'!$C$16),CHOOSE(Method,'Assumptions'!$C$16,'Assumptions'!$B$32,'Assumptions'!$C$16+('Assumptions'!$B$32-'Assumptions'!$C$16)*0.9000),'Assumptions'!$B$32)</f>
        <v/>
      </c>
      <c r="L25" s="17">
        <f>'Scenario'!$L$23*IF(ISNUMBER('Assumptions'!$C$16),CHOOSE(Method,'Assumptions'!$C$16,'Assumptions'!$B$32,'Assumptions'!$C$16+('Assumptions'!$B$32-'Assumptions'!$C$16)*1.0000),'Assumptions'!$B$32)</f>
        <v/>
      </c>
    </row>
    <row r="26">
      <c r="A26" s="22" t="inlineStr">
        <is>
          <t>dep</t>
        </is>
      </c>
      <c r="B26" s="17">
        <f>'Historical'!$K$15</f>
        <v/>
      </c>
      <c r="C26" s="17">
        <f>'Scenario'!$C$23*IF(ISNUMBER('Assumptions'!$C$22),CHOOSE(Method,'Assumptions'!$C$22,'Assumptions'!$B$38,'Assumptions'!$C$22+('Assumptions'!$B$38-'Assumptions'!$C$22)*0.1000),'Assumptions'!$B$38)</f>
        <v/>
      </c>
      <c r="D26" s="17">
        <f>'Scenario'!$D$23*IF(ISNUMBER('Assumptions'!$C$22),CHOOSE(Method,'Assumptions'!$C$22,'Assumptions'!$B$38,'Assumptions'!$C$22+('Assumptions'!$B$38-'Assumptions'!$C$22)*0.2000),'Assumptions'!$B$38)</f>
        <v/>
      </c>
      <c r="E26" s="17">
        <f>'Scenario'!$E$23*IF(ISNUMBER('Assumptions'!$C$22),CHOOSE(Method,'Assumptions'!$C$22,'Assumptions'!$B$38,'Assumptions'!$C$22+('Assumptions'!$B$38-'Assumptions'!$C$22)*0.3000),'Assumptions'!$B$38)</f>
        <v/>
      </c>
      <c r="F26" s="17">
        <f>'Scenario'!$F$23*IF(ISNUMBER('Assumptions'!$C$22),CHOOSE(Method,'Assumptions'!$C$22,'Assumptions'!$B$38,'Assumptions'!$C$22+('Assumptions'!$B$38-'Assumptions'!$C$22)*0.4000),'Assumptions'!$B$38)</f>
        <v/>
      </c>
      <c r="G26" s="17">
        <f>'Scenario'!$G$23*IF(ISNUMBER('Assumptions'!$C$22),CHOOSE(Method,'Assumptions'!$C$22,'Assumptions'!$B$38,'Assumptions'!$C$22+('Assumptions'!$B$38-'Assumptions'!$C$22)*0.5000),'Assumptions'!$B$38)</f>
        <v/>
      </c>
      <c r="H26" s="17">
        <f>'Scenario'!$H$23*IF(ISNUMBER('Assumptions'!$C$22),CHOOSE(Method,'Assumptions'!$C$22,'Assumptions'!$B$38,'Assumptions'!$C$22+('Assumptions'!$B$38-'Assumptions'!$C$22)*0.6000),'Assumptions'!$B$38)</f>
        <v/>
      </c>
      <c r="I26" s="17">
        <f>'Scenario'!$I$23*IF(ISNUMBER('Assumptions'!$C$22),CHOOSE(Method,'Assumptions'!$C$22,'Assumptions'!$B$38,'Assumptions'!$C$22+('Assumptions'!$B$38-'Assumptions'!$C$22)*0.7000),'Assumptions'!$B$38)</f>
        <v/>
      </c>
      <c r="J26" s="17">
        <f>'Scenario'!$J$23*IF(ISNUMBER('Assumptions'!$C$22),CHOOSE(Method,'Assumptions'!$C$22,'Assumptions'!$B$38,'Assumptions'!$C$22+('Assumptions'!$B$38-'Assumptions'!$C$22)*0.8000),'Assumptions'!$B$38)</f>
        <v/>
      </c>
      <c r="K26" s="17">
        <f>'Scenario'!$K$23*IF(ISNUMBER('Assumptions'!$C$22),CHOOSE(Method,'Assumptions'!$C$22,'Assumptions'!$B$38,'Assumptions'!$C$22+('Assumptions'!$B$38-'Assumptions'!$C$22)*0.9000),'Assumptions'!$B$38)</f>
        <v/>
      </c>
      <c r="L26" s="17">
        <f>'Scenario'!$L$23*IF(ISNUMBER('Assumptions'!$C$22),CHOOSE(Method,'Assumptions'!$C$22,'Assumptions'!$B$38,'Assumptions'!$C$22+('Assumptions'!$B$38-'Assumptions'!$C$22)*1.0000),'Assumptions'!$B$38)</f>
        <v/>
      </c>
    </row>
    <row r="27">
      <c r="A27" s="22" t="inlineStr">
        <is>
          <t>ebit</t>
        </is>
      </c>
      <c r="B27" s="17">
        <f>'Historical'!$K$16</f>
        <v/>
      </c>
      <c r="C27" s="17">
        <f>'Scenario'!$C$25-'Scenario'!$C$26</f>
        <v/>
      </c>
      <c r="D27" s="17">
        <f>'Scenario'!$D$25-'Scenario'!$D$26</f>
        <v/>
      </c>
      <c r="E27" s="17">
        <f>'Scenario'!$E$25-'Scenario'!$E$26</f>
        <v/>
      </c>
      <c r="F27" s="17">
        <f>'Scenario'!$F$25-'Scenario'!$F$26</f>
        <v/>
      </c>
      <c r="G27" s="17">
        <f>'Scenario'!$G$25-'Scenario'!$G$26</f>
        <v/>
      </c>
      <c r="H27" s="17">
        <f>'Scenario'!$H$25-'Scenario'!$H$26</f>
        <v/>
      </c>
      <c r="I27" s="17">
        <f>'Scenario'!$I$25-'Scenario'!$I$26</f>
        <v/>
      </c>
      <c r="J27" s="17">
        <f>'Scenario'!$J$25-'Scenario'!$J$26</f>
        <v/>
      </c>
      <c r="K27" s="17">
        <f>'Scenario'!$K$25-'Scenario'!$K$26</f>
        <v/>
      </c>
      <c r="L27" s="17">
        <f>'Scenario'!$L$25-'Scenario'!$L$26</f>
        <v/>
      </c>
    </row>
    <row r="28">
      <c r="A28" s="22" t="inlineStr">
        <is>
          <t>ltd</t>
        </is>
      </c>
      <c r="B28" s="17">
        <f>'Historical'!$K$33</f>
        <v/>
      </c>
      <c r="C28" s="17">
        <f>'Scenario'!$B$28+'Assumptions'!$B$45-'Assumptions'!$B$44*'Scenario'!$B$28</f>
        <v/>
      </c>
      <c r="D28" s="17">
        <f>'Scenario'!$C$28+'Assumptions'!$B$45-'Assumptions'!$B$44*'Scenario'!$C$28</f>
        <v/>
      </c>
      <c r="E28" s="17">
        <f>'Scenario'!$D$28+'Assumptions'!$B$45-'Assumptions'!$B$44*'Scenario'!$D$28</f>
        <v/>
      </c>
      <c r="F28" s="17">
        <f>'Scenario'!$E$28+'Assumptions'!$B$45-'Assumptions'!$B$44*'Scenario'!$E$28</f>
        <v/>
      </c>
      <c r="G28" s="17">
        <f>'Scenario'!$F$28+'Assumptions'!$B$45-'Assumptions'!$B$44*'Scenario'!$F$28</f>
        <v/>
      </c>
      <c r="H28" s="17">
        <f>'Scenario'!$G$28+'Assumptions'!$B$45-'Assumptions'!$B$44*'Scenario'!$G$28</f>
        <v/>
      </c>
      <c r="I28" s="17">
        <f>'Scenario'!$H$28+'Assumptions'!$B$45-'Assumptions'!$B$44*'Scenario'!$H$28</f>
        <v/>
      </c>
      <c r="J28" s="17">
        <f>'Scenario'!$I$28+'Assumptions'!$B$45-'Assumptions'!$B$44*'Scenario'!$I$28</f>
        <v/>
      </c>
      <c r="K28" s="17">
        <f>'Scenario'!$J$28+'Assumptions'!$B$45-'Assumptions'!$B$44*'Scenario'!$J$28</f>
        <v/>
      </c>
      <c r="L28" s="17">
        <f>'Scenario'!$K$28+'Assumptions'!$B$45-'Assumptions'!$B$44*'Scenario'!$K$28</f>
        <v/>
      </c>
    </row>
    <row r="29">
      <c r="A29" s="22" t="inlineStr">
        <is>
          <t>total_debt</t>
        </is>
      </c>
      <c r="B29" s="17">
        <f>'Historical'!$K$44</f>
        <v/>
      </c>
      <c r="C29" s="17">
        <f>'Historical'!$K$32+'Scenario'!$C$28</f>
        <v/>
      </c>
      <c r="D29" s="17">
        <f>'Historical'!$K$32+'Scenario'!$D$28</f>
        <v/>
      </c>
      <c r="E29" s="17">
        <f>'Historical'!$K$32+'Scenario'!$E$28</f>
        <v/>
      </c>
      <c r="F29" s="17">
        <f>'Historical'!$K$32+'Scenario'!$F$28</f>
        <v/>
      </c>
      <c r="G29" s="17">
        <f>'Historical'!$K$32+'Scenario'!$G$28</f>
        <v/>
      </c>
      <c r="H29" s="17">
        <f>'Historical'!$K$32+'Scenario'!$H$28</f>
        <v/>
      </c>
      <c r="I29" s="17">
        <f>'Historical'!$K$32+'Scenario'!$I$28</f>
        <v/>
      </c>
      <c r="J29" s="17">
        <f>'Historical'!$K$32+'Scenario'!$J$28</f>
        <v/>
      </c>
      <c r="K29" s="17">
        <f>'Historical'!$K$32+'Scenario'!$K$28</f>
        <v/>
      </c>
      <c r="L29" s="17">
        <f>'Historical'!$K$32+'Scenario'!$L$28</f>
        <v/>
      </c>
    </row>
    <row r="30">
      <c r="A30" s="22" t="inlineStr">
        <is>
          <t>int_exp</t>
        </is>
      </c>
      <c r="B30" s="17">
        <f>'Historical'!$K$17</f>
        <v/>
      </c>
      <c r="C30" s="17">
        <f>IF(ISNUMBER('Assumptions'!$C$26),CHOOSE(Method,'Assumptions'!$C$26,'Assumptions'!$B$42,'Assumptions'!$C$26+('Assumptions'!$B$42-'Assumptions'!$C$26)*0.1000),'Assumptions'!$B$42)*'Scenario'!$B$29</f>
        <v/>
      </c>
      <c r="D30" s="17">
        <f>IF(ISNUMBER('Assumptions'!$C$26),CHOOSE(Method,'Assumptions'!$C$26,'Assumptions'!$B$42,'Assumptions'!$C$26+('Assumptions'!$B$42-'Assumptions'!$C$26)*0.2000),'Assumptions'!$B$42)*'Scenario'!$C$29</f>
        <v/>
      </c>
      <c r="E30" s="17">
        <f>IF(ISNUMBER('Assumptions'!$C$26),CHOOSE(Method,'Assumptions'!$C$26,'Assumptions'!$B$42,'Assumptions'!$C$26+('Assumptions'!$B$42-'Assumptions'!$C$26)*0.3000),'Assumptions'!$B$42)*'Scenario'!$D$29</f>
        <v/>
      </c>
      <c r="F30" s="17">
        <f>IF(ISNUMBER('Assumptions'!$C$26),CHOOSE(Method,'Assumptions'!$C$26,'Assumptions'!$B$42,'Assumptions'!$C$26+('Assumptions'!$B$42-'Assumptions'!$C$26)*0.4000),'Assumptions'!$B$42)*'Scenario'!$E$29</f>
        <v/>
      </c>
      <c r="G30" s="17">
        <f>IF(ISNUMBER('Assumptions'!$C$26),CHOOSE(Method,'Assumptions'!$C$26,'Assumptions'!$B$42,'Assumptions'!$C$26+('Assumptions'!$B$42-'Assumptions'!$C$26)*0.5000),'Assumptions'!$B$42)*'Scenario'!$F$29</f>
        <v/>
      </c>
      <c r="H30" s="17">
        <f>IF(ISNUMBER('Assumptions'!$C$26),CHOOSE(Method,'Assumptions'!$C$26,'Assumptions'!$B$42,'Assumptions'!$C$26+('Assumptions'!$B$42-'Assumptions'!$C$26)*0.6000),'Assumptions'!$B$42)*'Scenario'!$G$29</f>
        <v/>
      </c>
      <c r="I30" s="17">
        <f>IF(ISNUMBER('Assumptions'!$C$26),CHOOSE(Method,'Assumptions'!$C$26,'Assumptions'!$B$42,'Assumptions'!$C$26+('Assumptions'!$B$42-'Assumptions'!$C$26)*0.7000),'Assumptions'!$B$42)*'Scenario'!$H$29</f>
        <v/>
      </c>
      <c r="J30" s="17">
        <f>IF(ISNUMBER('Assumptions'!$C$26),CHOOSE(Method,'Assumptions'!$C$26,'Assumptions'!$B$42,'Assumptions'!$C$26+('Assumptions'!$B$42-'Assumptions'!$C$26)*0.8000),'Assumptions'!$B$42)*'Scenario'!$I$29</f>
        <v/>
      </c>
      <c r="K30" s="17">
        <f>IF(ISNUMBER('Assumptions'!$C$26),CHOOSE(Method,'Assumptions'!$C$26,'Assumptions'!$B$42,'Assumptions'!$C$26+('Assumptions'!$B$42-'Assumptions'!$C$26)*0.9000),'Assumptions'!$B$42)*'Scenario'!$J$29</f>
        <v/>
      </c>
      <c r="L30" s="17">
        <f>IF(ISNUMBER('Assumptions'!$C$26),CHOOSE(Method,'Assumptions'!$C$26,'Assumptions'!$B$42,'Assumptions'!$C$26+('Assumptions'!$B$42-'Assumptions'!$C$26)*1.0000),'Assumptions'!$B$42)*'Scenario'!$K$29</f>
        <v/>
      </c>
    </row>
    <row r="31">
      <c r="A31" s="22" t="inlineStr">
        <is>
          <t>int_inc</t>
        </is>
      </c>
      <c r="B31" s="17" t="n">
        <v>0</v>
      </c>
      <c r="C31" s="17">
        <f>'Assumptions'!$B$46*'Scenario'!$B$46</f>
        <v/>
      </c>
      <c r="D31" s="17">
        <f>'Assumptions'!$B$46*'Scenario'!$C$46</f>
        <v/>
      </c>
      <c r="E31" s="17">
        <f>'Assumptions'!$B$46*'Scenario'!$D$46</f>
        <v/>
      </c>
      <c r="F31" s="17">
        <f>'Assumptions'!$B$46*'Scenario'!$E$46</f>
        <v/>
      </c>
      <c r="G31" s="17">
        <f>'Assumptions'!$B$46*'Scenario'!$F$46</f>
        <v/>
      </c>
      <c r="H31" s="17">
        <f>'Assumptions'!$B$46*'Scenario'!$G$46</f>
        <v/>
      </c>
      <c r="I31" s="17">
        <f>'Assumptions'!$B$46*'Scenario'!$H$46</f>
        <v/>
      </c>
      <c r="J31" s="17">
        <f>'Assumptions'!$B$46*'Scenario'!$I$46</f>
        <v/>
      </c>
      <c r="K31" s="17">
        <f>'Assumptions'!$B$46*'Scenario'!$J$46</f>
        <v/>
      </c>
      <c r="L31" s="17">
        <f>'Assumptions'!$B$46*'Scenario'!$K$46</f>
        <v/>
      </c>
    </row>
    <row r="32">
      <c r="A32" s="22" t="inlineStr">
        <is>
          <t>pretax</t>
        </is>
      </c>
      <c r="B32" s="17">
        <f>'Historical'!$K$18</f>
        <v/>
      </c>
      <c r="C32" s="17">
        <f>'Scenario'!$C$27-'Scenario'!$C$30+'Scenario'!$C$31</f>
        <v/>
      </c>
      <c r="D32" s="17">
        <f>'Scenario'!$D$27-'Scenario'!$D$30+'Scenario'!$D$31</f>
        <v/>
      </c>
      <c r="E32" s="17">
        <f>'Scenario'!$E$27-'Scenario'!$E$30+'Scenario'!$E$31</f>
        <v/>
      </c>
      <c r="F32" s="17">
        <f>'Scenario'!$F$27-'Scenario'!$F$30+'Scenario'!$F$31</f>
        <v/>
      </c>
      <c r="G32" s="17">
        <f>'Scenario'!$G$27-'Scenario'!$G$30+'Scenario'!$G$31</f>
        <v/>
      </c>
      <c r="H32" s="17">
        <f>'Scenario'!$H$27-'Scenario'!$H$30+'Scenario'!$H$31</f>
        <v/>
      </c>
      <c r="I32" s="17">
        <f>'Scenario'!$I$27-'Scenario'!$I$30+'Scenario'!$I$31</f>
        <v/>
      </c>
      <c r="J32" s="17">
        <f>'Scenario'!$J$27-'Scenario'!$J$30+'Scenario'!$J$31</f>
        <v/>
      </c>
      <c r="K32" s="17">
        <f>'Scenario'!$K$27-'Scenario'!$K$30+'Scenario'!$K$31</f>
        <v/>
      </c>
      <c r="L32" s="17">
        <f>'Scenario'!$L$27-'Scenario'!$L$30+'Scenario'!$L$31</f>
        <v/>
      </c>
    </row>
    <row r="33">
      <c r="A33" s="22" t="inlineStr">
        <is>
          <t>tax</t>
        </is>
      </c>
      <c r="B33" s="17">
        <f>'Historical'!$K$19</f>
        <v/>
      </c>
      <c r="C33" s="17">
        <f>IF(ISNUMBER('Assumptions'!$C$17),CHOOSE(Method,'Assumptions'!$C$17,'Assumptions'!$B$33,'Assumptions'!$C$17+('Assumptions'!$B$33-'Assumptions'!$C$17)*0.1000),'Assumptions'!$B$33)*'Scenario'!$C$32</f>
        <v/>
      </c>
      <c r="D33" s="17">
        <f>IF(ISNUMBER('Assumptions'!$C$17),CHOOSE(Method,'Assumptions'!$C$17,'Assumptions'!$B$33,'Assumptions'!$C$17+('Assumptions'!$B$33-'Assumptions'!$C$17)*0.2000),'Assumptions'!$B$33)*'Scenario'!$D$32</f>
        <v/>
      </c>
      <c r="E33" s="17">
        <f>IF(ISNUMBER('Assumptions'!$C$17),CHOOSE(Method,'Assumptions'!$C$17,'Assumptions'!$B$33,'Assumptions'!$C$17+('Assumptions'!$B$33-'Assumptions'!$C$17)*0.3000),'Assumptions'!$B$33)*'Scenario'!$E$32</f>
        <v/>
      </c>
      <c r="F33" s="17">
        <f>IF(ISNUMBER('Assumptions'!$C$17),CHOOSE(Method,'Assumptions'!$C$17,'Assumptions'!$B$33,'Assumptions'!$C$17+('Assumptions'!$B$33-'Assumptions'!$C$17)*0.4000),'Assumptions'!$B$33)*'Scenario'!$F$32</f>
        <v/>
      </c>
      <c r="G33" s="17">
        <f>IF(ISNUMBER('Assumptions'!$C$17),CHOOSE(Method,'Assumptions'!$C$17,'Assumptions'!$B$33,'Assumptions'!$C$17+('Assumptions'!$B$33-'Assumptions'!$C$17)*0.5000),'Assumptions'!$B$33)*'Scenario'!$G$32</f>
        <v/>
      </c>
      <c r="H33" s="17">
        <f>IF(ISNUMBER('Assumptions'!$C$17),CHOOSE(Method,'Assumptions'!$C$17,'Assumptions'!$B$33,'Assumptions'!$C$17+('Assumptions'!$B$33-'Assumptions'!$C$17)*0.6000),'Assumptions'!$B$33)*'Scenario'!$H$32</f>
        <v/>
      </c>
      <c r="I33" s="17">
        <f>IF(ISNUMBER('Assumptions'!$C$17),CHOOSE(Method,'Assumptions'!$C$17,'Assumptions'!$B$33,'Assumptions'!$C$17+('Assumptions'!$B$33-'Assumptions'!$C$17)*0.7000),'Assumptions'!$B$33)*'Scenario'!$I$32</f>
        <v/>
      </c>
      <c r="J33" s="17">
        <f>IF(ISNUMBER('Assumptions'!$C$17),CHOOSE(Method,'Assumptions'!$C$17,'Assumptions'!$B$33,'Assumptions'!$C$17+('Assumptions'!$B$33-'Assumptions'!$C$17)*0.8000),'Assumptions'!$B$33)*'Scenario'!$J$32</f>
        <v/>
      </c>
      <c r="K33" s="17">
        <f>IF(ISNUMBER('Assumptions'!$C$17),CHOOSE(Method,'Assumptions'!$C$17,'Assumptions'!$B$33,'Assumptions'!$C$17+('Assumptions'!$B$33-'Assumptions'!$C$17)*0.9000),'Assumptions'!$B$33)*'Scenario'!$K$32</f>
        <v/>
      </c>
      <c r="L33" s="17">
        <f>IF(ISNUMBER('Assumptions'!$C$17),CHOOSE(Method,'Assumptions'!$C$17,'Assumptions'!$B$33,'Assumptions'!$C$17+('Assumptions'!$B$33-'Assumptions'!$C$17)*1.0000),'Assumptions'!$B$33)*'Scenario'!$L$32</f>
        <v/>
      </c>
    </row>
    <row r="34">
      <c r="A34" s="22" t="inlineStr">
        <is>
          <t>ni</t>
        </is>
      </c>
      <c r="B34" s="17">
        <f>'Historical'!$K$20</f>
        <v/>
      </c>
      <c r="C34" s="17">
        <f>'Scenario'!$C$32-'Scenario'!$C$33</f>
        <v/>
      </c>
      <c r="D34" s="17">
        <f>'Scenario'!$D$32-'Scenario'!$D$33</f>
        <v/>
      </c>
      <c r="E34" s="17">
        <f>'Scenario'!$E$32-'Scenario'!$E$33</f>
        <v/>
      </c>
      <c r="F34" s="17">
        <f>'Scenario'!$F$32-'Scenario'!$F$33</f>
        <v/>
      </c>
      <c r="G34" s="17">
        <f>'Scenario'!$G$32-'Scenario'!$G$33</f>
        <v/>
      </c>
      <c r="H34" s="17">
        <f>'Scenario'!$H$32-'Scenario'!$H$33</f>
        <v/>
      </c>
      <c r="I34" s="17">
        <f>'Scenario'!$I$32-'Scenario'!$I$33</f>
        <v/>
      </c>
      <c r="J34" s="17">
        <f>'Scenario'!$J$32-'Scenario'!$J$33</f>
        <v/>
      </c>
      <c r="K34" s="17">
        <f>'Scenario'!$K$32-'Scenario'!$K$33</f>
        <v/>
      </c>
      <c r="L34" s="17">
        <f>'Scenario'!$L$32-'Scenario'!$L$33</f>
        <v/>
      </c>
    </row>
    <row r="35">
      <c r="A35" s="22" t="inlineStr">
        <is>
          <t>recv</t>
        </is>
      </c>
      <c r="B35" s="17">
        <f>'Historical'!$K$23</f>
        <v/>
      </c>
      <c r="C35" s="17">
        <f>IF(ISNUMBER('Assumptions'!$C$18),CHOOSE(Method,'Assumptions'!$C$18,'Assumptions'!$B$34,'Assumptions'!$C$18+('Assumptions'!$B$34-'Assumptions'!$C$18)*0.1000),'Assumptions'!$B$34)/365*'Scenario'!$C$23</f>
        <v/>
      </c>
      <c r="D35" s="17">
        <f>IF(ISNUMBER('Assumptions'!$C$18),CHOOSE(Method,'Assumptions'!$C$18,'Assumptions'!$B$34,'Assumptions'!$C$18+('Assumptions'!$B$34-'Assumptions'!$C$18)*0.2000),'Assumptions'!$B$34)/365*'Scenario'!$D$23</f>
        <v/>
      </c>
      <c r="E35" s="17">
        <f>IF(ISNUMBER('Assumptions'!$C$18),CHOOSE(Method,'Assumptions'!$C$18,'Assumptions'!$B$34,'Assumptions'!$C$18+('Assumptions'!$B$34-'Assumptions'!$C$18)*0.3000),'Assumptions'!$B$34)/365*'Scenario'!$E$23</f>
        <v/>
      </c>
      <c r="F35" s="17">
        <f>IF(ISNUMBER('Assumptions'!$C$18),CHOOSE(Method,'Assumptions'!$C$18,'Assumptions'!$B$34,'Assumptions'!$C$18+('Assumptions'!$B$34-'Assumptions'!$C$18)*0.4000),'Assumptions'!$B$34)/365*'Scenario'!$F$23</f>
        <v/>
      </c>
      <c r="G35" s="17">
        <f>IF(ISNUMBER('Assumptions'!$C$18),CHOOSE(Method,'Assumptions'!$C$18,'Assumptions'!$B$34,'Assumptions'!$C$18+('Assumptions'!$B$34-'Assumptions'!$C$18)*0.5000),'Assumptions'!$B$34)/365*'Scenario'!$G$23</f>
        <v/>
      </c>
      <c r="H35" s="17">
        <f>IF(ISNUMBER('Assumptions'!$C$18),CHOOSE(Method,'Assumptions'!$C$18,'Assumptions'!$B$34,'Assumptions'!$C$18+('Assumptions'!$B$34-'Assumptions'!$C$18)*0.6000),'Assumptions'!$B$34)/365*'Scenario'!$H$23</f>
        <v/>
      </c>
      <c r="I35" s="17">
        <f>IF(ISNUMBER('Assumptions'!$C$18),CHOOSE(Method,'Assumptions'!$C$18,'Assumptions'!$B$34,'Assumptions'!$C$18+('Assumptions'!$B$34-'Assumptions'!$C$18)*0.7000),'Assumptions'!$B$34)/365*'Scenario'!$I$23</f>
        <v/>
      </c>
      <c r="J35" s="17">
        <f>IF(ISNUMBER('Assumptions'!$C$18),CHOOSE(Method,'Assumptions'!$C$18,'Assumptions'!$B$34,'Assumptions'!$C$18+('Assumptions'!$B$34-'Assumptions'!$C$18)*0.8000),'Assumptions'!$B$34)/365*'Scenario'!$J$23</f>
        <v/>
      </c>
      <c r="K35" s="17">
        <f>IF(ISNUMBER('Assumptions'!$C$18),CHOOSE(Method,'Assumptions'!$C$18,'Assumptions'!$B$34,'Assumptions'!$C$18+('Assumptions'!$B$34-'Assumptions'!$C$18)*0.9000),'Assumptions'!$B$34)/365*'Scenario'!$K$23</f>
        <v/>
      </c>
      <c r="L35" s="17">
        <f>IF(ISNUMBER('Assumptions'!$C$18),CHOOSE(Method,'Assumptions'!$C$18,'Assumptions'!$B$34,'Assumptions'!$C$18+('Assumptions'!$B$34-'Assumptions'!$C$18)*1.0000),'Assumptions'!$B$34)/365*'Scenario'!$L$23</f>
        <v/>
      </c>
    </row>
    <row r="36">
      <c r="A36" s="22" t="inlineStr">
        <is>
          <t>inv</t>
        </is>
      </c>
      <c r="B36" s="17">
        <f>'Historical'!$K$24</f>
        <v/>
      </c>
      <c r="C36" s="17">
        <f>IF(ISNUMBER('Assumptions'!$C$19),CHOOSE(Method,'Assumptions'!$C$19,'Assumptions'!$B$35,'Assumptions'!$C$19+('Assumptions'!$B$35-'Assumptions'!$C$19)*0.1000),'Assumptions'!$B$35)/365*'Scenario'!$C$24</f>
        <v/>
      </c>
      <c r="D36" s="17">
        <f>IF(ISNUMBER('Assumptions'!$C$19),CHOOSE(Method,'Assumptions'!$C$19,'Assumptions'!$B$35,'Assumptions'!$C$19+('Assumptions'!$B$35-'Assumptions'!$C$19)*0.2000),'Assumptions'!$B$35)/365*'Scenario'!$D$24</f>
        <v/>
      </c>
      <c r="E36" s="17">
        <f>IF(ISNUMBER('Assumptions'!$C$19),CHOOSE(Method,'Assumptions'!$C$19,'Assumptions'!$B$35,'Assumptions'!$C$19+('Assumptions'!$B$35-'Assumptions'!$C$19)*0.3000),'Assumptions'!$B$35)/365*'Scenario'!$E$24</f>
        <v/>
      </c>
      <c r="F36" s="17">
        <f>IF(ISNUMBER('Assumptions'!$C$19),CHOOSE(Method,'Assumptions'!$C$19,'Assumptions'!$B$35,'Assumptions'!$C$19+('Assumptions'!$B$35-'Assumptions'!$C$19)*0.4000),'Assumptions'!$B$35)/365*'Scenario'!$F$24</f>
        <v/>
      </c>
      <c r="G36" s="17">
        <f>IF(ISNUMBER('Assumptions'!$C$19),CHOOSE(Method,'Assumptions'!$C$19,'Assumptions'!$B$35,'Assumptions'!$C$19+('Assumptions'!$B$35-'Assumptions'!$C$19)*0.5000),'Assumptions'!$B$35)/365*'Scenario'!$G$24</f>
        <v/>
      </c>
      <c r="H36" s="17">
        <f>IF(ISNUMBER('Assumptions'!$C$19),CHOOSE(Method,'Assumptions'!$C$19,'Assumptions'!$B$35,'Assumptions'!$C$19+('Assumptions'!$B$35-'Assumptions'!$C$19)*0.6000),'Assumptions'!$B$35)/365*'Scenario'!$H$24</f>
        <v/>
      </c>
      <c r="I36" s="17">
        <f>IF(ISNUMBER('Assumptions'!$C$19),CHOOSE(Method,'Assumptions'!$C$19,'Assumptions'!$B$35,'Assumptions'!$C$19+('Assumptions'!$B$35-'Assumptions'!$C$19)*0.7000),'Assumptions'!$B$35)/365*'Scenario'!$I$24</f>
        <v/>
      </c>
      <c r="J36" s="17">
        <f>IF(ISNUMBER('Assumptions'!$C$19),CHOOSE(Method,'Assumptions'!$C$19,'Assumptions'!$B$35,'Assumptions'!$C$19+('Assumptions'!$B$35-'Assumptions'!$C$19)*0.8000),'Assumptions'!$B$35)/365*'Scenario'!$J$24</f>
        <v/>
      </c>
      <c r="K36" s="17">
        <f>IF(ISNUMBER('Assumptions'!$C$19),CHOOSE(Method,'Assumptions'!$C$19,'Assumptions'!$B$35,'Assumptions'!$C$19+('Assumptions'!$B$35-'Assumptions'!$C$19)*0.9000),'Assumptions'!$B$35)/365*'Scenario'!$K$24</f>
        <v/>
      </c>
      <c r="L36" s="17">
        <f>IF(ISNUMBER('Assumptions'!$C$19),CHOOSE(Method,'Assumptions'!$C$19,'Assumptions'!$B$35,'Assumptions'!$C$19+('Assumptions'!$B$35-'Assumptions'!$C$19)*1.0000),'Assumptions'!$B$35)/365*'Scenario'!$L$24</f>
        <v/>
      </c>
    </row>
    <row r="37">
      <c r="A37" s="22" t="inlineStr">
        <is>
          <t>oca</t>
        </is>
      </c>
      <c r="B37" s="17">
        <f>'Historical'!$K$25</f>
        <v/>
      </c>
      <c r="C37" s="17">
        <f>IFERROR('Scenario'!$C$23*'Historical'!$K$25/'Historical'!$K$10,0)</f>
        <v/>
      </c>
      <c r="D37" s="17">
        <f>IFERROR('Scenario'!$D$23*'Historical'!$K$25/'Historical'!$K$10,0)</f>
        <v/>
      </c>
      <c r="E37" s="17">
        <f>IFERROR('Scenario'!$E$23*'Historical'!$K$25/'Historical'!$K$10,0)</f>
        <v/>
      </c>
      <c r="F37" s="17">
        <f>IFERROR('Scenario'!$F$23*'Historical'!$K$25/'Historical'!$K$10,0)</f>
        <v/>
      </c>
      <c r="G37" s="17">
        <f>IFERROR('Scenario'!$G$23*'Historical'!$K$25/'Historical'!$K$10,0)</f>
        <v/>
      </c>
      <c r="H37" s="17">
        <f>IFERROR('Scenario'!$H$23*'Historical'!$K$25/'Historical'!$K$10,0)</f>
        <v/>
      </c>
      <c r="I37" s="17">
        <f>IFERROR('Scenario'!$I$23*'Historical'!$K$25/'Historical'!$K$10,0)</f>
        <v/>
      </c>
      <c r="J37" s="17">
        <f>IFERROR('Scenario'!$J$23*'Historical'!$K$25/'Historical'!$K$10,0)</f>
        <v/>
      </c>
      <c r="K37" s="17">
        <f>IFERROR('Scenario'!$K$23*'Historical'!$K$25/'Historical'!$K$10,0)</f>
        <v/>
      </c>
      <c r="L37" s="17">
        <f>IFERROR('Scenario'!$L$23*'Historical'!$K$25/'Historical'!$K$10,0)</f>
        <v/>
      </c>
    </row>
    <row r="38">
      <c r="A38" s="22" t="inlineStr">
        <is>
          <t>pay</t>
        </is>
      </c>
      <c r="B38" s="17">
        <f>'Historical'!$K$31</f>
        <v/>
      </c>
      <c r="C38" s="17">
        <f>IF(ISNUMBER('Assumptions'!$C$20),CHOOSE(Method,'Assumptions'!$C$20,'Assumptions'!$B$36,'Assumptions'!$C$20+('Assumptions'!$B$36-'Assumptions'!$C$20)*0.1000),'Assumptions'!$B$36)/365*'Scenario'!$C$24</f>
        <v/>
      </c>
      <c r="D38" s="17">
        <f>IF(ISNUMBER('Assumptions'!$C$20),CHOOSE(Method,'Assumptions'!$C$20,'Assumptions'!$B$36,'Assumptions'!$C$20+('Assumptions'!$B$36-'Assumptions'!$C$20)*0.2000),'Assumptions'!$B$36)/365*'Scenario'!$D$24</f>
        <v/>
      </c>
      <c r="E38" s="17">
        <f>IF(ISNUMBER('Assumptions'!$C$20),CHOOSE(Method,'Assumptions'!$C$20,'Assumptions'!$B$36,'Assumptions'!$C$20+('Assumptions'!$B$36-'Assumptions'!$C$20)*0.3000),'Assumptions'!$B$36)/365*'Scenario'!$E$24</f>
        <v/>
      </c>
      <c r="F38" s="17">
        <f>IF(ISNUMBER('Assumptions'!$C$20),CHOOSE(Method,'Assumptions'!$C$20,'Assumptions'!$B$36,'Assumptions'!$C$20+('Assumptions'!$B$36-'Assumptions'!$C$20)*0.4000),'Assumptions'!$B$36)/365*'Scenario'!$F$24</f>
        <v/>
      </c>
      <c r="G38" s="17">
        <f>IF(ISNUMBER('Assumptions'!$C$20),CHOOSE(Method,'Assumptions'!$C$20,'Assumptions'!$B$36,'Assumptions'!$C$20+('Assumptions'!$B$36-'Assumptions'!$C$20)*0.5000),'Assumptions'!$B$36)/365*'Scenario'!$G$24</f>
        <v/>
      </c>
      <c r="H38" s="17">
        <f>IF(ISNUMBER('Assumptions'!$C$20),CHOOSE(Method,'Assumptions'!$C$20,'Assumptions'!$B$36,'Assumptions'!$C$20+('Assumptions'!$B$36-'Assumptions'!$C$20)*0.6000),'Assumptions'!$B$36)/365*'Scenario'!$H$24</f>
        <v/>
      </c>
      <c r="I38" s="17">
        <f>IF(ISNUMBER('Assumptions'!$C$20),CHOOSE(Method,'Assumptions'!$C$20,'Assumptions'!$B$36,'Assumptions'!$C$20+('Assumptions'!$B$36-'Assumptions'!$C$20)*0.7000),'Assumptions'!$B$36)/365*'Scenario'!$I$24</f>
        <v/>
      </c>
      <c r="J38" s="17">
        <f>IF(ISNUMBER('Assumptions'!$C$20),CHOOSE(Method,'Assumptions'!$C$20,'Assumptions'!$B$36,'Assumptions'!$C$20+('Assumptions'!$B$36-'Assumptions'!$C$20)*0.8000),'Assumptions'!$B$36)/365*'Scenario'!$J$24</f>
        <v/>
      </c>
      <c r="K38" s="17">
        <f>IF(ISNUMBER('Assumptions'!$C$20),CHOOSE(Method,'Assumptions'!$C$20,'Assumptions'!$B$36,'Assumptions'!$C$20+('Assumptions'!$B$36-'Assumptions'!$C$20)*0.9000),'Assumptions'!$B$36)/365*'Scenario'!$K$24</f>
        <v/>
      </c>
      <c r="L38" s="17">
        <f>IF(ISNUMBER('Assumptions'!$C$20),CHOOSE(Method,'Assumptions'!$C$20,'Assumptions'!$B$36,'Assumptions'!$C$20+('Assumptions'!$B$36-'Assumptions'!$C$20)*1.0000),'Assumptions'!$B$36)/365*'Scenario'!$L$24</f>
        <v/>
      </c>
    </row>
    <row r="39">
      <c r="A39" s="22" t="inlineStr">
        <is>
          <t>otherL</t>
        </is>
      </c>
      <c r="B39" s="17">
        <f>'Historical'!$K$34</f>
        <v/>
      </c>
      <c r="C39" s="17">
        <f>IF(ISNUMBER('Assumptions'!$C$25),CHOOSE(Method,'Assumptions'!$C$25,'Assumptions'!$B$41,'Assumptions'!$C$25+('Assumptions'!$B$41-'Assumptions'!$C$25)*0.1000),'Assumptions'!$B$41)*'Scenario'!$C$23</f>
        <v/>
      </c>
      <c r="D39" s="17">
        <f>IF(ISNUMBER('Assumptions'!$C$25),CHOOSE(Method,'Assumptions'!$C$25,'Assumptions'!$B$41,'Assumptions'!$C$25+('Assumptions'!$B$41-'Assumptions'!$C$25)*0.2000),'Assumptions'!$B$41)*'Scenario'!$D$23</f>
        <v/>
      </c>
      <c r="E39" s="17">
        <f>IF(ISNUMBER('Assumptions'!$C$25),CHOOSE(Method,'Assumptions'!$C$25,'Assumptions'!$B$41,'Assumptions'!$C$25+('Assumptions'!$B$41-'Assumptions'!$C$25)*0.3000),'Assumptions'!$B$41)*'Scenario'!$E$23</f>
        <v/>
      </c>
      <c r="F39" s="17">
        <f>IF(ISNUMBER('Assumptions'!$C$25),CHOOSE(Method,'Assumptions'!$C$25,'Assumptions'!$B$41,'Assumptions'!$C$25+('Assumptions'!$B$41-'Assumptions'!$C$25)*0.4000),'Assumptions'!$B$41)*'Scenario'!$F$23</f>
        <v/>
      </c>
      <c r="G39" s="17">
        <f>IF(ISNUMBER('Assumptions'!$C$25),CHOOSE(Method,'Assumptions'!$C$25,'Assumptions'!$B$41,'Assumptions'!$C$25+('Assumptions'!$B$41-'Assumptions'!$C$25)*0.5000),'Assumptions'!$B$41)*'Scenario'!$G$23</f>
        <v/>
      </c>
      <c r="H39" s="17">
        <f>IF(ISNUMBER('Assumptions'!$C$25),CHOOSE(Method,'Assumptions'!$C$25,'Assumptions'!$B$41,'Assumptions'!$C$25+('Assumptions'!$B$41-'Assumptions'!$C$25)*0.6000),'Assumptions'!$B$41)*'Scenario'!$H$23</f>
        <v/>
      </c>
      <c r="I39" s="17">
        <f>IF(ISNUMBER('Assumptions'!$C$25),CHOOSE(Method,'Assumptions'!$C$25,'Assumptions'!$B$41,'Assumptions'!$C$25+('Assumptions'!$B$41-'Assumptions'!$C$25)*0.7000),'Assumptions'!$B$41)*'Scenario'!$I$23</f>
        <v/>
      </c>
      <c r="J39" s="17">
        <f>IF(ISNUMBER('Assumptions'!$C$25),CHOOSE(Method,'Assumptions'!$C$25,'Assumptions'!$B$41,'Assumptions'!$C$25+('Assumptions'!$B$41-'Assumptions'!$C$25)*0.8000),'Assumptions'!$B$41)*'Scenario'!$J$23</f>
        <v/>
      </c>
      <c r="K39" s="17">
        <f>IF(ISNUMBER('Assumptions'!$C$25),CHOOSE(Method,'Assumptions'!$C$25,'Assumptions'!$B$41,'Assumptions'!$C$25+('Assumptions'!$B$41-'Assumptions'!$C$25)*0.9000),'Assumptions'!$B$41)*'Scenario'!$K$23</f>
        <v/>
      </c>
      <c r="L39" s="17">
        <f>IF(ISNUMBER('Assumptions'!$C$25),CHOOSE(Method,'Assumptions'!$C$25,'Assumptions'!$B$41,'Assumptions'!$C$25+('Assumptions'!$B$41-'Assumptions'!$C$25)*1.0000),'Assumptions'!$B$41)*'Scenario'!$L$23</f>
        <v/>
      </c>
    </row>
    <row r="40">
      <c r="A40" s="22" t="inlineStr">
        <is>
          <t>oa</t>
        </is>
      </c>
      <c r="B40" s="17">
        <f>'Historical'!$K$28</f>
        <v/>
      </c>
      <c r="C40" s="17">
        <f>IF(ISNUMBER('Assumptions'!$C$24),CHOOSE(Method,'Assumptions'!$C$24,'Assumptions'!$B$40,'Assumptions'!$C$24+('Assumptions'!$B$40-'Assumptions'!$C$24)*0.1000),'Assumptions'!$B$40)*'Scenario'!$C$23</f>
        <v/>
      </c>
      <c r="D40" s="17">
        <f>IF(ISNUMBER('Assumptions'!$C$24),CHOOSE(Method,'Assumptions'!$C$24,'Assumptions'!$B$40,'Assumptions'!$C$24+('Assumptions'!$B$40-'Assumptions'!$C$24)*0.2000),'Assumptions'!$B$40)*'Scenario'!$D$23</f>
        <v/>
      </c>
      <c r="E40" s="17">
        <f>IF(ISNUMBER('Assumptions'!$C$24),CHOOSE(Method,'Assumptions'!$C$24,'Assumptions'!$B$40,'Assumptions'!$C$24+('Assumptions'!$B$40-'Assumptions'!$C$24)*0.3000),'Assumptions'!$B$40)*'Scenario'!$E$23</f>
        <v/>
      </c>
      <c r="F40" s="17">
        <f>IF(ISNUMBER('Assumptions'!$C$24),CHOOSE(Method,'Assumptions'!$C$24,'Assumptions'!$B$40,'Assumptions'!$C$24+('Assumptions'!$B$40-'Assumptions'!$C$24)*0.4000),'Assumptions'!$B$40)*'Scenario'!$F$23</f>
        <v/>
      </c>
      <c r="G40" s="17">
        <f>IF(ISNUMBER('Assumptions'!$C$24),CHOOSE(Method,'Assumptions'!$C$24,'Assumptions'!$B$40,'Assumptions'!$C$24+('Assumptions'!$B$40-'Assumptions'!$C$24)*0.5000),'Assumptions'!$B$40)*'Scenario'!$G$23</f>
        <v/>
      </c>
      <c r="H40" s="17">
        <f>IF(ISNUMBER('Assumptions'!$C$24),CHOOSE(Method,'Assumptions'!$C$24,'Assumptions'!$B$40,'Assumptions'!$C$24+('Assumptions'!$B$40-'Assumptions'!$C$24)*0.6000),'Assumptions'!$B$40)*'Scenario'!$H$23</f>
        <v/>
      </c>
      <c r="I40" s="17">
        <f>IF(ISNUMBER('Assumptions'!$C$24),CHOOSE(Method,'Assumptions'!$C$24,'Assumptions'!$B$40,'Assumptions'!$C$24+('Assumptions'!$B$40-'Assumptions'!$C$24)*0.7000),'Assumptions'!$B$40)*'Scenario'!$I$23</f>
        <v/>
      </c>
      <c r="J40" s="17">
        <f>IF(ISNUMBER('Assumptions'!$C$24),CHOOSE(Method,'Assumptions'!$C$24,'Assumptions'!$B$40,'Assumptions'!$C$24+('Assumptions'!$B$40-'Assumptions'!$C$24)*0.8000),'Assumptions'!$B$40)*'Scenario'!$J$23</f>
        <v/>
      </c>
      <c r="K40" s="17">
        <f>IF(ISNUMBER('Assumptions'!$C$24),CHOOSE(Method,'Assumptions'!$C$24,'Assumptions'!$B$40,'Assumptions'!$C$24+('Assumptions'!$B$40-'Assumptions'!$C$24)*0.9000),'Assumptions'!$B$40)*'Scenario'!$K$23</f>
        <v/>
      </c>
      <c r="L40" s="17">
        <f>IF(ISNUMBER('Assumptions'!$C$24),CHOOSE(Method,'Assumptions'!$C$24,'Assumptions'!$B$40,'Assumptions'!$C$24+('Assumptions'!$B$40-'Assumptions'!$C$24)*1.0000),'Assumptions'!$B$40)*'Scenario'!$L$23</f>
        <v/>
      </c>
    </row>
    <row r="41">
      <c r="A41" s="22" t="inlineStr">
        <is>
          <t>dwc</t>
        </is>
      </c>
      <c r="B41" s="17" t="n">
        <v>0</v>
      </c>
      <c r="C41" s="17">
        <f>('Scenario'!$C$35-'Scenario'!$B$35)+('Scenario'!$C$36-'Scenario'!$B$36)+('Scenario'!$C$37-'Scenario'!$B$37)-('Scenario'!$C$38-'Scenario'!$B$38)-('Scenario'!$C$39-'Scenario'!$B$39)</f>
        <v/>
      </c>
      <c r="D41" s="17">
        <f>('Scenario'!$D$35-'Scenario'!$C$35)+('Scenario'!$D$36-'Scenario'!$C$36)+('Scenario'!$D$37-'Scenario'!$C$37)-('Scenario'!$D$38-'Scenario'!$C$38)-('Scenario'!$D$39-'Scenario'!$C$39)</f>
        <v/>
      </c>
      <c r="E41" s="17">
        <f>('Scenario'!$E$35-'Scenario'!$D$35)+('Scenario'!$E$36-'Scenario'!$D$36)+('Scenario'!$E$37-'Scenario'!$D$37)-('Scenario'!$E$38-'Scenario'!$D$38)-('Scenario'!$E$39-'Scenario'!$D$39)</f>
        <v/>
      </c>
      <c r="F41" s="17">
        <f>('Scenario'!$F$35-'Scenario'!$E$35)+('Scenario'!$F$36-'Scenario'!$E$36)+('Scenario'!$F$37-'Scenario'!$E$37)-('Scenario'!$F$38-'Scenario'!$E$38)-('Scenario'!$F$39-'Scenario'!$E$39)</f>
        <v/>
      </c>
      <c r="G41" s="17">
        <f>('Scenario'!$G$35-'Scenario'!$F$35)+('Scenario'!$G$36-'Scenario'!$F$36)+('Scenario'!$G$37-'Scenario'!$F$37)-('Scenario'!$G$38-'Scenario'!$F$38)-('Scenario'!$G$39-'Scenario'!$F$39)</f>
        <v/>
      </c>
      <c r="H41" s="17">
        <f>('Scenario'!$H$35-'Scenario'!$G$35)+('Scenario'!$H$36-'Scenario'!$G$36)+('Scenario'!$H$37-'Scenario'!$G$37)-('Scenario'!$H$38-'Scenario'!$G$38)-('Scenario'!$H$39-'Scenario'!$G$39)</f>
        <v/>
      </c>
      <c r="I41" s="17">
        <f>('Scenario'!$I$35-'Scenario'!$H$35)+('Scenario'!$I$36-'Scenario'!$H$36)+('Scenario'!$I$37-'Scenario'!$H$37)-('Scenario'!$I$38-'Scenario'!$H$38)-('Scenario'!$I$39-'Scenario'!$H$39)</f>
        <v/>
      </c>
      <c r="J41" s="17">
        <f>('Scenario'!$J$35-'Scenario'!$I$35)+('Scenario'!$J$36-'Scenario'!$I$36)+('Scenario'!$J$37-'Scenario'!$I$37)-('Scenario'!$J$38-'Scenario'!$I$38)-('Scenario'!$J$39-'Scenario'!$I$39)</f>
        <v/>
      </c>
      <c r="K41" s="17">
        <f>('Scenario'!$K$35-'Scenario'!$J$35)+('Scenario'!$K$36-'Scenario'!$J$36)+('Scenario'!$K$37-'Scenario'!$J$37)-('Scenario'!$K$38-'Scenario'!$J$38)-('Scenario'!$K$39-'Scenario'!$J$39)</f>
        <v/>
      </c>
      <c r="L41" s="17">
        <f>('Scenario'!$L$35-'Scenario'!$K$35)+('Scenario'!$L$36-'Scenario'!$K$36)+('Scenario'!$L$37-'Scenario'!$K$37)-('Scenario'!$L$38-'Scenario'!$K$38)-('Scenario'!$L$39-'Scenario'!$K$39)</f>
        <v/>
      </c>
    </row>
    <row r="42">
      <c r="A42" s="22" t="inlineStr">
        <is>
          <t>capex</t>
        </is>
      </c>
      <c r="B42" s="17">
        <f>'Historical'!$K$41</f>
        <v/>
      </c>
      <c r="C42" s="17">
        <f>IF(ISNUMBER('Assumptions'!$C$21),CHOOSE(Method,'Assumptions'!$C$21,'Assumptions'!$B$37,'Assumptions'!$C$21+('Assumptions'!$B$37-'Assumptions'!$C$21)*0.1000),'Assumptions'!$B$37)*'Scenario'!$C$23</f>
        <v/>
      </c>
      <c r="D42" s="17">
        <f>IF(ISNUMBER('Assumptions'!$C$21),CHOOSE(Method,'Assumptions'!$C$21,'Assumptions'!$B$37,'Assumptions'!$C$21+('Assumptions'!$B$37-'Assumptions'!$C$21)*0.2000),'Assumptions'!$B$37)*'Scenario'!$D$23</f>
        <v/>
      </c>
      <c r="E42" s="17">
        <f>IF(ISNUMBER('Assumptions'!$C$21),CHOOSE(Method,'Assumptions'!$C$21,'Assumptions'!$B$37,'Assumptions'!$C$21+('Assumptions'!$B$37-'Assumptions'!$C$21)*0.3000),'Assumptions'!$B$37)*'Scenario'!$E$23</f>
        <v/>
      </c>
      <c r="F42" s="17">
        <f>IF(ISNUMBER('Assumptions'!$C$21),CHOOSE(Method,'Assumptions'!$C$21,'Assumptions'!$B$37,'Assumptions'!$C$21+('Assumptions'!$B$37-'Assumptions'!$C$21)*0.4000),'Assumptions'!$B$37)*'Scenario'!$F$23</f>
        <v/>
      </c>
      <c r="G42" s="17">
        <f>IF(ISNUMBER('Assumptions'!$C$21),CHOOSE(Method,'Assumptions'!$C$21,'Assumptions'!$B$37,'Assumptions'!$C$21+('Assumptions'!$B$37-'Assumptions'!$C$21)*0.5000),'Assumptions'!$B$37)*'Scenario'!$G$23</f>
        <v/>
      </c>
      <c r="H42" s="17">
        <f>IF(ISNUMBER('Assumptions'!$C$21),CHOOSE(Method,'Assumptions'!$C$21,'Assumptions'!$B$37,'Assumptions'!$C$21+('Assumptions'!$B$37-'Assumptions'!$C$21)*0.6000),'Assumptions'!$B$37)*'Scenario'!$H$23</f>
        <v/>
      </c>
      <c r="I42" s="17">
        <f>IF(ISNUMBER('Assumptions'!$C$21),CHOOSE(Method,'Assumptions'!$C$21,'Assumptions'!$B$37,'Assumptions'!$C$21+('Assumptions'!$B$37-'Assumptions'!$C$21)*0.7000),'Assumptions'!$B$37)*'Scenario'!$I$23</f>
        <v/>
      </c>
      <c r="J42" s="17">
        <f>IF(ISNUMBER('Assumptions'!$C$21),CHOOSE(Method,'Assumptions'!$C$21,'Assumptions'!$B$37,'Assumptions'!$C$21+('Assumptions'!$B$37-'Assumptions'!$C$21)*0.8000),'Assumptions'!$B$37)*'Scenario'!$J$23</f>
        <v/>
      </c>
      <c r="K42" s="17">
        <f>IF(ISNUMBER('Assumptions'!$C$21),CHOOSE(Method,'Assumptions'!$C$21,'Assumptions'!$B$37,'Assumptions'!$C$21+('Assumptions'!$B$37-'Assumptions'!$C$21)*0.9000),'Assumptions'!$B$37)*'Scenario'!$K$23</f>
        <v/>
      </c>
      <c r="L42" s="17">
        <f>IF(ISNUMBER('Assumptions'!$C$21),CHOOSE(Method,'Assumptions'!$C$21,'Assumptions'!$B$37,'Assumptions'!$C$21+('Assumptions'!$B$37-'Assumptions'!$C$21)*1.0000),'Assumptions'!$B$37)*'Scenario'!$L$23</f>
        <v/>
      </c>
    </row>
    <row r="43">
      <c r="A43" s="22" t="inlineStr">
        <is>
          <t>cfo</t>
        </is>
      </c>
      <c r="B43" s="17">
        <f>'Historical'!$K$40</f>
        <v/>
      </c>
      <c r="C43" s="17">
        <f>'Scenario'!$C$34+'Scenario'!$C$26-'Scenario'!$C$41</f>
        <v/>
      </c>
      <c r="D43" s="17">
        <f>'Scenario'!$D$34+'Scenario'!$D$26-'Scenario'!$D$41</f>
        <v/>
      </c>
      <c r="E43" s="17">
        <f>'Scenario'!$E$34+'Scenario'!$E$26-'Scenario'!$E$41</f>
        <v/>
      </c>
      <c r="F43" s="17">
        <f>'Scenario'!$F$34+'Scenario'!$F$26-'Scenario'!$F$41</f>
        <v/>
      </c>
      <c r="G43" s="17">
        <f>'Scenario'!$G$34+'Scenario'!$G$26-'Scenario'!$G$41</f>
        <v/>
      </c>
      <c r="H43" s="17">
        <f>'Scenario'!$H$34+'Scenario'!$H$26-'Scenario'!$H$41</f>
        <v/>
      </c>
      <c r="I43" s="17">
        <f>'Scenario'!$I$34+'Scenario'!$I$26-'Scenario'!$I$41</f>
        <v/>
      </c>
      <c r="J43" s="17">
        <f>'Scenario'!$J$34+'Scenario'!$J$26-'Scenario'!$J$41</f>
        <v/>
      </c>
      <c r="K43" s="17">
        <f>'Scenario'!$K$34+'Scenario'!$K$26-'Scenario'!$K$41</f>
        <v/>
      </c>
      <c r="L43" s="17">
        <f>'Scenario'!$L$34+'Scenario'!$L$26-'Scenario'!$L$41</f>
        <v/>
      </c>
    </row>
    <row r="44">
      <c r="A44" s="22" t="inlineStr">
        <is>
          <t>fcf</t>
        </is>
      </c>
      <c r="B44" s="17">
        <f>'Historical'!$K$42</f>
        <v/>
      </c>
      <c r="C44" s="17">
        <f>'Scenario'!$C$43-'Scenario'!$C$42</f>
        <v/>
      </c>
      <c r="D44" s="17">
        <f>'Scenario'!$D$43-'Scenario'!$D$42</f>
        <v/>
      </c>
      <c r="E44" s="17">
        <f>'Scenario'!$E$43-'Scenario'!$E$42</f>
        <v/>
      </c>
      <c r="F44" s="17">
        <f>'Scenario'!$F$43-'Scenario'!$F$42</f>
        <v/>
      </c>
      <c r="G44" s="17">
        <f>'Scenario'!$G$43-'Scenario'!$G$42</f>
        <v/>
      </c>
      <c r="H44" s="17">
        <f>'Scenario'!$H$43-'Scenario'!$H$42</f>
        <v/>
      </c>
      <c r="I44" s="17">
        <f>'Scenario'!$I$43-'Scenario'!$I$42</f>
        <v/>
      </c>
      <c r="J44" s="17">
        <f>'Scenario'!$J$43-'Scenario'!$J$42</f>
        <v/>
      </c>
      <c r="K44" s="17">
        <f>'Scenario'!$K$43-'Scenario'!$K$42</f>
        <v/>
      </c>
      <c r="L44" s="17">
        <f>'Scenario'!$L$43-'Scenario'!$L$42</f>
        <v/>
      </c>
    </row>
    <row r="45">
      <c r="A45" s="22" t="inlineStr">
        <is>
          <t>dividends</t>
        </is>
      </c>
      <c r="B45" s="17" t="n">
        <v>0</v>
      </c>
      <c r="C45" s="17">
        <f>'Assumptions'!$B$43*MAX(0,'Scenario'!$C$34)</f>
        <v/>
      </c>
      <c r="D45" s="17">
        <f>'Assumptions'!$B$43*MAX(0,'Scenario'!$D$34)</f>
        <v/>
      </c>
      <c r="E45" s="17">
        <f>'Assumptions'!$B$43*MAX(0,'Scenario'!$E$34)</f>
        <v/>
      </c>
      <c r="F45" s="17">
        <f>'Assumptions'!$B$43*MAX(0,'Scenario'!$F$34)</f>
        <v/>
      </c>
      <c r="G45" s="17">
        <f>'Assumptions'!$B$43*MAX(0,'Scenario'!$G$34)</f>
        <v/>
      </c>
      <c r="H45" s="17">
        <f>'Assumptions'!$B$43*MAX(0,'Scenario'!$H$34)</f>
        <v/>
      </c>
      <c r="I45" s="17">
        <f>'Assumptions'!$B$43*MAX(0,'Scenario'!$I$34)</f>
        <v/>
      </c>
      <c r="J45" s="17">
        <f>'Assumptions'!$B$43*MAX(0,'Scenario'!$J$34)</f>
        <v/>
      </c>
      <c r="K45" s="17">
        <f>'Assumptions'!$B$43*MAX(0,'Scenario'!$K$34)</f>
        <v/>
      </c>
      <c r="L45" s="17">
        <f>'Assumptions'!$B$43*MAX(0,'Scenario'!$L$34)</f>
        <v/>
      </c>
    </row>
    <row r="46">
      <c r="A46" s="22" t="inlineStr">
        <is>
          <t>cash</t>
        </is>
      </c>
      <c r="B46" s="17">
        <f>'Historical'!$K$22</f>
        <v/>
      </c>
      <c r="C46" s="17">
        <f>'Scenario'!$B$46+'Scenario'!$C$43-'Scenario'!$C$42-('Scenario'!$C$40-'Scenario'!$B$40)+'Assumptions'!$B$45-'Assumptions'!$B$44*'Scenario'!$B$28-'Scenario'!$C$45</f>
        <v/>
      </c>
      <c r="D46" s="17">
        <f>'Scenario'!$C$46+'Scenario'!$D$43-'Scenario'!$D$42-('Scenario'!$D$40-'Scenario'!$C$40)+'Assumptions'!$B$45-'Assumptions'!$B$44*'Scenario'!$C$28-'Scenario'!$D$45</f>
        <v/>
      </c>
      <c r="E46" s="17">
        <f>'Scenario'!$D$46+'Scenario'!$E$43-'Scenario'!$E$42-('Scenario'!$E$40-'Scenario'!$D$40)+'Assumptions'!$B$45-'Assumptions'!$B$44*'Scenario'!$D$28-'Scenario'!$E$45</f>
        <v/>
      </c>
      <c r="F46" s="17">
        <f>'Scenario'!$E$46+'Scenario'!$F$43-'Scenario'!$F$42-('Scenario'!$F$40-'Scenario'!$E$40)+'Assumptions'!$B$45-'Assumptions'!$B$44*'Scenario'!$E$28-'Scenario'!$F$45</f>
        <v/>
      </c>
      <c r="G46" s="17">
        <f>'Scenario'!$F$46+'Scenario'!$G$43-'Scenario'!$G$42-('Scenario'!$G$40-'Scenario'!$F$40)+'Assumptions'!$B$45-'Assumptions'!$B$44*'Scenario'!$F$28-'Scenario'!$G$45</f>
        <v/>
      </c>
      <c r="H46" s="17">
        <f>'Scenario'!$G$46+'Scenario'!$H$43-'Scenario'!$H$42-('Scenario'!$H$40-'Scenario'!$G$40)+'Assumptions'!$B$45-'Assumptions'!$B$44*'Scenario'!$G$28-'Scenario'!$H$45</f>
        <v/>
      </c>
      <c r="I46" s="17">
        <f>'Scenario'!$H$46+'Scenario'!$I$43-'Scenario'!$I$42-('Scenario'!$I$40-'Scenario'!$H$40)+'Assumptions'!$B$45-'Assumptions'!$B$44*'Scenario'!$H$28-'Scenario'!$I$45</f>
        <v/>
      </c>
      <c r="J46" s="17">
        <f>'Scenario'!$I$46+'Scenario'!$J$43-'Scenario'!$J$42-('Scenario'!$J$40-'Scenario'!$I$40)+'Assumptions'!$B$45-'Assumptions'!$B$44*'Scenario'!$I$28-'Scenario'!$J$45</f>
        <v/>
      </c>
      <c r="K46" s="17">
        <f>'Scenario'!$J$46+'Scenario'!$K$43-'Scenario'!$K$42-('Scenario'!$K$40-'Scenario'!$J$40)+'Assumptions'!$B$45-'Assumptions'!$B$44*'Scenario'!$J$28-'Scenario'!$K$45</f>
        <v/>
      </c>
      <c r="L46" s="17">
        <f>'Scenario'!$K$46+'Scenario'!$L$43-'Scenario'!$L$42-('Scenario'!$L$40-'Scenario'!$K$40)+'Assumptions'!$B$45-'Assumptions'!$B$44*'Scenario'!$K$28-'Scenario'!$L$45</f>
        <v/>
      </c>
    </row>
    <row r="47">
      <c r="A47" s="22" t="inlineStr">
        <is>
          <t>equity</t>
        </is>
      </c>
      <c r="B47" s="17">
        <f>'Historical'!$K$36</f>
        <v/>
      </c>
      <c r="C47" s="17">
        <f>'Scenario'!$B$47+'Scenario'!$C$34-'Scenario'!$C$45</f>
        <v/>
      </c>
      <c r="D47" s="17">
        <f>'Scenario'!$C$47+'Scenario'!$D$34-'Scenario'!$D$45</f>
        <v/>
      </c>
      <c r="E47" s="17">
        <f>'Scenario'!$D$47+'Scenario'!$E$34-'Scenario'!$E$45</f>
        <v/>
      </c>
      <c r="F47" s="17">
        <f>'Scenario'!$E$47+'Scenario'!$F$34-'Scenario'!$F$45</f>
        <v/>
      </c>
      <c r="G47" s="17">
        <f>'Scenario'!$F$47+'Scenario'!$G$34-'Scenario'!$G$45</f>
        <v/>
      </c>
      <c r="H47" s="17">
        <f>'Scenario'!$G$47+'Scenario'!$H$34-'Scenario'!$H$45</f>
        <v/>
      </c>
      <c r="I47" s="17">
        <f>'Scenario'!$H$47+'Scenario'!$I$34-'Scenario'!$I$45</f>
        <v/>
      </c>
      <c r="J47" s="17">
        <f>'Scenario'!$I$47+'Scenario'!$J$34-'Scenario'!$J$45</f>
        <v/>
      </c>
      <c r="K47" s="17">
        <f>'Scenario'!$J$47+'Scenario'!$K$34-'Scenario'!$K$45</f>
        <v/>
      </c>
      <c r="L47" s="17">
        <f>'Scenario'!$K$47+'Scenario'!$L$34-'Scenario'!$L$45</f>
        <v/>
      </c>
    </row>
    <row r="48">
      <c r="A48" s="22" t="inlineStr">
        <is>
          <t>nopat</t>
        </is>
      </c>
      <c r="B48" s="17" t="n">
        <v>0</v>
      </c>
      <c r="C48" s="17">
        <f>'Scenario'!$C$27*(1-IF(ISNUMBER('Assumptions'!$C$17),CHOOSE(Method,'Assumptions'!$C$17,'Assumptions'!$B$33,'Assumptions'!$C$17+('Assumptions'!$B$33-'Assumptions'!$C$17)*0.1000),'Assumptions'!$B$33))</f>
        <v/>
      </c>
      <c r="D48" s="17">
        <f>'Scenario'!$D$27*(1-IF(ISNUMBER('Assumptions'!$C$17),CHOOSE(Method,'Assumptions'!$C$17,'Assumptions'!$B$33,'Assumptions'!$C$17+('Assumptions'!$B$33-'Assumptions'!$C$17)*0.2000),'Assumptions'!$B$33))</f>
        <v/>
      </c>
      <c r="E48" s="17">
        <f>'Scenario'!$E$27*(1-IF(ISNUMBER('Assumptions'!$C$17),CHOOSE(Method,'Assumptions'!$C$17,'Assumptions'!$B$33,'Assumptions'!$C$17+('Assumptions'!$B$33-'Assumptions'!$C$17)*0.3000),'Assumptions'!$B$33))</f>
        <v/>
      </c>
      <c r="F48" s="17">
        <f>'Scenario'!$F$27*(1-IF(ISNUMBER('Assumptions'!$C$17),CHOOSE(Method,'Assumptions'!$C$17,'Assumptions'!$B$33,'Assumptions'!$C$17+('Assumptions'!$B$33-'Assumptions'!$C$17)*0.4000),'Assumptions'!$B$33))</f>
        <v/>
      </c>
      <c r="G48" s="17">
        <f>'Scenario'!$G$27*(1-IF(ISNUMBER('Assumptions'!$C$17),CHOOSE(Method,'Assumptions'!$C$17,'Assumptions'!$B$33,'Assumptions'!$C$17+('Assumptions'!$B$33-'Assumptions'!$C$17)*0.5000),'Assumptions'!$B$33))</f>
        <v/>
      </c>
      <c r="H48" s="17">
        <f>'Scenario'!$H$27*(1-IF(ISNUMBER('Assumptions'!$C$17),CHOOSE(Method,'Assumptions'!$C$17,'Assumptions'!$B$33,'Assumptions'!$C$17+('Assumptions'!$B$33-'Assumptions'!$C$17)*0.6000),'Assumptions'!$B$33))</f>
        <v/>
      </c>
      <c r="I48" s="17">
        <f>'Scenario'!$I$27*(1-IF(ISNUMBER('Assumptions'!$C$17),CHOOSE(Method,'Assumptions'!$C$17,'Assumptions'!$B$33,'Assumptions'!$C$17+('Assumptions'!$B$33-'Assumptions'!$C$17)*0.7000),'Assumptions'!$B$33))</f>
        <v/>
      </c>
      <c r="J48" s="17">
        <f>'Scenario'!$J$27*(1-IF(ISNUMBER('Assumptions'!$C$17),CHOOSE(Method,'Assumptions'!$C$17,'Assumptions'!$B$33,'Assumptions'!$C$17+('Assumptions'!$B$33-'Assumptions'!$C$17)*0.8000),'Assumptions'!$B$33))</f>
        <v/>
      </c>
      <c r="K48" s="17">
        <f>'Scenario'!$K$27*(1-IF(ISNUMBER('Assumptions'!$C$17),CHOOSE(Method,'Assumptions'!$C$17,'Assumptions'!$B$33,'Assumptions'!$C$17+('Assumptions'!$B$33-'Assumptions'!$C$17)*0.9000),'Assumptions'!$B$33))</f>
        <v/>
      </c>
      <c r="L48" s="17">
        <f>'Scenario'!$L$27*(1-IF(ISNUMBER('Assumptions'!$C$17),CHOOSE(Method,'Assumptions'!$C$17,'Assumptions'!$B$33,'Assumptions'!$C$17+('Assumptions'!$B$33-'Assumptions'!$C$17)*1.0000),'Assumptions'!$B$33))</f>
        <v/>
      </c>
    </row>
    <row r="49">
      <c r="A49" s="22" t="inlineStr">
        <is>
          <t>ic</t>
        </is>
      </c>
      <c r="B49" s="17">
        <f>'Historical'!$K$46</f>
        <v/>
      </c>
      <c r="C49" s="17">
        <f>'Scenario'!$C$47+'Scenario'!$C$29-'Scenario'!$C$46</f>
        <v/>
      </c>
      <c r="D49" s="17">
        <f>'Scenario'!$D$47+'Scenario'!$D$29-'Scenario'!$D$46</f>
        <v/>
      </c>
      <c r="E49" s="17">
        <f>'Scenario'!$E$47+'Scenario'!$E$29-'Scenario'!$E$46</f>
        <v/>
      </c>
      <c r="F49" s="17">
        <f>'Scenario'!$F$47+'Scenario'!$F$29-'Scenario'!$F$46</f>
        <v/>
      </c>
      <c r="G49" s="17">
        <f>'Scenario'!$G$47+'Scenario'!$G$29-'Scenario'!$G$46</f>
        <v/>
      </c>
      <c r="H49" s="17">
        <f>'Scenario'!$H$47+'Scenario'!$H$29-'Scenario'!$H$46</f>
        <v/>
      </c>
      <c r="I49" s="17">
        <f>'Scenario'!$I$47+'Scenario'!$I$29-'Scenario'!$I$46</f>
        <v/>
      </c>
      <c r="J49" s="17">
        <f>'Scenario'!$J$47+'Scenario'!$J$29-'Scenario'!$J$46</f>
        <v/>
      </c>
      <c r="K49" s="17">
        <f>'Scenario'!$K$47+'Scenario'!$K$29-'Scenario'!$K$46</f>
        <v/>
      </c>
      <c r="L49" s="17">
        <f>'Scenario'!$L$47+'Scenario'!$L$29-'Scenario'!$L$46</f>
        <v/>
      </c>
    </row>
    <row r="51" ht="20" customHeight="1">
      <c r="A51" s="5" t="inlineStr">
        <is>
          <t>Scenario Engine — Base</t>
        </is>
      </c>
    </row>
    <row r="52">
      <c r="A52" s="14" t="inlineStr">
        <is>
          <t>Line item</t>
        </is>
      </c>
      <c r="B52" s="16" t="inlineStr">
        <is>
          <t>FY2024 (base)</t>
        </is>
      </c>
      <c r="C52" s="16" t="inlineStr">
        <is>
          <t>FY2025</t>
        </is>
      </c>
      <c r="D52" s="16" t="inlineStr">
        <is>
          <t>FY2026</t>
        </is>
      </c>
      <c r="E52" s="16" t="inlineStr">
        <is>
          <t>FY2027</t>
        </is>
      </c>
      <c r="F52" s="16" t="inlineStr">
        <is>
          <t>FY2028</t>
        </is>
      </c>
      <c r="G52" s="16" t="inlineStr">
        <is>
          <t>FY2029</t>
        </is>
      </c>
      <c r="H52" s="16" t="inlineStr">
        <is>
          <t>FY2030</t>
        </is>
      </c>
      <c r="I52" s="16" t="inlineStr">
        <is>
          <t>FY2031</t>
        </is>
      </c>
      <c r="J52" s="16" t="inlineStr">
        <is>
          <t>FY2032</t>
        </is>
      </c>
      <c r="K52" s="16" t="inlineStr">
        <is>
          <t>FY2033</t>
        </is>
      </c>
      <c r="L52" s="16" t="inlineStr">
        <is>
          <t>FY2034</t>
        </is>
      </c>
    </row>
    <row r="53">
      <c r="A53" s="22" t="inlineStr">
        <is>
          <t>revenue</t>
        </is>
      </c>
      <c r="B53" s="17">
        <f>'Historical'!$K$10</f>
        <v/>
      </c>
      <c r="C53" s="17">
        <f>'Scenario'!$B$53*(1+IF(ISNUMBER('Assumptions'!$C$14),CHOOSE(Method,'Assumptions'!$C$14,'Assumptions'!$C$30,'Assumptions'!$C$14+('Assumptions'!$C$30-'Assumptions'!$C$14)*0.1000),'Assumptions'!$C$30))</f>
        <v/>
      </c>
      <c r="D53" s="17">
        <f>'Scenario'!$C$53*(1+IF(ISNUMBER('Assumptions'!$C$14),CHOOSE(Method,'Assumptions'!$C$14,'Assumptions'!$C$30,'Assumptions'!$C$14+('Assumptions'!$C$30-'Assumptions'!$C$14)*0.2000),'Assumptions'!$C$30))</f>
        <v/>
      </c>
      <c r="E53" s="17">
        <f>'Scenario'!$D$53*(1+IF(ISNUMBER('Assumptions'!$C$14),CHOOSE(Method,'Assumptions'!$C$14,'Assumptions'!$C$30,'Assumptions'!$C$14+('Assumptions'!$C$30-'Assumptions'!$C$14)*0.3000),'Assumptions'!$C$30))</f>
        <v/>
      </c>
      <c r="F53" s="17">
        <f>'Scenario'!$E$53*(1+IF(ISNUMBER('Assumptions'!$C$14),CHOOSE(Method,'Assumptions'!$C$14,'Assumptions'!$C$30,'Assumptions'!$C$14+('Assumptions'!$C$30-'Assumptions'!$C$14)*0.4000),'Assumptions'!$C$30))</f>
        <v/>
      </c>
      <c r="G53" s="17">
        <f>'Scenario'!$F$53*(1+IF(ISNUMBER('Assumptions'!$C$14),CHOOSE(Method,'Assumptions'!$C$14,'Assumptions'!$C$30,'Assumptions'!$C$14+('Assumptions'!$C$30-'Assumptions'!$C$14)*0.5000),'Assumptions'!$C$30))</f>
        <v/>
      </c>
      <c r="H53" s="17">
        <f>'Scenario'!$G$53*(1+IF(ISNUMBER('Assumptions'!$C$14),CHOOSE(Method,'Assumptions'!$C$14,'Assumptions'!$C$30,'Assumptions'!$C$14+('Assumptions'!$C$30-'Assumptions'!$C$14)*0.6000),'Assumptions'!$C$30))</f>
        <v/>
      </c>
      <c r="I53" s="17">
        <f>'Scenario'!$H$53*(1+IF(ISNUMBER('Assumptions'!$C$14),CHOOSE(Method,'Assumptions'!$C$14,'Assumptions'!$C$30,'Assumptions'!$C$14+('Assumptions'!$C$30-'Assumptions'!$C$14)*0.7000),'Assumptions'!$C$30))</f>
        <v/>
      </c>
      <c r="J53" s="17">
        <f>'Scenario'!$I$53*(1+IF(ISNUMBER('Assumptions'!$C$14),CHOOSE(Method,'Assumptions'!$C$14,'Assumptions'!$C$30,'Assumptions'!$C$14+('Assumptions'!$C$30-'Assumptions'!$C$14)*0.8000),'Assumptions'!$C$30))</f>
        <v/>
      </c>
      <c r="K53" s="17">
        <f>'Scenario'!$J$53*(1+IF(ISNUMBER('Assumptions'!$C$14),CHOOSE(Method,'Assumptions'!$C$14,'Assumptions'!$C$30,'Assumptions'!$C$14+('Assumptions'!$C$30-'Assumptions'!$C$14)*0.9000),'Assumptions'!$C$30))</f>
        <v/>
      </c>
      <c r="L53" s="17">
        <f>'Scenario'!$K$53*(1+IF(ISNUMBER('Assumptions'!$C$14),CHOOSE(Method,'Assumptions'!$C$14,'Assumptions'!$C$30,'Assumptions'!$C$14+('Assumptions'!$C$30-'Assumptions'!$C$14)*1.0000),'Assumptions'!$C$30))</f>
        <v/>
      </c>
    </row>
    <row r="54">
      <c r="A54" s="22" t="inlineStr">
        <is>
          <t>cogs</t>
        </is>
      </c>
      <c r="B54" s="17">
        <f>'Historical'!$K$11</f>
        <v/>
      </c>
      <c r="C54" s="17">
        <f>'Scenario'!$C$53*(1-IF(ISNUMBER('Assumptions'!$C$15),CHOOSE(Method,'Assumptions'!$C$15,'Assumptions'!$C$31,'Assumptions'!$C$15+('Assumptions'!$C$31-'Assumptions'!$C$15)*0.1000),'Assumptions'!$C$31))</f>
        <v/>
      </c>
      <c r="D54" s="17">
        <f>'Scenario'!$D$53*(1-IF(ISNUMBER('Assumptions'!$C$15),CHOOSE(Method,'Assumptions'!$C$15,'Assumptions'!$C$31,'Assumptions'!$C$15+('Assumptions'!$C$31-'Assumptions'!$C$15)*0.2000),'Assumptions'!$C$31))</f>
        <v/>
      </c>
      <c r="E54" s="17">
        <f>'Scenario'!$E$53*(1-IF(ISNUMBER('Assumptions'!$C$15),CHOOSE(Method,'Assumptions'!$C$15,'Assumptions'!$C$31,'Assumptions'!$C$15+('Assumptions'!$C$31-'Assumptions'!$C$15)*0.3000),'Assumptions'!$C$31))</f>
        <v/>
      </c>
      <c r="F54" s="17">
        <f>'Scenario'!$F$53*(1-IF(ISNUMBER('Assumptions'!$C$15),CHOOSE(Method,'Assumptions'!$C$15,'Assumptions'!$C$31,'Assumptions'!$C$15+('Assumptions'!$C$31-'Assumptions'!$C$15)*0.4000),'Assumptions'!$C$31))</f>
        <v/>
      </c>
      <c r="G54" s="17">
        <f>'Scenario'!$G$53*(1-IF(ISNUMBER('Assumptions'!$C$15),CHOOSE(Method,'Assumptions'!$C$15,'Assumptions'!$C$31,'Assumptions'!$C$15+('Assumptions'!$C$31-'Assumptions'!$C$15)*0.5000),'Assumptions'!$C$31))</f>
        <v/>
      </c>
      <c r="H54" s="17">
        <f>'Scenario'!$H$53*(1-IF(ISNUMBER('Assumptions'!$C$15),CHOOSE(Method,'Assumptions'!$C$15,'Assumptions'!$C$31,'Assumptions'!$C$15+('Assumptions'!$C$31-'Assumptions'!$C$15)*0.6000),'Assumptions'!$C$31))</f>
        <v/>
      </c>
      <c r="I54" s="17">
        <f>'Scenario'!$I$53*(1-IF(ISNUMBER('Assumptions'!$C$15),CHOOSE(Method,'Assumptions'!$C$15,'Assumptions'!$C$31,'Assumptions'!$C$15+('Assumptions'!$C$31-'Assumptions'!$C$15)*0.7000),'Assumptions'!$C$31))</f>
        <v/>
      </c>
      <c r="J54" s="17">
        <f>'Scenario'!$J$53*(1-IF(ISNUMBER('Assumptions'!$C$15),CHOOSE(Method,'Assumptions'!$C$15,'Assumptions'!$C$31,'Assumptions'!$C$15+('Assumptions'!$C$31-'Assumptions'!$C$15)*0.8000),'Assumptions'!$C$31))</f>
        <v/>
      </c>
      <c r="K54" s="17">
        <f>'Scenario'!$K$53*(1-IF(ISNUMBER('Assumptions'!$C$15),CHOOSE(Method,'Assumptions'!$C$15,'Assumptions'!$C$31,'Assumptions'!$C$15+('Assumptions'!$C$31-'Assumptions'!$C$15)*0.9000),'Assumptions'!$C$31))</f>
        <v/>
      </c>
      <c r="L54" s="17">
        <f>'Scenario'!$L$53*(1-IF(ISNUMBER('Assumptions'!$C$15),CHOOSE(Method,'Assumptions'!$C$15,'Assumptions'!$C$31,'Assumptions'!$C$15+('Assumptions'!$C$31-'Assumptions'!$C$15)*1.0000),'Assumptions'!$C$31))</f>
        <v/>
      </c>
    </row>
    <row r="55">
      <c r="A55" s="22" t="inlineStr">
        <is>
          <t>ebitda</t>
        </is>
      </c>
      <c r="B55" s="17">
        <f>'Historical'!$K$14</f>
        <v/>
      </c>
      <c r="C55" s="17">
        <f>'Scenario'!$C$53*IF(ISNUMBER('Assumptions'!$C$16),CHOOSE(Method,'Assumptions'!$C$16,'Assumptions'!$C$32,'Assumptions'!$C$16+('Assumptions'!$C$32-'Assumptions'!$C$16)*0.1000),'Assumptions'!$C$32)</f>
        <v/>
      </c>
      <c r="D55" s="17">
        <f>'Scenario'!$D$53*IF(ISNUMBER('Assumptions'!$C$16),CHOOSE(Method,'Assumptions'!$C$16,'Assumptions'!$C$32,'Assumptions'!$C$16+('Assumptions'!$C$32-'Assumptions'!$C$16)*0.2000),'Assumptions'!$C$32)</f>
        <v/>
      </c>
      <c r="E55" s="17">
        <f>'Scenario'!$E$53*IF(ISNUMBER('Assumptions'!$C$16),CHOOSE(Method,'Assumptions'!$C$16,'Assumptions'!$C$32,'Assumptions'!$C$16+('Assumptions'!$C$32-'Assumptions'!$C$16)*0.3000),'Assumptions'!$C$32)</f>
        <v/>
      </c>
      <c r="F55" s="17">
        <f>'Scenario'!$F$53*IF(ISNUMBER('Assumptions'!$C$16),CHOOSE(Method,'Assumptions'!$C$16,'Assumptions'!$C$32,'Assumptions'!$C$16+('Assumptions'!$C$32-'Assumptions'!$C$16)*0.4000),'Assumptions'!$C$32)</f>
        <v/>
      </c>
      <c r="G55" s="17">
        <f>'Scenario'!$G$53*IF(ISNUMBER('Assumptions'!$C$16),CHOOSE(Method,'Assumptions'!$C$16,'Assumptions'!$C$32,'Assumptions'!$C$16+('Assumptions'!$C$32-'Assumptions'!$C$16)*0.5000),'Assumptions'!$C$32)</f>
        <v/>
      </c>
      <c r="H55" s="17">
        <f>'Scenario'!$H$53*IF(ISNUMBER('Assumptions'!$C$16),CHOOSE(Method,'Assumptions'!$C$16,'Assumptions'!$C$32,'Assumptions'!$C$16+('Assumptions'!$C$32-'Assumptions'!$C$16)*0.6000),'Assumptions'!$C$32)</f>
        <v/>
      </c>
      <c r="I55" s="17">
        <f>'Scenario'!$I$53*IF(ISNUMBER('Assumptions'!$C$16),CHOOSE(Method,'Assumptions'!$C$16,'Assumptions'!$C$32,'Assumptions'!$C$16+('Assumptions'!$C$32-'Assumptions'!$C$16)*0.7000),'Assumptions'!$C$32)</f>
        <v/>
      </c>
      <c r="J55" s="17">
        <f>'Scenario'!$J$53*IF(ISNUMBER('Assumptions'!$C$16),CHOOSE(Method,'Assumptions'!$C$16,'Assumptions'!$C$32,'Assumptions'!$C$16+('Assumptions'!$C$32-'Assumptions'!$C$16)*0.8000),'Assumptions'!$C$32)</f>
        <v/>
      </c>
      <c r="K55" s="17">
        <f>'Scenario'!$K$53*IF(ISNUMBER('Assumptions'!$C$16),CHOOSE(Method,'Assumptions'!$C$16,'Assumptions'!$C$32,'Assumptions'!$C$16+('Assumptions'!$C$32-'Assumptions'!$C$16)*0.9000),'Assumptions'!$C$32)</f>
        <v/>
      </c>
      <c r="L55" s="17">
        <f>'Scenario'!$L$53*IF(ISNUMBER('Assumptions'!$C$16),CHOOSE(Method,'Assumptions'!$C$16,'Assumptions'!$C$32,'Assumptions'!$C$16+('Assumptions'!$C$32-'Assumptions'!$C$16)*1.0000),'Assumptions'!$C$32)</f>
        <v/>
      </c>
    </row>
    <row r="56">
      <c r="A56" s="22" t="inlineStr">
        <is>
          <t>dep</t>
        </is>
      </c>
      <c r="B56" s="17">
        <f>'Historical'!$K$15</f>
        <v/>
      </c>
      <c r="C56" s="17">
        <f>'Scenario'!$C$53*IF(ISNUMBER('Assumptions'!$C$22),CHOOSE(Method,'Assumptions'!$C$22,'Assumptions'!$C$38,'Assumptions'!$C$22+('Assumptions'!$C$38-'Assumptions'!$C$22)*0.1000),'Assumptions'!$C$38)</f>
        <v/>
      </c>
      <c r="D56" s="17">
        <f>'Scenario'!$D$53*IF(ISNUMBER('Assumptions'!$C$22),CHOOSE(Method,'Assumptions'!$C$22,'Assumptions'!$C$38,'Assumptions'!$C$22+('Assumptions'!$C$38-'Assumptions'!$C$22)*0.2000),'Assumptions'!$C$38)</f>
        <v/>
      </c>
      <c r="E56" s="17">
        <f>'Scenario'!$E$53*IF(ISNUMBER('Assumptions'!$C$22),CHOOSE(Method,'Assumptions'!$C$22,'Assumptions'!$C$38,'Assumptions'!$C$22+('Assumptions'!$C$38-'Assumptions'!$C$22)*0.3000),'Assumptions'!$C$38)</f>
        <v/>
      </c>
      <c r="F56" s="17">
        <f>'Scenario'!$F$53*IF(ISNUMBER('Assumptions'!$C$22),CHOOSE(Method,'Assumptions'!$C$22,'Assumptions'!$C$38,'Assumptions'!$C$22+('Assumptions'!$C$38-'Assumptions'!$C$22)*0.4000),'Assumptions'!$C$38)</f>
        <v/>
      </c>
      <c r="G56" s="17">
        <f>'Scenario'!$G$53*IF(ISNUMBER('Assumptions'!$C$22),CHOOSE(Method,'Assumptions'!$C$22,'Assumptions'!$C$38,'Assumptions'!$C$22+('Assumptions'!$C$38-'Assumptions'!$C$22)*0.5000),'Assumptions'!$C$38)</f>
        <v/>
      </c>
      <c r="H56" s="17">
        <f>'Scenario'!$H$53*IF(ISNUMBER('Assumptions'!$C$22),CHOOSE(Method,'Assumptions'!$C$22,'Assumptions'!$C$38,'Assumptions'!$C$22+('Assumptions'!$C$38-'Assumptions'!$C$22)*0.6000),'Assumptions'!$C$38)</f>
        <v/>
      </c>
      <c r="I56" s="17">
        <f>'Scenario'!$I$53*IF(ISNUMBER('Assumptions'!$C$22),CHOOSE(Method,'Assumptions'!$C$22,'Assumptions'!$C$38,'Assumptions'!$C$22+('Assumptions'!$C$38-'Assumptions'!$C$22)*0.7000),'Assumptions'!$C$38)</f>
        <v/>
      </c>
      <c r="J56" s="17">
        <f>'Scenario'!$J$53*IF(ISNUMBER('Assumptions'!$C$22),CHOOSE(Method,'Assumptions'!$C$22,'Assumptions'!$C$38,'Assumptions'!$C$22+('Assumptions'!$C$38-'Assumptions'!$C$22)*0.8000),'Assumptions'!$C$38)</f>
        <v/>
      </c>
      <c r="K56" s="17">
        <f>'Scenario'!$K$53*IF(ISNUMBER('Assumptions'!$C$22),CHOOSE(Method,'Assumptions'!$C$22,'Assumptions'!$C$38,'Assumptions'!$C$22+('Assumptions'!$C$38-'Assumptions'!$C$22)*0.9000),'Assumptions'!$C$38)</f>
        <v/>
      </c>
      <c r="L56" s="17">
        <f>'Scenario'!$L$53*IF(ISNUMBER('Assumptions'!$C$22),CHOOSE(Method,'Assumptions'!$C$22,'Assumptions'!$C$38,'Assumptions'!$C$22+('Assumptions'!$C$38-'Assumptions'!$C$22)*1.0000),'Assumptions'!$C$38)</f>
        <v/>
      </c>
    </row>
    <row r="57">
      <c r="A57" s="22" t="inlineStr">
        <is>
          <t>ebit</t>
        </is>
      </c>
      <c r="B57" s="17">
        <f>'Historical'!$K$16</f>
        <v/>
      </c>
      <c r="C57" s="17">
        <f>'Scenario'!$C$55-'Scenario'!$C$56</f>
        <v/>
      </c>
      <c r="D57" s="17">
        <f>'Scenario'!$D$55-'Scenario'!$D$56</f>
        <v/>
      </c>
      <c r="E57" s="17">
        <f>'Scenario'!$E$55-'Scenario'!$E$56</f>
        <v/>
      </c>
      <c r="F57" s="17">
        <f>'Scenario'!$F$55-'Scenario'!$F$56</f>
        <v/>
      </c>
      <c r="G57" s="17">
        <f>'Scenario'!$G$55-'Scenario'!$G$56</f>
        <v/>
      </c>
      <c r="H57" s="17">
        <f>'Scenario'!$H$55-'Scenario'!$H$56</f>
        <v/>
      </c>
      <c r="I57" s="17">
        <f>'Scenario'!$I$55-'Scenario'!$I$56</f>
        <v/>
      </c>
      <c r="J57" s="17">
        <f>'Scenario'!$J$55-'Scenario'!$J$56</f>
        <v/>
      </c>
      <c r="K57" s="17">
        <f>'Scenario'!$K$55-'Scenario'!$K$56</f>
        <v/>
      </c>
      <c r="L57" s="17">
        <f>'Scenario'!$L$55-'Scenario'!$L$56</f>
        <v/>
      </c>
    </row>
    <row r="58">
      <c r="A58" s="22" t="inlineStr">
        <is>
          <t>ltd</t>
        </is>
      </c>
      <c r="B58" s="17">
        <f>'Historical'!$K$33</f>
        <v/>
      </c>
      <c r="C58" s="17">
        <f>'Scenario'!$B$58+'Assumptions'!$C$45-'Assumptions'!$C$44*'Scenario'!$B$58</f>
        <v/>
      </c>
      <c r="D58" s="17">
        <f>'Scenario'!$C$58+'Assumptions'!$C$45-'Assumptions'!$C$44*'Scenario'!$C$58</f>
        <v/>
      </c>
      <c r="E58" s="17">
        <f>'Scenario'!$D$58+'Assumptions'!$C$45-'Assumptions'!$C$44*'Scenario'!$D$58</f>
        <v/>
      </c>
      <c r="F58" s="17">
        <f>'Scenario'!$E$58+'Assumptions'!$C$45-'Assumptions'!$C$44*'Scenario'!$E$58</f>
        <v/>
      </c>
      <c r="G58" s="17">
        <f>'Scenario'!$F$58+'Assumptions'!$C$45-'Assumptions'!$C$44*'Scenario'!$F$58</f>
        <v/>
      </c>
      <c r="H58" s="17">
        <f>'Scenario'!$G$58+'Assumptions'!$C$45-'Assumptions'!$C$44*'Scenario'!$G$58</f>
        <v/>
      </c>
      <c r="I58" s="17">
        <f>'Scenario'!$H$58+'Assumptions'!$C$45-'Assumptions'!$C$44*'Scenario'!$H$58</f>
        <v/>
      </c>
      <c r="J58" s="17">
        <f>'Scenario'!$I$58+'Assumptions'!$C$45-'Assumptions'!$C$44*'Scenario'!$I$58</f>
        <v/>
      </c>
      <c r="K58" s="17">
        <f>'Scenario'!$J$58+'Assumptions'!$C$45-'Assumptions'!$C$44*'Scenario'!$J$58</f>
        <v/>
      </c>
      <c r="L58" s="17">
        <f>'Scenario'!$K$58+'Assumptions'!$C$45-'Assumptions'!$C$44*'Scenario'!$K$58</f>
        <v/>
      </c>
    </row>
    <row r="59">
      <c r="A59" s="22" t="inlineStr">
        <is>
          <t>total_debt</t>
        </is>
      </c>
      <c r="B59" s="17">
        <f>'Historical'!$K$44</f>
        <v/>
      </c>
      <c r="C59" s="17">
        <f>'Historical'!$K$32+'Scenario'!$C$58</f>
        <v/>
      </c>
      <c r="D59" s="17">
        <f>'Historical'!$K$32+'Scenario'!$D$58</f>
        <v/>
      </c>
      <c r="E59" s="17">
        <f>'Historical'!$K$32+'Scenario'!$E$58</f>
        <v/>
      </c>
      <c r="F59" s="17">
        <f>'Historical'!$K$32+'Scenario'!$F$58</f>
        <v/>
      </c>
      <c r="G59" s="17">
        <f>'Historical'!$K$32+'Scenario'!$G$58</f>
        <v/>
      </c>
      <c r="H59" s="17">
        <f>'Historical'!$K$32+'Scenario'!$H$58</f>
        <v/>
      </c>
      <c r="I59" s="17">
        <f>'Historical'!$K$32+'Scenario'!$I$58</f>
        <v/>
      </c>
      <c r="J59" s="17">
        <f>'Historical'!$K$32+'Scenario'!$J$58</f>
        <v/>
      </c>
      <c r="K59" s="17">
        <f>'Historical'!$K$32+'Scenario'!$K$58</f>
        <v/>
      </c>
      <c r="L59" s="17">
        <f>'Historical'!$K$32+'Scenario'!$L$58</f>
        <v/>
      </c>
    </row>
    <row r="60">
      <c r="A60" s="22" t="inlineStr">
        <is>
          <t>int_exp</t>
        </is>
      </c>
      <c r="B60" s="17">
        <f>'Historical'!$K$17</f>
        <v/>
      </c>
      <c r="C60" s="17">
        <f>IF(ISNUMBER('Assumptions'!$C$26),CHOOSE(Method,'Assumptions'!$C$26,'Assumptions'!$C$42,'Assumptions'!$C$26+('Assumptions'!$C$42-'Assumptions'!$C$26)*0.1000),'Assumptions'!$C$42)*'Scenario'!$B$59</f>
        <v/>
      </c>
      <c r="D60" s="17">
        <f>IF(ISNUMBER('Assumptions'!$C$26),CHOOSE(Method,'Assumptions'!$C$26,'Assumptions'!$C$42,'Assumptions'!$C$26+('Assumptions'!$C$42-'Assumptions'!$C$26)*0.2000),'Assumptions'!$C$42)*'Scenario'!$C$59</f>
        <v/>
      </c>
      <c r="E60" s="17">
        <f>IF(ISNUMBER('Assumptions'!$C$26),CHOOSE(Method,'Assumptions'!$C$26,'Assumptions'!$C$42,'Assumptions'!$C$26+('Assumptions'!$C$42-'Assumptions'!$C$26)*0.3000),'Assumptions'!$C$42)*'Scenario'!$D$59</f>
        <v/>
      </c>
      <c r="F60" s="17">
        <f>IF(ISNUMBER('Assumptions'!$C$26),CHOOSE(Method,'Assumptions'!$C$26,'Assumptions'!$C$42,'Assumptions'!$C$26+('Assumptions'!$C$42-'Assumptions'!$C$26)*0.4000),'Assumptions'!$C$42)*'Scenario'!$E$59</f>
        <v/>
      </c>
      <c r="G60" s="17">
        <f>IF(ISNUMBER('Assumptions'!$C$26),CHOOSE(Method,'Assumptions'!$C$26,'Assumptions'!$C$42,'Assumptions'!$C$26+('Assumptions'!$C$42-'Assumptions'!$C$26)*0.5000),'Assumptions'!$C$42)*'Scenario'!$F$59</f>
        <v/>
      </c>
      <c r="H60" s="17">
        <f>IF(ISNUMBER('Assumptions'!$C$26),CHOOSE(Method,'Assumptions'!$C$26,'Assumptions'!$C$42,'Assumptions'!$C$26+('Assumptions'!$C$42-'Assumptions'!$C$26)*0.6000),'Assumptions'!$C$42)*'Scenario'!$G$59</f>
        <v/>
      </c>
      <c r="I60" s="17">
        <f>IF(ISNUMBER('Assumptions'!$C$26),CHOOSE(Method,'Assumptions'!$C$26,'Assumptions'!$C$42,'Assumptions'!$C$26+('Assumptions'!$C$42-'Assumptions'!$C$26)*0.7000),'Assumptions'!$C$42)*'Scenario'!$H$59</f>
        <v/>
      </c>
      <c r="J60" s="17">
        <f>IF(ISNUMBER('Assumptions'!$C$26),CHOOSE(Method,'Assumptions'!$C$26,'Assumptions'!$C$42,'Assumptions'!$C$26+('Assumptions'!$C$42-'Assumptions'!$C$26)*0.8000),'Assumptions'!$C$42)*'Scenario'!$I$59</f>
        <v/>
      </c>
      <c r="K60" s="17">
        <f>IF(ISNUMBER('Assumptions'!$C$26),CHOOSE(Method,'Assumptions'!$C$26,'Assumptions'!$C$42,'Assumptions'!$C$26+('Assumptions'!$C$42-'Assumptions'!$C$26)*0.9000),'Assumptions'!$C$42)*'Scenario'!$J$59</f>
        <v/>
      </c>
      <c r="L60" s="17">
        <f>IF(ISNUMBER('Assumptions'!$C$26),CHOOSE(Method,'Assumptions'!$C$26,'Assumptions'!$C$42,'Assumptions'!$C$26+('Assumptions'!$C$42-'Assumptions'!$C$26)*1.0000),'Assumptions'!$C$42)*'Scenario'!$K$59</f>
        <v/>
      </c>
    </row>
    <row r="61">
      <c r="A61" s="22" t="inlineStr">
        <is>
          <t>int_inc</t>
        </is>
      </c>
      <c r="B61" s="17" t="n">
        <v>0</v>
      </c>
      <c r="C61" s="17">
        <f>'Assumptions'!$C$46*'Scenario'!$B$76</f>
        <v/>
      </c>
      <c r="D61" s="17">
        <f>'Assumptions'!$C$46*'Scenario'!$C$76</f>
        <v/>
      </c>
      <c r="E61" s="17">
        <f>'Assumptions'!$C$46*'Scenario'!$D$76</f>
        <v/>
      </c>
      <c r="F61" s="17">
        <f>'Assumptions'!$C$46*'Scenario'!$E$76</f>
        <v/>
      </c>
      <c r="G61" s="17">
        <f>'Assumptions'!$C$46*'Scenario'!$F$76</f>
        <v/>
      </c>
      <c r="H61" s="17">
        <f>'Assumptions'!$C$46*'Scenario'!$G$76</f>
        <v/>
      </c>
      <c r="I61" s="17">
        <f>'Assumptions'!$C$46*'Scenario'!$H$76</f>
        <v/>
      </c>
      <c r="J61" s="17">
        <f>'Assumptions'!$C$46*'Scenario'!$I$76</f>
        <v/>
      </c>
      <c r="K61" s="17">
        <f>'Assumptions'!$C$46*'Scenario'!$J$76</f>
        <v/>
      </c>
      <c r="L61" s="17">
        <f>'Assumptions'!$C$46*'Scenario'!$K$76</f>
        <v/>
      </c>
    </row>
    <row r="62">
      <c r="A62" s="22" t="inlineStr">
        <is>
          <t>pretax</t>
        </is>
      </c>
      <c r="B62" s="17">
        <f>'Historical'!$K$18</f>
        <v/>
      </c>
      <c r="C62" s="17">
        <f>'Scenario'!$C$57-'Scenario'!$C$60+'Scenario'!$C$61</f>
        <v/>
      </c>
      <c r="D62" s="17">
        <f>'Scenario'!$D$57-'Scenario'!$D$60+'Scenario'!$D$61</f>
        <v/>
      </c>
      <c r="E62" s="17">
        <f>'Scenario'!$E$57-'Scenario'!$E$60+'Scenario'!$E$61</f>
        <v/>
      </c>
      <c r="F62" s="17">
        <f>'Scenario'!$F$57-'Scenario'!$F$60+'Scenario'!$F$61</f>
        <v/>
      </c>
      <c r="G62" s="17">
        <f>'Scenario'!$G$57-'Scenario'!$G$60+'Scenario'!$G$61</f>
        <v/>
      </c>
      <c r="H62" s="17">
        <f>'Scenario'!$H$57-'Scenario'!$H$60+'Scenario'!$H$61</f>
        <v/>
      </c>
      <c r="I62" s="17">
        <f>'Scenario'!$I$57-'Scenario'!$I$60+'Scenario'!$I$61</f>
        <v/>
      </c>
      <c r="J62" s="17">
        <f>'Scenario'!$J$57-'Scenario'!$J$60+'Scenario'!$J$61</f>
        <v/>
      </c>
      <c r="K62" s="17">
        <f>'Scenario'!$K$57-'Scenario'!$K$60+'Scenario'!$K$61</f>
        <v/>
      </c>
      <c r="L62" s="17">
        <f>'Scenario'!$L$57-'Scenario'!$L$60+'Scenario'!$L$61</f>
        <v/>
      </c>
    </row>
    <row r="63">
      <c r="A63" s="22" t="inlineStr">
        <is>
          <t>tax</t>
        </is>
      </c>
      <c r="B63" s="17">
        <f>'Historical'!$K$19</f>
        <v/>
      </c>
      <c r="C63" s="17">
        <f>IF(ISNUMBER('Assumptions'!$C$17),CHOOSE(Method,'Assumptions'!$C$17,'Assumptions'!$C$33,'Assumptions'!$C$17+('Assumptions'!$C$33-'Assumptions'!$C$17)*0.1000),'Assumptions'!$C$33)*'Scenario'!$C$62</f>
        <v/>
      </c>
      <c r="D63" s="17">
        <f>IF(ISNUMBER('Assumptions'!$C$17),CHOOSE(Method,'Assumptions'!$C$17,'Assumptions'!$C$33,'Assumptions'!$C$17+('Assumptions'!$C$33-'Assumptions'!$C$17)*0.2000),'Assumptions'!$C$33)*'Scenario'!$D$62</f>
        <v/>
      </c>
      <c r="E63" s="17">
        <f>IF(ISNUMBER('Assumptions'!$C$17),CHOOSE(Method,'Assumptions'!$C$17,'Assumptions'!$C$33,'Assumptions'!$C$17+('Assumptions'!$C$33-'Assumptions'!$C$17)*0.3000),'Assumptions'!$C$33)*'Scenario'!$E$62</f>
        <v/>
      </c>
      <c r="F63" s="17">
        <f>IF(ISNUMBER('Assumptions'!$C$17),CHOOSE(Method,'Assumptions'!$C$17,'Assumptions'!$C$33,'Assumptions'!$C$17+('Assumptions'!$C$33-'Assumptions'!$C$17)*0.4000),'Assumptions'!$C$33)*'Scenario'!$F$62</f>
        <v/>
      </c>
      <c r="G63" s="17">
        <f>IF(ISNUMBER('Assumptions'!$C$17),CHOOSE(Method,'Assumptions'!$C$17,'Assumptions'!$C$33,'Assumptions'!$C$17+('Assumptions'!$C$33-'Assumptions'!$C$17)*0.5000),'Assumptions'!$C$33)*'Scenario'!$G$62</f>
        <v/>
      </c>
      <c r="H63" s="17">
        <f>IF(ISNUMBER('Assumptions'!$C$17),CHOOSE(Method,'Assumptions'!$C$17,'Assumptions'!$C$33,'Assumptions'!$C$17+('Assumptions'!$C$33-'Assumptions'!$C$17)*0.6000),'Assumptions'!$C$33)*'Scenario'!$H$62</f>
        <v/>
      </c>
      <c r="I63" s="17">
        <f>IF(ISNUMBER('Assumptions'!$C$17),CHOOSE(Method,'Assumptions'!$C$17,'Assumptions'!$C$33,'Assumptions'!$C$17+('Assumptions'!$C$33-'Assumptions'!$C$17)*0.7000),'Assumptions'!$C$33)*'Scenario'!$I$62</f>
        <v/>
      </c>
      <c r="J63" s="17">
        <f>IF(ISNUMBER('Assumptions'!$C$17),CHOOSE(Method,'Assumptions'!$C$17,'Assumptions'!$C$33,'Assumptions'!$C$17+('Assumptions'!$C$33-'Assumptions'!$C$17)*0.8000),'Assumptions'!$C$33)*'Scenario'!$J$62</f>
        <v/>
      </c>
      <c r="K63" s="17">
        <f>IF(ISNUMBER('Assumptions'!$C$17),CHOOSE(Method,'Assumptions'!$C$17,'Assumptions'!$C$33,'Assumptions'!$C$17+('Assumptions'!$C$33-'Assumptions'!$C$17)*0.9000),'Assumptions'!$C$33)*'Scenario'!$K$62</f>
        <v/>
      </c>
      <c r="L63" s="17">
        <f>IF(ISNUMBER('Assumptions'!$C$17),CHOOSE(Method,'Assumptions'!$C$17,'Assumptions'!$C$33,'Assumptions'!$C$17+('Assumptions'!$C$33-'Assumptions'!$C$17)*1.0000),'Assumptions'!$C$33)*'Scenario'!$L$62</f>
        <v/>
      </c>
    </row>
    <row r="64">
      <c r="A64" s="22" t="inlineStr">
        <is>
          <t>ni</t>
        </is>
      </c>
      <c r="B64" s="17">
        <f>'Historical'!$K$20</f>
        <v/>
      </c>
      <c r="C64" s="17">
        <f>'Scenario'!$C$62-'Scenario'!$C$63</f>
        <v/>
      </c>
      <c r="D64" s="17">
        <f>'Scenario'!$D$62-'Scenario'!$D$63</f>
        <v/>
      </c>
      <c r="E64" s="17">
        <f>'Scenario'!$E$62-'Scenario'!$E$63</f>
        <v/>
      </c>
      <c r="F64" s="17">
        <f>'Scenario'!$F$62-'Scenario'!$F$63</f>
        <v/>
      </c>
      <c r="G64" s="17">
        <f>'Scenario'!$G$62-'Scenario'!$G$63</f>
        <v/>
      </c>
      <c r="H64" s="17">
        <f>'Scenario'!$H$62-'Scenario'!$H$63</f>
        <v/>
      </c>
      <c r="I64" s="17">
        <f>'Scenario'!$I$62-'Scenario'!$I$63</f>
        <v/>
      </c>
      <c r="J64" s="17">
        <f>'Scenario'!$J$62-'Scenario'!$J$63</f>
        <v/>
      </c>
      <c r="K64" s="17">
        <f>'Scenario'!$K$62-'Scenario'!$K$63</f>
        <v/>
      </c>
      <c r="L64" s="17">
        <f>'Scenario'!$L$62-'Scenario'!$L$63</f>
        <v/>
      </c>
    </row>
    <row r="65">
      <c r="A65" s="22" t="inlineStr">
        <is>
          <t>recv</t>
        </is>
      </c>
      <c r="B65" s="17">
        <f>'Historical'!$K$23</f>
        <v/>
      </c>
      <c r="C65" s="17">
        <f>IF(ISNUMBER('Assumptions'!$C$18),CHOOSE(Method,'Assumptions'!$C$18,'Assumptions'!$C$34,'Assumptions'!$C$18+('Assumptions'!$C$34-'Assumptions'!$C$18)*0.1000),'Assumptions'!$C$34)/365*'Scenario'!$C$53</f>
        <v/>
      </c>
      <c r="D65" s="17">
        <f>IF(ISNUMBER('Assumptions'!$C$18),CHOOSE(Method,'Assumptions'!$C$18,'Assumptions'!$C$34,'Assumptions'!$C$18+('Assumptions'!$C$34-'Assumptions'!$C$18)*0.2000),'Assumptions'!$C$34)/365*'Scenario'!$D$53</f>
        <v/>
      </c>
      <c r="E65" s="17">
        <f>IF(ISNUMBER('Assumptions'!$C$18),CHOOSE(Method,'Assumptions'!$C$18,'Assumptions'!$C$34,'Assumptions'!$C$18+('Assumptions'!$C$34-'Assumptions'!$C$18)*0.3000),'Assumptions'!$C$34)/365*'Scenario'!$E$53</f>
        <v/>
      </c>
      <c r="F65" s="17">
        <f>IF(ISNUMBER('Assumptions'!$C$18),CHOOSE(Method,'Assumptions'!$C$18,'Assumptions'!$C$34,'Assumptions'!$C$18+('Assumptions'!$C$34-'Assumptions'!$C$18)*0.4000),'Assumptions'!$C$34)/365*'Scenario'!$F$53</f>
        <v/>
      </c>
      <c r="G65" s="17">
        <f>IF(ISNUMBER('Assumptions'!$C$18),CHOOSE(Method,'Assumptions'!$C$18,'Assumptions'!$C$34,'Assumptions'!$C$18+('Assumptions'!$C$34-'Assumptions'!$C$18)*0.5000),'Assumptions'!$C$34)/365*'Scenario'!$G$53</f>
        <v/>
      </c>
      <c r="H65" s="17">
        <f>IF(ISNUMBER('Assumptions'!$C$18),CHOOSE(Method,'Assumptions'!$C$18,'Assumptions'!$C$34,'Assumptions'!$C$18+('Assumptions'!$C$34-'Assumptions'!$C$18)*0.6000),'Assumptions'!$C$34)/365*'Scenario'!$H$53</f>
        <v/>
      </c>
      <c r="I65" s="17">
        <f>IF(ISNUMBER('Assumptions'!$C$18),CHOOSE(Method,'Assumptions'!$C$18,'Assumptions'!$C$34,'Assumptions'!$C$18+('Assumptions'!$C$34-'Assumptions'!$C$18)*0.7000),'Assumptions'!$C$34)/365*'Scenario'!$I$53</f>
        <v/>
      </c>
      <c r="J65" s="17">
        <f>IF(ISNUMBER('Assumptions'!$C$18),CHOOSE(Method,'Assumptions'!$C$18,'Assumptions'!$C$34,'Assumptions'!$C$18+('Assumptions'!$C$34-'Assumptions'!$C$18)*0.8000),'Assumptions'!$C$34)/365*'Scenario'!$J$53</f>
        <v/>
      </c>
      <c r="K65" s="17">
        <f>IF(ISNUMBER('Assumptions'!$C$18),CHOOSE(Method,'Assumptions'!$C$18,'Assumptions'!$C$34,'Assumptions'!$C$18+('Assumptions'!$C$34-'Assumptions'!$C$18)*0.9000),'Assumptions'!$C$34)/365*'Scenario'!$K$53</f>
        <v/>
      </c>
      <c r="L65" s="17">
        <f>IF(ISNUMBER('Assumptions'!$C$18),CHOOSE(Method,'Assumptions'!$C$18,'Assumptions'!$C$34,'Assumptions'!$C$18+('Assumptions'!$C$34-'Assumptions'!$C$18)*1.0000),'Assumptions'!$C$34)/365*'Scenario'!$L$53</f>
        <v/>
      </c>
    </row>
    <row r="66">
      <c r="A66" s="22" t="inlineStr">
        <is>
          <t>inv</t>
        </is>
      </c>
      <c r="B66" s="17">
        <f>'Historical'!$K$24</f>
        <v/>
      </c>
      <c r="C66" s="17">
        <f>IF(ISNUMBER('Assumptions'!$C$19),CHOOSE(Method,'Assumptions'!$C$19,'Assumptions'!$C$35,'Assumptions'!$C$19+('Assumptions'!$C$35-'Assumptions'!$C$19)*0.1000),'Assumptions'!$C$35)/365*'Scenario'!$C$54</f>
        <v/>
      </c>
      <c r="D66" s="17">
        <f>IF(ISNUMBER('Assumptions'!$C$19),CHOOSE(Method,'Assumptions'!$C$19,'Assumptions'!$C$35,'Assumptions'!$C$19+('Assumptions'!$C$35-'Assumptions'!$C$19)*0.2000),'Assumptions'!$C$35)/365*'Scenario'!$D$54</f>
        <v/>
      </c>
      <c r="E66" s="17">
        <f>IF(ISNUMBER('Assumptions'!$C$19),CHOOSE(Method,'Assumptions'!$C$19,'Assumptions'!$C$35,'Assumptions'!$C$19+('Assumptions'!$C$35-'Assumptions'!$C$19)*0.3000),'Assumptions'!$C$35)/365*'Scenario'!$E$54</f>
        <v/>
      </c>
      <c r="F66" s="17">
        <f>IF(ISNUMBER('Assumptions'!$C$19),CHOOSE(Method,'Assumptions'!$C$19,'Assumptions'!$C$35,'Assumptions'!$C$19+('Assumptions'!$C$35-'Assumptions'!$C$19)*0.4000),'Assumptions'!$C$35)/365*'Scenario'!$F$54</f>
        <v/>
      </c>
      <c r="G66" s="17">
        <f>IF(ISNUMBER('Assumptions'!$C$19),CHOOSE(Method,'Assumptions'!$C$19,'Assumptions'!$C$35,'Assumptions'!$C$19+('Assumptions'!$C$35-'Assumptions'!$C$19)*0.5000),'Assumptions'!$C$35)/365*'Scenario'!$G$54</f>
        <v/>
      </c>
      <c r="H66" s="17">
        <f>IF(ISNUMBER('Assumptions'!$C$19),CHOOSE(Method,'Assumptions'!$C$19,'Assumptions'!$C$35,'Assumptions'!$C$19+('Assumptions'!$C$35-'Assumptions'!$C$19)*0.6000),'Assumptions'!$C$35)/365*'Scenario'!$H$54</f>
        <v/>
      </c>
      <c r="I66" s="17">
        <f>IF(ISNUMBER('Assumptions'!$C$19),CHOOSE(Method,'Assumptions'!$C$19,'Assumptions'!$C$35,'Assumptions'!$C$19+('Assumptions'!$C$35-'Assumptions'!$C$19)*0.7000),'Assumptions'!$C$35)/365*'Scenario'!$I$54</f>
        <v/>
      </c>
      <c r="J66" s="17">
        <f>IF(ISNUMBER('Assumptions'!$C$19),CHOOSE(Method,'Assumptions'!$C$19,'Assumptions'!$C$35,'Assumptions'!$C$19+('Assumptions'!$C$35-'Assumptions'!$C$19)*0.8000),'Assumptions'!$C$35)/365*'Scenario'!$J$54</f>
        <v/>
      </c>
      <c r="K66" s="17">
        <f>IF(ISNUMBER('Assumptions'!$C$19),CHOOSE(Method,'Assumptions'!$C$19,'Assumptions'!$C$35,'Assumptions'!$C$19+('Assumptions'!$C$35-'Assumptions'!$C$19)*0.9000),'Assumptions'!$C$35)/365*'Scenario'!$K$54</f>
        <v/>
      </c>
      <c r="L66" s="17">
        <f>IF(ISNUMBER('Assumptions'!$C$19),CHOOSE(Method,'Assumptions'!$C$19,'Assumptions'!$C$35,'Assumptions'!$C$19+('Assumptions'!$C$35-'Assumptions'!$C$19)*1.0000),'Assumptions'!$C$35)/365*'Scenario'!$L$54</f>
        <v/>
      </c>
    </row>
    <row r="67">
      <c r="A67" s="22" t="inlineStr">
        <is>
          <t>oca</t>
        </is>
      </c>
      <c r="B67" s="17">
        <f>'Historical'!$K$25</f>
        <v/>
      </c>
      <c r="C67" s="17">
        <f>IFERROR('Scenario'!$C$53*'Historical'!$K$25/'Historical'!$K$10,0)</f>
        <v/>
      </c>
      <c r="D67" s="17">
        <f>IFERROR('Scenario'!$D$53*'Historical'!$K$25/'Historical'!$K$10,0)</f>
        <v/>
      </c>
      <c r="E67" s="17">
        <f>IFERROR('Scenario'!$E$53*'Historical'!$K$25/'Historical'!$K$10,0)</f>
        <v/>
      </c>
      <c r="F67" s="17">
        <f>IFERROR('Scenario'!$F$53*'Historical'!$K$25/'Historical'!$K$10,0)</f>
        <v/>
      </c>
      <c r="G67" s="17">
        <f>IFERROR('Scenario'!$G$53*'Historical'!$K$25/'Historical'!$K$10,0)</f>
        <v/>
      </c>
      <c r="H67" s="17">
        <f>IFERROR('Scenario'!$H$53*'Historical'!$K$25/'Historical'!$K$10,0)</f>
        <v/>
      </c>
      <c r="I67" s="17">
        <f>IFERROR('Scenario'!$I$53*'Historical'!$K$25/'Historical'!$K$10,0)</f>
        <v/>
      </c>
      <c r="J67" s="17">
        <f>IFERROR('Scenario'!$J$53*'Historical'!$K$25/'Historical'!$K$10,0)</f>
        <v/>
      </c>
      <c r="K67" s="17">
        <f>IFERROR('Scenario'!$K$53*'Historical'!$K$25/'Historical'!$K$10,0)</f>
        <v/>
      </c>
      <c r="L67" s="17">
        <f>IFERROR('Scenario'!$L$53*'Historical'!$K$25/'Historical'!$K$10,0)</f>
        <v/>
      </c>
    </row>
    <row r="68">
      <c r="A68" s="22" t="inlineStr">
        <is>
          <t>pay</t>
        </is>
      </c>
      <c r="B68" s="17">
        <f>'Historical'!$K$31</f>
        <v/>
      </c>
      <c r="C68" s="17">
        <f>IF(ISNUMBER('Assumptions'!$C$20),CHOOSE(Method,'Assumptions'!$C$20,'Assumptions'!$C$36,'Assumptions'!$C$20+('Assumptions'!$C$36-'Assumptions'!$C$20)*0.1000),'Assumptions'!$C$36)/365*'Scenario'!$C$54</f>
        <v/>
      </c>
      <c r="D68" s="17">
        <f>IF(ISNUMBER('Assumptions'!$C$20),CHOOSE(Method,'Assumptions'!$C$20,'Assumptions'!$C$36,'Assumptions'!$C$20+('Assumptions'!$C$36-'Assumptions'!$C$20)*0.2000),'Assumptions'!$C$36)/365*'Scenario'!$D$54</f>
        <v/>
      </c>
      <c r="E68" s="17">
        <f>IF(ISNUMBER('Assumptions'!$C$20),CHOOSE(Method,'Assumptions'!$C$20,'Assumptions'!$C$36,'Assumptions'!$C$20+('Assumptions'!$C$36-'Assumptions'!$C$20)*0.3000),'Assumptions'!$C$36)/365*'Scenario'!$E$54</f>
        <v/>
      </c>
      <c r="F68" s="17">
        <f>IF(ISNUMBER('Assumptions'!$C$20),CHOOSE(Method,'Assumptions'!$C$20,'Assumptions'!$C$36,'Assumptions'!$C$20+('Assumptions'!$C$36-'Assumptions'!$C$20)*0.4000),'Assumptions'!$C$36)/365*'Scenario'!$F$54</f>
        <v/>
      </c>
      <c r="G68" s="17">
        <f>IF(ISNUMBER('Assumptions'!$C$20),CHOOSE(Method,'Assumptions'!$C$20,'Assumptions'!$C$36,'Assumptions'!$C$20+('Assumptions'!$C$36-'Assumptions'!$C$20)*0.5000),'Assumptions'!$C$36)/365*'Scenario'!$G$54</f>
        <v/>
      </c>
      <c r="H68" s="17">
        <f>IF(ISNUMBER('Assumptions'!$C$20),CHOOSE(Method,'Assumptions'!$C$20,'Assumptions'!$C$36,'Assumptions'!$C$20+('Assumptions'!$C$36-'Assumptions'!$C$20)*0.6000),'Assumptions'!$C$36)/365*'Scenario'!$H$54</f>
        <v/>
      </c>
      <c r="I68" s="17">
        <f>IF(ISNUMBER('Assumptions'!$C$20),CHOOSE(Method,'Assumptions'!$C$20,'Assumptions'!$C$36,'Assumptions'!$C$20+('Assumptions'!$C$36-'Assumptions'!$C$20)*0.7000),'Assumptions'!$C$36)/365*'Scenario'!$I$54</f>
        <v/>
      </c>
      <c r="J68" s="17">
        <f>IF(ISNUMBER('Assumptions'!$C$20),CHOOSE(Method,'Assumptions'!$C$20,'Assumptions'!$C$36,'Assumptions'!$C$20+('Assumptions'!$C$36-'Assumptions'!$C$20)*0.8000),'Assumptions'!$C$36)/365*'Scenario'!$J$54</f>
        <v/>
      </c>
      <c r="K68" s="17">
        <f>IF(ISNUMBER('Assumptions'!$C$20),CHOOSE(Method,'Assumptions'!$C$20,'Assumptions'!$C$36,'Assumptions'!$C$20+('Assumptions'!$C$36-'Assumptions'!$C$20)*0.9000),'Assumptions'!$C$36)/365*'Scenario'!$K$54</f>
        <v/>
      </c>
      <c r="L68" s="17">
        <f>IF(ISNUMBER('Assumptions'!$C$20),CHOOSE(Method,'Assumptions'!$C$20,'Assumptions'!$C$36,'Assumptions'!$C$20+('Assumptions'!$C$36-'Assumptions'!$C$20)*1.0000),'Assumptions'!$C$36)/365*'Scenario'!$L$54</f>
        <v/>
      </c>
    </row>
    <row r="69">
      <c r="A69" s="22" t="inlineStr">
        <is>
          <t>otherL</t>
        </is>
      </c>
      <c r="B69" s="17">
        <f>'Historical'!$K$34</f>
        <v/>
      </c>
      <c r="C69" s="17">
        <f>IF(ISNUMBER('Assumptions'!$C$25),CHOOSE(Method,'Assumptions'!$C$25,'Assumptions'!$C$41,'Assumptions'!$C$25+('Assumptions'!$C$41-'Assumptions'!$C$25)*0.1000),'Assumptions'!$C$41)*'Scenario'!$C$53</f>
        <v/>
      </c>
      <c r="D69" s="17">
        <f>IF(ISNUMBER('Assumptions'!$C$25),CHOOSE(Method,'Assumptions'!$C$25,'Assumptions'!$C$41,'Assumptions'!$C$25+('Assumptions'!$C$41-'Assumptions'!$C$25)*0.2000),'Assumptions'!$C$41)*'Scenario'!$D$53</f>
        <v/>
      </c>
      <c r="E69" s="17">
        <f>IF(ISNUMBER('Assumptions'!$C$25),CHOOSE(Method,'Assumptions'!$C$25,'Assumptions'!$C$41,'Assumptions'!$C$25+('Assumptions'!$C$41-'Assumptions'!$C$25)*0.3000),'Assumptions'!$C$41)*'Scenario'!$E$53</f>
        <v/>
      </c>
      <c r="F69" s="17">
        <f>IF(ISNUMBER('Assumptions'!$C$25),CHOOSE(Method,'Assumptions'!$C$25,'Assumptions'!$C$41,'Assumptions'!$C$25+('Assumptions'!$C$41-'Assumptions'!$C$25)*0.4000),'Assumptions'!$C$41)*'Scenario'!$F$53</f>
        <v/>
      </c>
      <c r="G69" s="17">
        <f>IF(ISNUMBER('Assumptions'!$C$25),CHOOSE(Method,'Assumptions'!$C$25,'Assumptions'!$C$41,'Assumptions'!$C$25+('Assumptions'!$C$41-'Assumptions'!$C$25)*0.5000),'Assumptions'!$C$41)*'Scenario'!$G$53</f>
        <v/>
      </c>
      <c r="H69" s="17">
        <f>IF(ISNUMBER('Assumptions'!$C$25),CHOOSE(Method,'Assumptions'!$C$25,'Assumptions'!$C$41,'Assumptions'!$C$25+('Assumptions'!$C$41-'Assumptions'!$C$25)*0.6000),'Assumptions'!$C$41)*'Scenario'!$H$53</f>
        <v/>
      </c>
      <c r="I69" s="17">
        <f>IF(ISNUMBER('Assumptions'!$C$25),CHOOSE(Method,'Assumptions'!$C$25,'Assumptions'!$C$41,'Assumptions'!$C$25+('Assumptions'!$C$41-'Assumptions'!$C$25)*0.7000),'Assumptions'!$C$41)*'Scenario'!$I$53</f>
        <v/>
      </c>
      <c r="J69" s="17">
        <f>IF(ISNUMBER('Assumptions'!$C$25),CHOOSE(Method,'Assumptions'!$C$25,'Assumptions'!$C$41,'Assumptions'!$C$25+('Assumptions'!$C$41-'Assumptions'!$C$25)*0.8000),'Assumptions'!$C$41)*'Scenario'!$J$53</f>
        <v/>
      </c>
      <c r="K69" s="17">
        <f>IF(ISNUMBER('Assumptions'!$C$25),CHOOSE(Method,'Assumptions'!$C$25,'Assumptions'!$C$41,'Assumptions'!$C$25+('Assumptions'!$C$41-'Assumptions'!$C$25)*0.9000),'Assumptions'!$C$41)*'Scenario'!$K$53</f>
        <v/>
      </c>
      <c r="L69" s="17">
        <f>IF(ISNUMBER('Assumptions'!$C$25),CHOOSE(Method,'Assumptions'!$C$25,'Assumptions'!$C$41,'Assumptions'!$C$25+('Assumptions'!$C$41-'Assumptions'!$C$25)*1.0000),'Assumptions'!$C$41)*'Scenario'!$L$53</f>
        <v/>
      </c>
    </row>
    <row r="70">
      <c r="A70" s="22" t="inlineStr">
        <is>
          <t>oa</t>
        </is>
      </c>
      <c r="B70" s="17">
        <f>'Historical'!$K$28</f>
        <v/>
      </c>
      <c r="C70" s="17">
        <f>IF(ISNUMBER('Assumptions'!$C$24),CHOOSE(Method,'Assumptions'!$C$24,'Assumptions'!$C$40,'Assumptions'!$C$24+('Assumptions'!$C$40-'Assumptions'!$C$24)*0.1000),'Assumptions'!$C$40)*'Scenario'!$C$53</f>
        <v/>
      </c>
      <c r="D70" s="17">
        <f>IF(ISNUMBER('Assumptions'!$C$24),CHOOSE(Method,'Assumptions'!$C$24,'Assumptions'!$C$40,'Assumptions'!$C$24+('Assumptions'!$C$40-'Assumptions'!$C$24)*0.2000),'Assumptions'!$C$40)*'Scenario'!$D$53</f>
        <v/>
      </c>
      <c r="E70" s="17">
        <f>IF(ISNUMBER('Assumptions'!$C$24),CHOOSE(Method,'Assumptions'!$C$24,'Assumptions'!$C$40,'Assumptions'!$C$24+('Assumptions'!$C$40-'Assumptions'!$C$24)*0.3000),'Assumptions'!$C$40)*'Scenario'!$E$53</f>
        <v/>
      </c>
      <c r="F70" s="17">
        <f>IF(ISNUMBER('Assumptions'!$C$24),CHOOSE(Method,'Assumptions'!$C$24,'Assumptions'!$C$40,'Assumptions'!$C$24+('Assumptions'!$C$40-'Assumptions'!$C$24)*0.4000),'Assumptions'!$C$40)*'Scenario'!$F$53</f>
        <v/>
      </c>
      <c r="G70" s="17">
        <f>IF(ISNUMBER('Assumptions'!$C$24),CHOOSE(Method,'Assumptions'!$C$24,'Assumptions'!$C$40,'Assumptions'!$C$24+('Assumptions'!$C$40-'Assumptions'!$C$24)*0.5000),'Assumptions'!$C$40)*'Scenario'!$G$53</f>
        <v/>
      </c>
      <c r="H70" s="17">
        <f>IF(ISNUMBER('Assumptions'!$C$24),CHOOSE(Method,'Assumptions'!$C$24,'Assumptions'!$C$40,'Assumptions'!$C$24+('Assumptions'!$C$40-'Assumptions'!$C$24)*0.6000),'Assumptions'!$C$40)*'Scenario'!$H$53</f>
        <v/>
      </c>
      <c r="I70" s="17">
        <f>IF(ISNUMBER('Assumptions'!$C$24),CHOOSE(Method,'Assumptions'!$C$24,'Assumptions'!$C$40,'Assumptions'!$C$24+('Assumptions'!$C$40-'Assumptions'!$C$24)*0.7000),'Assumptions'!$C$40)*'Scenario'!$I$53</f>
        <v/>
      </c>
      <c r="J70" s="17">
        <f>IF(ISNUMBER('Assumptions'!$C$24),CHOOSE(Method,'Assumptions'!$C$24,'Assumptions'!$C$40,'Assumptions'!$C$24+('Assumptions'!$C$40-'Assumptions'!$C$24)*0.8000),'Assumptions'!$C$40)*'Scenario'!$J$53</f>
        <v/>
      </c>
      <c r="K70" s="17">
        <f>IF(ISNUMBER('Assumptions'!$C$24),CHOOSE(Method,'Assumptions'!$C$24,'Assumptions'!$C$40,'Assumptions'!$C$24+('Assumptions'!$C$40-'Assumptions'!$C$24)*0.9000),'Assumptions'!$C$40)*'Scenario'!$K$53</f>
        <v/>
      </c>
      <c r="L70" s="17">
        <f>IF(ISNUMBER('Assumptions'!$C$24),CHOOSE(Method,'Assumptions'!$C$24,'Assumptions'!$C$40,'Assumptions'!$C$24+('Assumptions'!$C$40-'Assumptions'!$C$24)*1.0000),'Assumptions'!$C$40)*'Scenario'!$L$53</f>
        <v/>
      </c>
    </row>
    <row r="71">
      <c r="A71" s="22" t="inlineStr">
        <is>
          <t>dwc</t>
        </is>
      </c>
      <c r="B71" s="17" t="n">
        <v>0</v>
      </c>
      <c r="C71" s="17">
        <f>('Scenario'!$C$65-'Scenario'!$B$65)+('Scenario'!$C$66-'Scenario'!$B$66)+('Scenario'!$C$67-'Scenario'!$B$67)-('Scenario'!$C$68-'Scenario'!$B$68)-('Scenario'!$C$69-'Scenario'!$B$69)</f>
        <v/>
      </c>
      <c r="D71" s="17">
        <f>('Scenario'!$D$65-'Scenario'!$C$65)+('Scenario'!$D$66-'Scenario'!$C$66)+('Scenario'!$D$67-'Scenario'!$C$67)-('Scenario'!$D$68-'Scenario'!$C$68)-('Scenario'!$D$69-'Scenario'!$C$69)</f>
        <v/>
      </c>
      <c r="E71" s="17">
        <f>('Scenario'!$E$65-'Scenario'!$D$65)+('Scenario'!$E$66-'Scenario'!$D$66)+('Scenario'!$E$67-'Scenario'!$D$67)-('Scenario'!$E$68-'Scenario'!$D$68)-('Scenario'!$E$69-'Scenario'!$D$69)</f>
        <v/>
      </c>
      <c r="F71" s="17">
        <f>('Scenario'!$F$65-'Scenario'!$E$65)+('Scenario'!$F$66-'Scenario'!$E$66)+('Scenario'!$F$67-'Scenario'!$E$67)-('Scenario'!$F$68-'Scenario'!$E$68)-('Scenario'!$F$69-'Scenario'!$E$69)</f>
        <v/>
      </c>
      <c r="G71" s="17">
        <f>('Scenario'!$G$65-'Scenario'!$F$65)+('Scenario'!$G$66-'Scenario'!$F$66)+('Scenario'!$G$67-'Scenario'!$F$67)-('Scenario'!$G$68-'Scenario'!$F$68)-('Scenario'!$G$69-'Scenario'!$F$69)</f>
        <v/>
      </c>
      <c r="H71" s="17">
        <f>('Scenario'!$H$65-'Scenario'!$G$65)+('Scenario'!$H$66-'Scenario'!$G$66)+('Scenario'!$H$67-'Scenario'!$G$67)-('Scenario'!$H$68-'Scenario'!$G$68)-('Scenario'!$H$69-'Scenario'!$G$69)</f>
        <v/>
      </c>
      <c r="I71" s="17">
        <f>('Scenario'!$I$65-'Scenario'!$H$65)+('Scenario'!$I$66-'Scenario'!$H$66)+('Scenario'!$I$67-'Scenario'!$H$67)-('Scenario'!$I$68-'Scenario'!$H$68)-('Scenario'!$I$69-'Scenario'!$H$69)</f>
        <v/>
      </c>
      <c r="J71" s="17">
        <f>('Scenario'!$J$65-'Scenario'!$I$65)+('Scenario'!$J$66-'Scenario'!$I$66)+('Scenario'!$J$67-'Scenario'!$I$67)-('Scenario'!$J$68-'Scenario'!$I$68)-('Scenario'!$J$69-'Scenario'!$I$69)</f>
        <v/>
      </c>
      <c r="K71" s="17">
        <f>('Scenario'!$K$65-'Scenario'!$J$65)+('Scenario'!$K$66-'Scenario'!$J$66)+('Scenario'!$K$67-'Scenario'!$J$67)-('Scenario'!$K$68-'Scenario'!$J$68)-('Scenario'!$K$69-'Scenario'!$J$69)</f>
        <v/>
      </c>
      <c r="L71" s="17">
        <f>('Scenario'!$L$65-'Scenario'!$K$65)+('Scenario'!$L$66-'Scenario'!$K$66)+('Scenario'!$L$67-'Scenario'!$K$67)-('Scenario'!$L$68-'Scenario'!$K$68)-('Scenario'!$L$69-'Scenario'!$K$69)</f>
        <v/>
      </c>
    </row>
    <row r="72">
      <c r="A72" s="22" t="inlineStr">
        <is>
          <t>capex</t>
        </is>
      </c>
      <c r="B72" s="17">
        <f>'Historical'!$K$41</f>
        <v/>
      </c>
      <c r="C72" s="17">
        <f>IF(ISNUMBER('Assumptions'!$C$21),CHOOSE(Method,'Assumptions'!$C$21,'Assumptions'!$C$37,'Assumptions'!$C$21+('Assumptions'!$C$37-'Assumptions'!$C$21)*0.1000),'Assumptions'!$C$37)*'Scenario'!$C$53</f>
        <v/>
      </c>
      <c r="D72" s="17">
        <f>IF(ISNUMBER('Assumptions'!$C$21),CHOOSE(Method,'Assumptions'!$C$21,'Assumptions'!$C$37,'Assumptions'!$C$21+('Assumptions'!$C$37-'Assumptions'!$C$21)*0.2000),'Assumptions'!$C$37)*'Scenario'!$D$53</f>
        <v/>
      </c>
      <c r="E72" s="17">
        <f>IF(ISNUMBER('Assumptions'!$C$21),CHOOSE(Method,'Assumptions'!$C$21,'Assumptions'!$C$37,'Assumptions'!$C$21+('Assumptions'!$C$37-'Assumptions'!$C$21)*0.3000),'Assumptions'!$C$37)*'Scenario'!$E$53</f>
        <v/>
      </c>
      <c r="F72" s="17">
        <f>IF(ISNUMBER('Assumptions'!$C$21),CHOOSE(Method,'Assumptions'!$C$21,'Assumptions'!$C$37,'Assumptions'!$C$21+('Assumptions'!$C$37-'Assumptions'!$C$21)*0.4000),'Assumptions'!$C$37)*'Scenario'!$F$53</f>
        <v/>
      </c>
      <c r="G72" s="17">
        <f>IF(ISNUMBER('Assumptions'!$C$21),CHOOSE(Method,'Assumptions'!$C$21,'Assumptions'!$C$37,'Assumptions'!$C$21+('Assumptions'!$C$37-'Assumptions'!$C$21)*0.5000),'Assumptions'!$C$37)*'Scenario'!$G$53</f>
        <v/>
      </c>
      <c r="H72" s="17">
        <f>IF(ISNUMBER('Assumptions'!$C$21),CHOOSE(Method,'Assumptions'!$C$21,'Assumptions'!$C$37,'Assumptions'!$C$21+('Assumptions'!$C$37-'Assumptions'!$C$21)*0.6000),'Assumptions'!$C$37)*'Scenario'!$H$53</f>
        <v/>
      </c>
      <c r="I72" s="17">
        <f>IF(ISNUMBER('Assumptions'!$C$21),CHOOSE(Method,'Assumptions'!$C$21,'Assumptions'!$C$37,'Assumptions'!$C$21+('Assumptions'!$C$37-'Assumptions'!$C$21)*0.7000),'Assumptions'!$C$37)*'Scenario'!$I$53</f>
        <v/>
      </c>
      <c r="J72" s="17">
        <f>IF(ISNUMBER('Assumptions'!$C$21),CHOOSE(Method,'Assumptions'!$C$21,'Assumptions'!$C$37,'Assumptions'!$C$21+('Assumptions'!$C$37-'Assumptions'!$C$21)*0.8000),'Assumptions'!$C$37)*'Scenario'!$J$53</f>
        <v/>
      </c>
      <c r="K72" s="17">
        <f>IF(ISNUMBER('Assumptions'!$C$21),CHOOSE(Method,'Assumptions'!$C$21,'Assumptions'!$C$37,'Assumptions'!$C$21+('Assumptions'!$C$37-'Assumptions'!$C$21)*0.9000),'Assumptions'!$C$37)*'Scenario'!$K$53</f>
        <v/>
      </c>
      <c r="L72" s="17">
        <f>IF(ISNUMBER('Assumptions'!$C$21),CHOOSE(Method,'Assumptions'!$C$21,'Assumptions'!$C$37,'Assumptions'!$C$21+('Assumptions'!$C$37-'Assumptions'!$C$21)*1.0000),'Assumptions'!$C$37)*'Scenario'!$L$53</f>
        <v/>
      </c>
    </row>
    <row r="73">
      <c r="A73" s="22" t="inlineStr">
        <is>
          <t>cfo</t>
        </is>
      </c>
      <c r="B73" s="17">
        <f>'Historical'!$K$40</f>
        <v/>
      </c>
      <c r="C73" s="17">
        <f>'Scenario'!$C$64+'Scenario'!$C$56-'Scenario'!$C$71</f>
        <v/>
      </c>
      <c r="D73" s="17">
        <f>'Scenario'!$D$64+'Scenario'!$D$56-'Scenario'!$D$71</f>
        <v/>
      </c>
      <c r="E73" s="17">
        <f>'Scenario'!$E$64+'Scenario'!$E$56-'Scenario'!$E$71</f>
        <v/>
      </c>
      <c r="F73" s="17">
        <f>'Scenario'!$F$64+'Scenario'!$F$56-'Scenario'!$F$71</f>
        <v/>
      </c>
      <c r="G73" s="17">
        <f>'Scenario'!$G$64+'Scenario'!$G$56-'Scenario'!$G$71</f>
        <v/>
      </c>
      <c r="H73" s="17">
        <f>'Scenario'!$H$64+'Scenario'!$H$56-'Scenario'!$H$71</f>
        <v/>
      </c>
      <c r="I73" s="17">
        <f>'Scenario'!$I$64+'Scenario'!$I$56-'Scenario'!$I$71</f>
        <v/>
      </c>
      <c r="J73" s="17">
        <f>'Scenario'!$J$64+'Scenario'!$J$56-'Scenario'!$J$71</f>
        <v/>
      </c>
      <c r="K73" s="17">
        <f>'Scenario'!$K$64+'Scenario'!$K$56-'Scenario'!$K$71</f>
        <v/>
      </c>
      <c r="L73" s="17">
        <f>'Scenario'!$L$64+'Scenario'!$L$56-'Scenario'!$L$71</f>
        <v/>
      </c>
    </row>
    <row r="74">
      <c r="A74" s="22" t="inlineStr">
        <is>
          <t>fcf</t>
        </is>
      </c>
      <c r="B74" s="17">
        <f>'Historical'!$K$42</f>
        <v/>
      </c>
      <c r="C74" s="17">
        <f>'Scenario'!$C$73-'Scenario'!$C$72</f>
        <v/>
      </c>
      <c r="D74" s="17">
        <f>'Scenario'!$D$73-'Scenario'!$D$72</f>
        <v/>
      </c>
      <c r="E74" s="17">
        <f>'Scenario'!$E$73-'Scenario'!$E$72</f>
        <v/>
      </c>
      <c r="F74" s="17">
        <f>'Scenario'!$F$73-'Scenario'!$F$72</f>
        <v/>
      </c>
      <c r="G74" s="17">
        <f>'Scenario'!$G$73-'Scenario'!$G$72</f>
        <v/>
      </c>
      <c r="H74" s="17">
        <f>'Scenario'!$H$73-'Scenario'!$H$72</f>
        <v/>
      </c>
      <c r="I74" s="17">
        <f>'Scenario'!$I$73-'Scenario'!$I$72</f>
        <v/>
      </c>
      <c r="J74" s="17">
        <f>'Scenario'!$J$73-'Scenario'!$J$72</f>
        <v/>
      </c>
      <c r="K74" s="17">
        <f>'Scenario'!$K$73-'Scenario'!$K$72</f>
        <v/>
      </c>
      <c r="L74" s="17">
        <f>'Scenario'!$L$73-'Scenario'!$L$72</f>
        <v/>
      </c>
    </row>
    <row r="75">
      <c r="A75" s="22" t="inlineStr">
        <is>
          <t>dividends</t>
        </is>
      </c>
      <c r="B75" s="17" t="n">
        <v>0</v>
      </c>
      <c r="C75" s="17">
        <f>'Assumptions'!$C$43*MAX(0,'Scenario'!$C$64)</f>
        <v/>
      </c>
      <c r="D75" s="17">
        <f>'Assumptions'!$C$43*MAX(0,'Scenario'!$D$64)</f>
        <v/>
      </c>
      <c r="E75" s="17">
        <f>'Assumptions'!$C$43*MAX(0,'Scenario'!$E$64)</f>
        <v/>
      </c>
      <c r="F75" s="17">
        <f>'Assumptions'!$C$43*MAX(0,'Scenario'!$F$64)</f>
        <v/>
      </c>
      <c r="G75" s="17">
        <f>'Assumptions'!$C$43*MAX(0,'Scenario'!$G$64)</f>
        <v/>
      </c>
      <c r="H75" s="17">
        <f>'Assumptions'!$C$43*MAX(0,'Scenario'!$H$64)</f>
        <v/>
      </c>
      <c r="I75" s="17">
        <f>'Assumptions'!$C$43*MAX(0,'Scenario'!$I$64)</f>
        <v/>
      </c>
      <c r="J75" s="17">
        <f>'Assumptions'!$C$43*MAX(0,'Scenario'!$J$64)</f>
        <v/>
      </c>
      <c r="K75" s="17">
        <f>'Assumptions'!$C$43*MAX(0,'Scenario'!$K$64)</f>
        <v/>
      </c>
      <c r="L75" s="17">
        <f>'Assumptions'!$C$43*MAX(0,'Scenario'!$L$64)</f>
        <v/>
      </c>
    </row>
    <row r="76">
      <c r="A76" s="22" t="inlineStr">
        <is>
          <t>cash</t>
        </is>
      </c>
      <c r="B76" s="17">
        <f>'Historical'!$K$22</f>
        <v/>
      </c>
      <c r="C76" s="17">
        <f>'Scenario'!$B$76+'Scenario'!$C$73-'Scenario'!$C$72-('Scenario'!$C$70-'Scenario'!$B$70)+'Assumptions'!$C$45-'Assumptions'!$C$44*'Scenario'!$B$58-'Scenario'!$C$75</f>
        <v/>
      </c>
      <c r="D76" s="17">
        <f>'Scenario'!$C$76+'Scenario'!$D$73-'Scenario'!$D$72-('Scenario'!$D$70-'Scenario'!$C$70)+'Assumptions'!$C$45-'Assumptions'!$C$44*'Scenario'!$C$58-'Scenario'!$D$75</f>
        <v/>
      </c>
      <c r="E76" s="17">
        <f>'Scenario'!$D$76+'Scenario'!$E$73-'Scenario'!$E$72-('Scenario'!$E$70-'Scenario'!$D$70)+'Assumptions'!$C$45-'Assumptions'!$C$44*'Scenario'!$D$58-'Scenario'!$E$75</f>
        <v/>
      </c>
      <c r="F76" s="17">
        <f>'Scenario'!$E$76+'Scenario'!$F$73-'Scenario'!$F$72-('Scenario'!$F$70-'Scenario'!$E$70)+'Assumptions'!$C$45-'Assumptions'!$C$44*'Scenario'!$E$58-'Scenario'!$F$75</f>
        <v/>
      </c>
      <c r="G76" s="17">
        <f>'Scenario'!$F$76+'Scenario'!$G$73-'Scenario'!$G$72-('Scenario'!$G$70-'Scenario'!$F$70)+'Assumptions'!$C$45-'Assumptions'!$C$44*'Scenario'!$F$58-'Scenario'!$G$75</f>
        <v/>
      </c>
      <c r="H76" s="17">
        <f>'Scenario'!$G$76+'Scenario'!$H$73-'Scenario'!$H$72-('Scenario'!$H$70-'Scenario'!$G$70)+'Assumptions'!$C$45-'Assumptions'!$C$44*'Scenario'!$G$58-'Scenario'!$H$75</f>
        <v/>
      </c>
      <c r="I76" s="17">
        <f>'Scenario'!$H$76+'Scenario'!$I$73-'Scenario'!$I$72-('Scenario'!$I$70-'Scenario'!$H$70)+'Assumptions'!$C$45-'Assumptions'!$C$44*'Scenario'!$H$58-'Scenario'!$I$75</f>
        <v/>
      </c>
      <c r="J76" s="17">
        <f>'Scenario'!$I$76+'Scenario'!$J$73-'Scenario'!$J$72-('Scenario'!$J$70-'Scenario'!$I$70)+'Assumptions'!$C$45-'Assumptions'!$C$44*'Scenario'!$I$58-'Scenario'!$J$75</f>
        <v/>
      </c>
      <c r="K76" s="17">
        <f>'Scenario'!$J$76+'Scenario'!$K$73-'Scenario'!$K$72-('Scenario'!$K$70-'Scenario'!$J$70)+'Assumptions'!$C$45-'Assumptions'!$C$44*'Scenario'!$J$58-'Scenario'!$K$75</f>
        <v/>
      </c>
      <c r="L76" s="17">
        <f>'Scenario'!$K$76+'Scenario'!$L$73-'Scenario'!$L$72-('Scenario'!$L$70-'Scenario'!$K$70)+'Assumptions'!$C$45-'Assumptions'!$C$44*'Scenario'!$K$58-'Scenario'!$L$75</f>
        <v/>
      </c>
    </row>
    <row r="77">
      <c r="A77" s="22" t="inlineStr">
        <is>
          <t>equity</t>
        </is>
      </c>
      <c r="B77" s="17">
        <f>'Historical'!$K$36</f>
        <v/>
      </c>
      <c r="C77" s="17">
        <f>'Scenario'!$B$77+'Scenario'!$C$64-'Scenario'!$C$75</f>
        <v/>
      </c>
      <c r="D77" s="17">
        <f>'Scenario'!$C$77+'Scenario'!$D$64-'Scenario'!$D$75</f>
        <v/>
      </c>
      <c r="E77" s="17">
        <f>'Scenario'!$D$77+'Scenario'!$E$64-'Scenario'!$E$75</f>
        <v/>
      </c>
      <c r="F77" s="17">
        <f>'Scenario'!$E$77+'Scenario'!$F$64-'Scenario'!$F$75</f>
        <v/>
      </c>
      <c r="G77" s="17">
        <f>'Scenario'!$F$77+'Scenario'!$G$64-'Scenario'!$G$75</f>
        <v/>
      </c>
      <c r="H77" s="17">
        <f>'Scenario'!$G$77+'Scenario'!$H$64-'Scenario'!$H$75</f>
        <v/>
      </c>
      <c r="I77" s="17">
        <f>'Scenario'!$H$77+'Scenario'!$I$64-'Scenario'!$I$75</f>
        <v/>
      </c>
      <c r="J77" s="17">
        <f>'Scenario'!$I$77+'Scenario'!$J$64-'Scenario'!$J$75</f>
        <v/>
      </c>
      <c r="K77" s="17">
        <f>'Scenario'!$J$77+'Scenario'!$K$64-'Scenario'!$K$75</f>
        <v/>
      </c>
      <c r="L77" s="17">
        <f>'Scenario'!$K$77+'Scenario'!$L$64-'Scenario'!$L$75</f>
        <v/>
      </c>
    </row>
    <row r="78">
      <c r="A78" s="22" t="inlineStr">
        <is>
          <t>nopat</t>
        </is>
      </c>
      <c r="B78" s="17" t="n">
        <v>0</v>
      </c>
      <c r="C78" s="17">
        <f>'Scenario'!$C$57*(1-IF(ISNUMBER('Assumptions'!$C$17),CHOOSE(Method,'Assumptions'!$C$17,'Assumptions'!$C$33,'Assumptions'!$C$17+('Assumptions'!$C$33-'Assumptions'!$C$17)*0.1000),'Assumptions'!$C$33))</f>
        <v/>
      </c>
      <c r="D78" s="17">
        <f>'Scenario'!$D$57*(1-IF(ISNUMBER('Assumptions'!$C$17),CHOOSE(Method,'Assumptions'!$C$17,'Assumptions'!$C$33,'Assumptions'!$C$17+('Assumptions'!$C$33-'Assumptions'!$C$17)*0.2000),'Assumptions'!$C$33))</f>
        <v/>
      </c>
      <c r="E78" s="17">
        <f>'Scenario'!$E$57*(1-IF(ISNUMBER('Assumptions'!$C$17),CHOOSE(Method,'Assumptions'!$C$17,'Assumptions'!$C$33,'Assumptions'!$C$17+('Assumptions'!$C$33-'Assumptions'!$C$17)*0.3000),'Assumptions'!$C$33))</f>
        <v/>
      </c>
      <c r="F78" s="17">
        <f>'Scenario'!$F$57*(1-IF(ISNUMBER('Assumptions'!$C$17),CHOOSE(Method,'Assumptions'!$C$17,'Assumptions'!$C$33,'Assumptions'!$C$17+('Assumptions'!$C$33-'Assumptions'!$C$17)*0.4000),'Assumptions'!$C$33))</f>
        <v/>
      </c>
      <c r="G78" s="17">
        <f>'Scenario'!$G$57*(1-IF(ISNUMBER('Assumptions'!$C$17),CHOOSE(Method,'Assumptions'!$C$17,'Assumptions'!$C$33,'Assumptions'!$C$17+('Assumptions'!$C$33-'Assumptions'!$C$17)*0.5000),'Assumptions'!$C$33))</f>
        <v/>
      </c>
      <c r="H78" s="17">
        <f>'Scenario'!$H$57*(1-IF(ISNUMBER('Assumptions'!$C$17),CHOOSE(Method,'Assumptions'!$C$17,'Assumptions'!$C$33,'Assumptions'!$C$17+('Assumptions'!$C$33-'Assumptions'!$C$17)*0.6000),'Assumptions'!$C$33))</f>
        <v/>
      </c>
      <c r="I78" s="17">
        <f>'Scenario'!$I$57*(1-IF(ISNUMBER('Assumptions'!$C$17),CHOOSE(Method,'Assumptions'!$C$17,'Assumptions'!$C$33,'Assumptions'!$C$17+('Assumptions'!$C$33-'Assumptions'!$C$17)*0.7000),'Assumptions'!$C$33))</f>
        <v/>
      </c>
      <c r="J78" s="17">
        <f>'Scenario'!$J$57*(1-IF(ISNUMBER('Assumptions'!$C$17),CHOOSE(Method,'Assumptions'!$C$17,'Assumptions'!$C$33,'Assumptions'!$C$17+('Assumptions'!$C$33-'Assumptions'!$C$17)*0.8000),'Assumptions'!$C$33))</f>
        <v/>
      </c>
      <c r="K78" s="17">
        <f>'Scenario'!$K$57*(1-IF(ISNUMBER('Assumptions'!$C$17),CHOOSE(Method,'Assumptions'!$C$17,'Assumptions'!$C$33,'Assumptions'!$C$17+('Assumptions'!$C$33-'Assumptions'!$C$17)*0.9000),'Assumptions'!$C$33))</f>
        <v/>
      </c>
      <c r="L78" s="17">
        <f>'Scenario'!$L$57*(1-IF(ISNUMBER('Assumptions'!$C$17),CHOOSE(Method,'Assumptions'!$C$17,'Assumptions'!$C$33,'Assumptions'!$C$17+('Assumptions'!$C$33-'Assumptions'!$C$17)*1.0000),'Assumptions'!$C$33))</f>
        <v/>
      </c>
    </row>
    <row r="79">
      <c r="A79" s="22" t="inlineStr">
        <is>
          <t>ic</t>
        </is>
      </c>
      <c r="B79" s="17">
        <f>'Historical'!$K$46</f>
        <v/>
      </c>
      <c r="C79" s="17">
        <f>'Scenario'!$C$77+'Scenario'!$C$59-'Scenario'!$C$76</f>
        <v/>
      </c>
      <c r="D79" s="17">
        <f>'Scenario'!$D$77+'Scenario'!$D$59-'Scenario'!$D$76</f>
        <v/>
      </c>
      <c r="E79" s="17">
        <f>'Scenario'!$E$77+'Scenario'!$E$59-'Scenario'!$E$76</f>
        <v/>
      </c>
      <c r="F79" s="17">
        <f>'Scenario'!$F$77+'Scenario'!$F$59-'Scenario'!$F$76</f>
        <v/>
      </c>
      <c r="G79" s="17">
        <f>'Scenario'!$G$77+'Scenario'!$G$59-'Scenario'!$G$76</f>
        <v/>
      </c>
      <c r="H79" s="17">
        <f>'Scenario'!$H$77+'Scenario'!$H$59-'Scenario'!$H$76</f>
        <v/>
      </c>
      <c r="I79" s="17">
        <f>'Scenario'!$I$77+'Scenario'!$I$59-'Scenario'!$I$76</f>
        <v/>
      </c>
      <c r="J79" s="17">
        <f>'Scenario'!$J$77+'Scenario'!$J$59-'Scenario'!$J$76</f>
        <v/>
      </c>
      <c r="K79" s="17">
        <f>'Scenario'!$K$77+'Scenario'!$K$59-'Scenario'!$K$76</f>
        <v/>
      </c>
      <c r="L79" s="17">
        <f>'Scenario'!$L$77+'Scenario'!$L$59-'Scenario'!$L$76</f>
        <v/>
      </c>
    </row>
    <row r="81" ht="20" customHeight="1">
      <c r="A81" s="5" t="inlineStr">
        <is>
          <t>Scenario Engine — Bull</t>
        </is>
      </c>
    </row>
    <row r="82">
      <c r="A82" s="14" t="inlineStr">
        <is>
          <t>Line item</t>
        </is>
      </c>
      <c r="B82" s="16" t="inlineStr">
        <is>
          <t>FY2024 (base)</t>
        </is>
      </c>
      <c r="C82" s="16" t="inlineStr">
        <is>
          <t>FY2025</t>
        </is>
      </c>
      <c r="D82" s="16" t="inlineStr">
        <is>
          <t>FY2026</t>
        </is>
      </c>
      <c r="E82" s="16" t="inlineStr">
        <is>
          <t>FY2027</t>
        </is>
      </c>
      <c r="F82" s="16" t="inlineStr">
        <is>
          <t>FY2028</t>
        </is>
      </c>
      <c r="G82" s="16" t="inlineStr">
        <is>
          <t>FY2029</t>
        </is>
      </c>
      <c r="H82" s="16" t="inlineStr">
        <is>
          <t>FY2030</t>
        </is>
      </c>
      <c r="I82" s="16" t="inlineStr">
        <is>
          <t>FY2031</t>
        </is>
      </c>
      <c r="J82" s="16" t="inlineStr">
        <is>
          <t>FY2032</t>
        </is>
      </c>
      <c r="K82" s="16" t="inlineStr">
        <is>
          <t>FY2033</t>
        </is>
      </c>
      <c r="L82" s="16" t="inlineStr">
        <is>
          <t>FY2034</t>
        </is>
      </c>
    </row>
    <row r="83">
      <c r="A83" s="22" t="inlineStr">
        <is>
          <t>revenue</t>
        </is>
      </c>
      <c r="B83" s="17">
        <f>'Historical'!$K$10</f>
        <v/>
      </c>
      <c r="C83" s="17">
        <f>'Scenario'!$B$83*(1+IF(ISNUMBER('Assumptions'!$C$14),CHOOSE(Method,'Assumptions'!$C$14,'Assumptions'!$D$30,'Assumptions'!$C$14+('Assumptions'!$D$30-'Assumptions'!$C$14)*0.1000),'Assumptions'!$D$30))</f>
        <v/>
      </c>
      <c r="D83" s="17">
        <f>'Scenario'!$C$83*(1+IF(ISNUMBER('Assumptions'!$C$14),CHOOSE(Method,'Assumptions'!$C$14,'Assumptions'!$D$30,'Assumptions'!$C$14+('Assumptions'!$D$30-'Assumptions'!$C$14)*0.2000),'Assumptions'!$D$30))</f>
        <v/>
      </c>
      <c r="E83" s="17">
        <f>'Scenario'!$D$83*(1+IF(ISNUMBER('Assumptions'!$C$14),CHOOSE(Method,'Assumptions'!$C$14,'Assumptions'!$D$30,'Assumptions'!$C$14+('Assumptions'!$D$30-'Assumptions'!$C$14)*0.3000),'Assumptions'!$D$30))</f>
        <v/>
      </c>
      <c r="F83" s="17">
        <f>'Scenario'!$E$83*(1+IF(ISNUMBER('Assumptions'!$C$14),CHOOSE(Method,'Assumptions'!$C$14,'Assumptions'!$D$30,'Assumptions'!$C$14+('Assumptions'!$D$30-'Assumptions'!$C$14)*0.4000),'Assumptions'!$D$30))</f>
        <v/>
      </c>
      <c r="G83" s="17">
        <f>'Scenario'!$F$83*(1+IF(ISNUMBER('Assumptions'!$C$14),CHOOSE(Method,'Assumptions'!$C$14,'Assumptions'!$D$30,'Assumptions'!$C$14+('Assumptions'!$D$30-'Assumptions'!$C$14)*0.5000),'Assumptions'!$D$30))</f>
        <v/>
      </c>
      <c r="H83" s="17">
        <f>'Scenario'!$G$83*(1+IF(ISNUMBER('Assumptions'!$C$14),CHOOSE(Method,'Assumptions'!$C$14,'Assumptions'!$D$30,'Assumptions'!$C$14+('Assumptions'!$D$30-'Assumptions'!$C$14)*0.6000),'Assumptions'!$D$30))</f>
        <v/>
      </c>
      <c r="I83" s="17">
        <f>'Scenario'!$H$83*(1+IF(ISNUMBER('Assumptions'!$C$14),CHOOSE(Method,'Assumptions'!$C$14,'Assumptions'!$D$30,'Assumptions'!$C$14+('Assumptions'!$D$30-'Assumptions'!$C$14)*0.7000),'Assumptions'!$D$30))</f>
        <v/>
      </c>
      <c r="J83" s="17">
        <f>'Scenario'!$I$83*(1+IF(ISNUMBER('Assumptions'!$C$14),CHOOSE(Method,'Assumptions'!$C$14,'Assumptions'!$D$30,'Assumptions'!$C$14+('Assumptions'!$D$30-'Assumptions'!$C$14)*0.8000),'Assumptions'!$D$30))</f>
        <v/>
      </c>
      <c r="K83" s="17">
        <f>'Scenario'!$J$83*(1+IF(ISNUMBER('Assumptions'!$C$14),CHOOSE(Method,'Assumptions'!$C$14,'Assumptions'!$D$30,'Assumptions'!$C$14+('Assumptions'!$D$30-'Assumptions'!$C$14)*0.9000),'Assumptions'!$D$30))</f>
        <v/>
      </c>
      <c r="L83" s="17">
        <f>'Scenario'!$K$83*(1+IF(ISNUMBER('Assumptions'!$C$14),CHOOSE(Method,'Assumptions'!$C$14,'Assumptions'!$D$30,'Assumptions'!$C$14+('Assumptions'!$D$30-'Assumptions'!$C$14)*1.0000),'Assumptions'!$D$30))</f>
        <v/>
      </c>
    </row>
    <row r="84">
      <c r="A84" s="22" t="inlineStr">
        <is>
          <t>cogs</t>
        </is>
      </c>
      <c r="B84" s="17">
        <f>'Historical'!$K$11</f>
        <v/>
      </c>
      <c r="C84" s="17">
        <f>'Scenario'!$C$83*(1-IF(ISNUMBER('Assumptions'!$C$15),CHOOSE(Method,'Assumptions'!$C$15,'Assumptions'!$D$31,'Assumptions'!$C$15+('Assumptions'!$D$31-'Assumptions'!$C$15)*0.1000),'Assumptions'!$D$31))</f>
        <v/>
      </c>
      <c r="D84" s="17">
        <f>'Scenario'!$D$83*(1-IF(ISNUMBER('Assumptions'!$C$15),CHOOSE(Method,'Assumptions'!$C$15,'Assumptions'!$D$31,'Assumptions'!$C$15+('Assumptions'!$D$31-'Assumptions'!$C$15)*0.2000),'Assumptions'!$D$31))</f>
        <v/>
      </c>
      <c r="E84" s="17">
        <f>'Scenario'!$E$83*(1-IF(ISNUMBER('Assumptions'!$C$15),CHOOSE(Method,'Assumptions'!$C$15,'Assumptions'!$D$31,'Assumptions'!$C$15+('Assumptions'!$D$31-'Assumptions'!$C$15)*0.3000),'Assumptions'!$D$31))</f>
        <v/>
      </c>
      <c r="F84" s="17">
        <f>'Scenario'!$F$83*(1-IF(ISNUMBER('Assumptions'!$C$15),CHOOSE(Method,'Assumptions'!$C$15,'Assumptions'!$D$31,'Assumptions'!$C$15+('Assumptions'!$D$31-'Assumptions'!$C$15)*0.4000),'Assumptions'!$D$31))</f>
        <v/>
      </c>
      <c r="G84" s="17">
        <f>'Scenario'!$G$83*(1-IF(ISNUMBER('Assumptions'!$C$15),CHOOSE(Method,'Assumptions'!$C$15,'Assumptions'!$D$31,'Assumptions'!$C$15+('Assumptions'!$D$31-'Assumptions'!$C$15)*0.5000),'Assumptions'!$D$31))</f>
        <v/>
      </c>
      <c r="H84" s="17">
        <f>'Scenario'!$H$83*(1-IF(ISNUMBER('Assumptions'!$C$15),CHOOSE(Method,'Assumptions'!$C$15,'Assumptions'!$D$31,'Assumptions'!$C$15+('Assumptions'!$D$31-'Assumptions'!$C$15)*0.6000),'Assumptions'!$D$31))</f>
        <v/>
      </c>
      <c r="I84" s="17">
        <f>'Scenario'!$I$83*(1-IF(ISNUMBER('Assumptions'!$C$15),CHOOSE(Method,'Assumptions'!$C$15,'Assumptions'!$D$31,'Assumptions'!$C$15+('Assumptions'!$D$31-'Assumptions'!$C$15)*0.7000),'Assumptions'!$D$31))</f>
        <v/>
      </c>
      <c r="J84" s="17">
        <f>'Scenario'!$J$83*(1-IF(ISNUMBER('Assumptions'!$C$15),CHOOSE(Method,'Assumptions'!$C$15,'Assumptions'!$D$31,'Assumptions'!$C$15+('Assumptions'!$D$31-'Assumptions'!$C$15)*0.8000),'Assumptions'!$D$31))</f>
        <v/>
      </c>
      <c r="K84" s="17">
        <f>'Scenario'!$K$83*(1-IF(ISNUMBER('Assumptions'!$C$15),CHOOSE(Method,'Assumptions'!$C$15,'Assumptions'!$D$31,'Assumptions'!$C$15+('Assumptions'!$D$31-'Assumptions'!$C$15)*0.9000),'Assumptions'!$D$31))</f>
        <v/>
      </c>
      <c r="L84" s="17">
        <f>'Scenario'!$L$83*(1-IF(ISNUMBER('Assumptions'!$C$15),CHOOSE(Method,'Assumptions'!$C$15,'Assumptions'!$D$31,'Assumptions'!$C$15+('Assumptions'!$D$31-'Assumptions'!$C$15)*1.0000),'Assumptions'!$D$31))</f>
        <v/>
      </c>
    </row>
    <row r="85">
      <c r="A85" s="22" t="inlineStr">
        <is>
          <t>ebitda</t>
        </is>
      </c>
      <c r="B85" s="17">
        <f>'Historical'!$K$14</f>
        <v/>
      </c>
      <c r="C85" s="17">
        <f>'Scenario'!$C$83*IF(ISNUMBER('Assumptions'!$C$16),CHOOSE(Method,'Assumptions'!$C$16,'Assumptions'!$D$32,'Assumptions'!$C$16+('Assumptions'!$D$32-'Assumptions'!$C$16)*0.1000),'Assumptions'!$D$32)</f>
        <v/>
      </c>
      <c r="D85" s="17">
        <f>'Scenario'!$D$83*IF(ISNUMBER('Assumptions'!$C$16),CHOOSE(Method,'Assumptions'!$C$16,'Assumptions'!$D$32,'Assumptions'!$C$16+('Assumptions'!$D$32-'Assumptions'!$C$16)*0.2000),'Assumptions'!$D$32)</f>
        <v/>
      </c>
      <c r="E85" s="17">
        <f>'Scenario'!$E$83*IF(ISNUMBER('Assumptions'!$C$16),CHOOSE(Method,'Assumptions'!$C$16,'Assumptions'!$D$32,'Assumptions'!$C$16+('Assumptions'!$D$32-'Assumptions'!$C$16)*0.3000),'Assumptions'!$D$32)</f>
        <v/>
      </c>
      <c r="F85" s="17">
        <f>'Scenario'!$F$83*IF(ISNUMBER('Assumptions'!$C$16),CHOOSE(Method,'Assumptions'!$C$16,'Assumptions'!$D$32,'Assumptions'!$C$16+('Assumptions'!$D$32-'Assumptions'!$C$16)*0.4000),'Assumptions'!$D$32)</f>
        <v/>
      </c>
      <c r="G85" s="17">
        <f>'Scenario'!$G$83*IF(ISNUMBER('Assumptions'!$C$16),CHOOSE(Method,'Assumptions'!$C$16,'Assumptions'!$D$32,'Assumptions'!$C$16+('Assumptions'!$D$32-'Assumptions'!$C$16)*0.5000),'Assumptions'!$D$32)</f>
        <v/>
      </c>
      <c r="H85" s="17">
        <f>'Scenario'!$H$83*IF(ISNUMBER('Assumptions'!$C$16),CHOOSE(Method,'Assumptions'!$C$16,'Assumptions'!$D$32,'Assumptions'!$C$16+('Assumptions'!$D$32-'Assumptions'!$C$16)*0.6000),'Assumptions'!$D$32)</f>
        <v/>
      </c>
      <c r="I85" s="17">
        <f>'Scenario'!$I$83*IF(ISNUMBER('Assumptions'!$C$16),CHOOSE(Method,'Assumptions'!$C$16,'Assumptions'!$D$32,'Assumptions'!$C$16+('Assumptions'!$D$32-'Assumptions'!$C$16)*0.7000),'Assumptions'!$D$32)</f>
        <v/>
      </c>
      <c r="J85" s="17">
        <f>'Scenario'!$J$83*IF(ISNUMBER('Assumptions'!$C$16),CHOOSE(Method,'Assumptions'!$C$16,'Assumptions'!$D$32,'Assumptions'!$C$16+('Assumptions'!$D$32-'Assumptions'!$C$16)*0.8000),'Assumptions'!$D$32)</f>
        <v/>
      </c>
      <c r="K85" s="17">
        <f>'Scenario'!$K$83*IF(ISNUMBER('Assumptions'!$C$16),CHOOSE(Method,'Assumptions'!$C$16,'Assumptions'!$D$32,'Assumptions'!$C$16+('Assumptions'!$D$32-'Assumptions'!$C$16)*0.9000),'Assumptions'!$D$32)</f>
        <v/>
      </c>
      <c r="L85" s="17">
        <f>'Scenario'!$L$83*IF(ISNUMBER('Assumptions'!$C$16),CHOOSE(Method,'Assumptions'!$C$16,'Assumptions'!$D$32,'Assumptions'!$C$16+('Assumptions'!$D$32-'Assumptions'!$C$16)*1.0000),'Assumptions'!$D$32)</f>
        <v/>
      </c>
    </row>
    <row r="86">
      <c r="A86" s="22" t="inlineStr">
        <is>
          <t>dep</t>
        </is>
      </c>
      <c r="B86" s="17">
        <f>'Historical'!$K$15</f>
        <v/>
      </c>
      <c r="C86" s="17">
        <f>'Scenario'!$C$83*IF(ISNUMBER('Assumptions'!$C$22),CHOOSE(Method,'Assumptions'!$C$22,'Assumptions'!$D$38,'Assumptions'!$C$22+('Assumptions'!$D$38-'Assumptions'!$C$22)*0.1000),'Assumptions'!$D$38)</f>
        <v/>
      </c>
      <c r="D86" s="17">
        <f>'Scenario'!$D$83*IF(ISNUMBER('Assumptions'!$C$22),CHOOSE(Method,'Assumptions'!$C$22,'Assumptions'!$D$38,'Assumptions'!$C$22+('Assumptions'!$D$38-'Assumptions'!$C$22)*0.2000),'Assumptions'!$D$38)</f>
        <v/>
      </c>
      <c r="E86" s="17">
        <f>'Scenario'!$E$83*IF(ISNUMBER('Assumptions'!$C$22),CHOOSE(Method,'Assumptions'!$C$22,'Assumptions'!$D$38,'Assumptions'!$C$22+('Assumptions'!$D$38-'Assumptions'!$C$22)*0.3000),'Assumptions'!$D$38)</f>
        <v/>
      </c>
      <c r="F86" s="17">
        <f>'Scenario'!$F$83*IF(ISNUMBER('Assumptions'!$C$22),CHOOSE(Method,'Assumptions'!$C$22,'Assumptions'!$D$38,'Assumptions'!$C$22+('Assumptions'!$D$38-'Assumptions'!$C$22)*0.4000),'Assumptions'!$D$38)</f>
        <v/>
      </c>
      <c r="G86" s="17">
        <f>'Scenario'!$G$83*IF(ISNUMBER('Assumptions'!$C$22),CHOOSE(Method,'Assumptions'!$C$22,'Assumptions'!$D$38,'Assumptions'!$C$22+('Assumptions'!$D$38-'Assumptions'!$C$22)*0.5000),'Assumptions'!$D$38)</f>
        <v/>
      </c>
      <c r="H86" s="17">
        <f>'Scenario'!$H$83*IF(ISNUMBER('Assumptions'!$C$22),CHOOSE(Method,'Assumptions'!$C$22,'Assumptions'!$D$38,'Assumptions'!$C$22+('Assumptions'!$D$38-'Assumptions'!$C$22)*0.6000),'Assumptions'!$D$38)</f>
        <v/>
      </c>
      <c r="I86" s="17">
        <f>'Scenario'!$I$83*IF(ISNUMBER('Assumptions'!$C$22),CHOOSE(Method,'Assumptions'!$C$22,'Assumptions'!$D$38,'Assumptions'!$C$22+('Assumptions'!$D$38-'Assumptions'!$C$22)*0.7000),'Assumptions'!$D$38)</f>
        <v/>
      </c>
      <c r="J86" s="17">
        <f>'Scenario'!$J$83*IF(ISNUMBER('Assumptions'!$C$22),CHOOSE(Method,'Assumptions'!$C$22,'Assumptions'!$D$38,'Assumptions'!$C$22+('Assumptions'!$D$38-'Assumptions'!$C$22)*0.8000),'Assumptions'!$D$38)</f>
        <v/>
      </c>
      <c r="K86" s="17">
        <f>'Scenario'!$K$83*IF(ISNUMBER('Assumptions'!$C$22),CHOOSE(Method,'Assumptions'!$C$22,'Assumptions'!$D$38,'Assumptions'!$C$22+('Assumptions'!$D$38-'Assumptions'!$C$22)*0.9000),'Assumptions'!$D$38)</f>
        <v/>
      </c>
      <c r="L86" s="17">
        <f>'Scenario'!$L$83*IF(ISNUMBER('Assumptions'!$C$22),CHOOSE(Method,'Assumptions'!$C$22,'Assumptions'!$D$38,'Assumptions'!$C$22+('Assumptions'!$D$38-'Assumptions'!$C$22)*1.0000),'Assumptions'!$D$38)</f>
        <v/>
      </c>
    </row>
    <row r="87">
      <c r="A87" s="22" t="inlineStr">
        <is>
          <t>ebit</t>
        </is>
      </c>
      <c r="B87" s="17">
        <f>'Historical'!$K$16</f>
        <v/>
      </c>
      <c r="C87" s="17">
        <f>'Scenario'!$C$85-'Scenario'!$C$86</f>
        <v/>
      </c>
      <c r="D87" s="17">
        <f>'Scenario'!$D$85-'Scenario'!$D$86</f>
        <v/>
      </c>
      <c r="E87" s="17">
        <f>'Scenario'!$E$85-'Scenario'!$E$86</f>
        <v/>
      </c>
      <c r="F87" s="17">
        <f>'Scenario'!$F$85-'Scenario'!$F$86</f>
        <v/>
      </c>
      <c r="G87" s="17">
        <f>'Scenario'!$G$85-'Scenario'!$G$86</f>
        <v/>
      </c>
      <c r="H87" s="17">
        <f>'Scenario'!$H$85-'Scenario'!$H$86</f>
        <v/>
      </c>
      <c r="I87" s="17">
        <f>'Scenario'!$I$85-'Scenario'!$I$86</f>
        <v/>
      </c>
      <c r="J87" s="17">
        <f>'Scenario'!$J$85-'Scenario'!$J$86</f>
        <v/>
      </c>
      <c r="K87" s="17">
        <f>'Scenario'!$K$85-'Scenario'!$K$86</f>
        <v/>
      </c>
      <c r="L87" s="17">
        <f>'Scenario'!$L$85-'Scenario'!$L$86</f>
        <v/>
      </c>
    </row>
    <row r="88">
      <c r="A88" s="22" t="inlineStr">
        <is>
          <t>ltd</t>
        </is>
      </c>
      <c r="B88" s="17">
        <f>'Historical'!$K$33</f>
        <v/>
      </c>
      <c r="C88" s="17">
        <f>'Scenario'!$B$88+'Assumptions'!$D$45-'Assumptions'!$D$44*'Scenario'!$B$88</f>
        <v/>
      </c>
      <c r="D88" s="17">
        <f>'Scenario'!$C$88+'Assumptions'!$D$45-'Assumptions'!$D$44*'Scenario'!$C$88</f>
        <v/>
      </c>
      <c r="E88" s="17">
        <f>'Scenario'!$D$88+'Assumptions'!$D$45-'Assumptions'!$D$44*'Scenario'!$D$88</f>
        <v/>
      </c>
      <c r="F88" s="17">
        <f>'Scenario'!$E$88+'Assumptions'!$D$45-'Assumptions'!$D$44*'Scenario'!$E$88</f>
        <v/>
      </c>
      <c r="G88" s="17">
        <f>'Scenario'!$F$88+'Assumptions'!$D$45-'Assumptions'!$D$44*'Scenario'!$F$88</f>
        <v/>
      </c>
      <c r="H88" s="17">
        <f>'Scenario'!$G$88+'Assumptions'!$D$45-'Assumptions'!$D$44*'Scenario'!$G$88</f>
        <v/>
      </c>
      <c r="I88" s="17">
        <f>'Scenario'!$H$88+'Assumptions'!$D$45-'Assumptions'!$D$44*'Scenario'!$H$88</f>
        <v/>
      </c>
      <c r="J88" s="17">
        <f>'Scenario'!$I$88+'Assumptions'!$D$45-'Assumptions'!$D$44*'Scenario'!$I$88</f>
        <v/>
      </c>
      <c r="K88" s="17">
        <f>'Scenario'!$J$88+'Assumptions'!$D$45-'Assumptions'!$D$44*'Scenario'!$J$88</f>
        <v/>
      </c>
      <c r="L88" s="17">
        <f>'Scenario'!$K$88+'Assumptions'!$D$45-'Assumptions'!$D$44*'Scenario'!$K$88</f>
        <v/>
      </c>
    </row>
    <row r="89">
      <c r="A89" s="22" t="inlineStr">
        <is>
          <t>total_debt</t>
        </is>
      </c>
      <c r="B89" s="17">
        <f>'Historical'!$K$44</f>
        <v/>
      </c>
      <c r="C89" s="17">
        <f>'Historical'!$K$32+'Scenario'!$C$88</f>
        <v/>
      </c>
      <c r="D89" s="17">
        <f>'Historical'!$K$32+'Scenario'!$D$88</f>
        <v/>
      </c>
      <c r="E89" s="17">
        <f>'Historical'!$K$32+'Scenario'!$E$88</f>
        <v/>
      </c>
      <c r="F89" s="17">
        <f>'Historical'!$K$32+'Scenario'!$F$88</f>
        <v/>
      </c>
      <c r="G89" s="17">
        <f>'Historical'!$K$32+'Scenario'!$G$88</f>
        <v/>
      </c>
      <c r="H89" s="17">
        <f>'Historical'!$K$32+'Scenario'!$H$88</f>
        <v/>
      </c>
      <c r="I89" s="17">
        <f>'Historical'!$K$32+'Scenario'!$I$88</f>
        <v/>
      </c>
      <c r="J89" s="17">
        <f>'Historical'!$K$32+'Scenario'!$J$88</f>
        <v/>
      </c>
      <c r="K89" s="17">
        <f>'Historical'!$K$32+'Scenario'!$K$88</f>
        <v/>
      </c>
      <c r="L89" s="17">
        <f>'Historical'!$K$32+'Scenario'!$L$88</f>
        <v/>
      </c>
    </row>
    <row r="90">
      <c r="A90" s="22" t="inlineStr">
        <is>
          <t>int_exp</t>
        </is>
      </c>
      <c r="B90" s="17">
        <f>'Historical'!$K$17</f>
        <v/>
      </c>
      <c r="C90" s="17">
        <f>IF(ISNUMBER('Assumptions'!$C$26),CHOOSE(Method,'Assumptions'!$C$26,'Assumptions'!$D$42,'Assumptions'!$C$26+('Assumptions'!$D$42-'Assumptions'!$C$26)*0.1000),'Assumptions'!$D$42)*'Scenario'!$B$89</f>
        <v/>
      </c>
      <c r="D90" s="17">
        <f>IF(ISNUMBER('Assumptions'!$C$26),CHOOSE(Method,'Assumptions'!$C$26,'Assumptions'!$D$42,'Assumptions'!$C$26+('Assumptions'!$D$42-'Assumptions'!$C$26)*0.2000),'Assumptions'!$D$42)*'Scenario'!$C$89</f>
        <v/>
      </c>
      <c r="E90" s="17">
        <f>IF(ISNUMBER('Assumptions'!$C$26),CHOOSE(Method,'Assumptions'!$C$26,'Assumptions'!$D$42,'Assumptions'!$C$26+('Assumptions'!$D$42-'Assumptions'!$C$26)*0.3000),'Assumptions'!$D$42)*'Scenario'!$D$89</f>
        <v/>
      </c>
      <c r="F90" s="17">
        <f>IF(ISNUMBER('Assumptions'!$C$26),CHOOSE(Method,'Assumptions'!$C$26,'Assumptions'!$D$42,'Assumptions'!$C$26+('Assumptions'!$D$42-'Assumptions'!$C$26)*0.4000),'Assumptions'!$D$42)*'Scenario'!$E$89</f>
        <v/>
      </c>
      <c r="G90" s="17">
        <f>IF(ISNUMBER('Assumptions'!$C$26),CHOOSE(Method,'Assumptions'!$C$26,'Assumptions'!$D$42,'Assumptions'!$C$26+('Assumptions'!$D$42-'Assumptions'!$C$26)*0.5000),'Assumptions'!$D$42)*'Scenario'!$F$89</f>
        <v/>
      </c>
      <c r="H90" s="17">
        <f>IF(ISNUMBER('Assumptions'!$C$26),CHOOSE(Method,'Assumptions'!$C$26,'Assumptions'!$D$42,'Assumptions'!$C$26+('Assumptions'!$D$42-'Assumptions'!$C$26)*0.6000),'Assumptions'!$D$42)*'Scenario'!$G$89</f>
        <v/>
      </c>
      <c r="I90" s="17">
        <f>IF(ISNUMBER('Assumptions'!$C$26),CHOOSE(Method,'Assumptions'!$C$26,'Assumptions'!$D$42,'Assumptions'!$C$26+('Assumptions'!$D$42-'Assumptions'!$C$26)*0.7000),'Assumptions'!$D$42)*'Scenario'!$H$89</f>
        <v/>
      </c>
      <c r="J90" s="17">
        <f>IF(ISNUMBER('Assumptions'!$C$26),CHOOSE(Method,'Assumptions'!$C$26,'Assumptions'!$D$42,'Assumptions'!$C$26+('Assumptions'!$D$42-'Assumptions'!$C$26)*0.8000),'Assumptions'!$D$42)*'Scenario'!$I$89</f>
        <v/>
      </c>
      <c r="K90" s="17">
        <f>IF(ISNUMBER('Assumptions'!$C$26),CHOOSE(Method,'Assumptions'!$C$26,'Assumptions'!$D$42,'Assumptions'!$C$26+('Assumptions'!$D$42-'Assumptions'!$C$26)*0.9000),'Assumptions'!$D$42)*'Scenario'!$J$89</f>
        <v/>
      </c>
      <c r="L90" s="17">
        <f>IF(ISNUMBER('Assumptions'!$C$26),CHOOSE(Method,'Assumptions'!$C$26,'Assumptions'!$D$42,'Assumptions'!$C$26+('Assumptions'!$D$42-'Assumptions'!$C$26)*1.0000),'Assumptions'!$D$42)*'Scenario'!$K$89</f>
        <v/>
      </c>
    </row>
    <row r="91">
      <c r="A91" s="22" t="inlineStr">
        <is>
          <t>int_inc</t>
        </is>
      </c>
      <c r="B91" s="17" t="n">
        <v>0</v>
      </c>
      <c r="C91" s="17">
        <f>'Assumptions'!$D$46*'Scenario'!$B$106</f>
        <v/>
      </c>
      <c r="D91" s="17">
        <f>'Assumptions'!$D$46*'Scenario'!$C$106</f>
        <v/>
      </c>
      <c r="E91" s="17">
        <f>'Assumptions'!$D$46*'Scenario'!$D$106</f>
        <v/>
      </c>
      <c r="F91" s="17">
        <f>'Assumptions'!$D$46*'Scenario'!$E$106</f>
        <v/>
      </c>
      <c r="G91" s="17">
        <f>'Assumptions'!$D$46*'Scenario'!$F$106</f>
        <v/>
      </c>
      <c r="H91" s="17">
        <f>'Assumptions'!$D$46*'Scenario'!$G$106</f>
        <v/>
      </c>
      <c r="I91" s="17">
        <f>'Assumptions'!$D$46*'Scenario'!$H$106</f>
        <v/>
      </c>
      <c r="J91" s="17">
        <f>'Assumptions'!$D$46*'Scenario'!$I$106</f>
        <v/>
      </c>
      <c r="K91" s="17">
        <f>'Assumptions'!$D$46*'Scenario'!$J$106</f>
        <v/>
      </c>
      <c r="L91" s="17">
        <f>'Assumptions'!$D$46*'Scenario'!$K$106</f>
        <v/>
      </c>
    </row>
    <row r="92">
      <c r="A92" s="22" t="inlineStr">
        <is>
          <t>pretax</t>
        </is>
      </c>
      <c r="B92" s="17">
        <f>'Historical'!$K$18</f>
        <v/>
      </c>
      <c r="C92" s="17">
        <f>'Scenario'!$C$87-'Scenario'!$C$90+'Scenario'!$C$91</f>
        <v/>
      </c>
      <c r="D92" s="17">
        <f>'Scenario'!$D$87-'Scenario'!$D$90+'Scenario'!$D$91</f>
        <v/>
      </c>
      <c r="E92" s="17">
        <f>'Scenario'!$E$87-'Scenario'!$E$90+'Scenario'!$E$91</f>
        <v/>
      </c>
      <c r="F92" s="17">
        <f>'Scenario'!$F$87-'Scenario'!$F$90+'Scenario'!$F$91</f>
        <v/>
      </c>
      <c r="G92" s="17">
        <f>'Scenario'!$G$87-'Scenario'!$G$90+'Scenario'!$G$91</f>
        <v/>
      </c>
      <c r="H92" s="17">
        <f>'Scenario'!$H$87-'Scenario'!$H$90+'Scenario'!$H$91</f>
        <v/>
      </c>
      <c r="I92" s="17">
        <f>'Scenario'!$I$87-'Scenario'!$I$90+'Scenario'!$I$91</f>
        <v/>
      </c>
      <c r="J92" s="17">
        <f>'Scenario'!$J$87-'Scenario'!$J$90+'Scenario'!$J$91</f>
        <v/>
      </c>
      <c r="K92" s="17">
        <f>'Scenario'!$K$87-'Scenario'!$K$90+'Scenario'!$K$91</f>
        <v/>
      </c>
      <c r="L92" s="17">
        <f>'Scenario'!$L$87-'Scenario'!$L$90+'Scenario'!$L$91</f>
        <v/>
      </c>
    </row>
    <row r="93">
      <c r="A93" s="22" t="inlineStr">
        <is>
          <t>tax</t>
        </is>
      </c>
      <c r="B93" s="17">
        <f>'Historical'!$K$19</f>
        <v/>
      </c>
      <c r="C93" s="17">
        <f>IF(ISNUMBER('Assumptions'!$C$17),CHOOSE(Method,'Assumptions'!$C$17,'Assumptions'!$D$33,'Assumptions'!$C$17+('Assumptions'!$D$33-'Assumptions'!$C$17)*0.1000),'Assumptions'!$D$33)*'Scenario'!$C$92</f>
        <v/>
      </c>
      <c r="D93" s="17">
        <f>IF(ISNUMBER('Assumptions'!$C$17),CHOOSE(Method,'Assumptions'!$C$17,'Assumptions'!$D$33,'Assumptions'!$C$17+('Assumptions'!$D$33-'Assumptions'!$C$17)*0.2000),'Assumptions'!$D$33)*'Scenario'!$D$92</f>
        <v/>
      </c>
      <c r="E93" s="17">
        <f>IF(ISNUMBER('Assumptions'!$C$17),CHOOSE(Method,'Assumptions'!$C$17,'Assumptions'!$D$33,'Assumptions'!$C$17+('Assumptions'!$D$33-'Assumptions'!$C$17)*0.3000),'Assumptions'!$D$33)*'Scenario'!$E$92</f>
        <v/>
      </c>
      <c r="F93" s="17">
        <f>IF(ISNUMBER('Assumptions'!$C$17),CHOOSE(Method,'Assumptions'!$C$17,'Assumptions'!$D$33,'Assumptions'!$C$17+('Assumptions'!$D$33-'Assumptions'!$C$17)*0.4000),'Assumptions'!$D$33)*'Scenario'!$F$92</f>
        <v/>
      </c>
      <c r="G93" s="17">
        <f>IF(ISNUMBER('Assumptions'!$C$17),CHOOSE(Method,'Assumptions'!$C$17,'Assumptions'!$D$33,'Assumptions'!$C$17+('Assumptions'!$D$33-'Assumptions'!$C$17)*0.5000),'Assumptions'!$D$33)*'Scenario'!$G$92</f>
        <v/>
      </c>
      <c r="H93" s="17">
        <f>IF(ISNUMBER('Assumptions'!$C$17),CHOOSE(Method,'Assumptions'!$C$17,'Assumptions'!$D$33,'Assumptions'!$C$17+('Assumptions'!$D$33-'Assumptions'!$C$17)*0.6000),'Assumptions'!$D$33)*'Scenario'!$H$92</f>
        <v/>
      </c>
      <c r="I93" s="17">
        <f>IF(ISNUMBER('Assumptions'!$C$17),CHOOSE(Method,'Assumptions'!$C$17,'Assumptions'!$D$33,'Assumptions'!$C$17+('Assumptions'!$D$33-'Assumptions'!$C$17)*0.7000),'Assumptions'!$D$33)*'Scenario'!$I$92</f>
        <v/>
      </c>
      <c r="J93" s="17">
        <f>IF(ISNUMBER('Assumptions'!$C$17),CHOOSE(Method,'Assumptions'!$C$17,'Assumptions'!$D$33,'Assumptions'!$C$17+('Assumptions'!$D$33-'Assumptions'!$C$17)*0.8000),'Assumptions'!$D$33)*'Scenario'!$J$92</f>
        <v/>
      </c>
      <c r="K93" s="17">
        <f>IF(ISNUMBER('Assumptions'!$C$17),CHOOSE(Method,'Assumptions'!$C$17,'Assumptions'!$D$33,'Assumptions'!$C$17+('Assumptions'!$D$33-'Assumptions'!$C$17)*0.9000),'Assumptions'!$D$33)*'Scenario'!$K$92</f>
        <v/>
      </c>
      <c r="L93" s="17">
        <f>IF(ISNUMBER('Assumptions'!$C$17),CHOOSE(Method,'Assumptions'!$C$17,'Assumptions'!$D$33,'Assumptions'!$C$17+('Assumptions'!$D$33-'Assumptions'!$C$17)*1.0000),'Assumptions'!$D$33)*'Scenario'!$L$92</f>
        <v/>
      </c>
    </row>
    <row r="94">
      <c r="A94" s="22" t="inlineStr">
        <is>
          <t>ni</t>
        </is>
      </c>
      <c r="B94" s="17">
        <f>'Historical'!$K$20</f>
        <v/>
      </c>
      <c r="C94" s="17">
        <f>'Scenario'!$C$92-'Scenario'!$C$93</f>
        <v/>
      </c>
      <c r="D94" s="17">
        <f>'Scenario'!$D$92-'Scenario'!$D$93</f>
        <v/>
      </c>
      <c r="E94" s="17">
        <f>'Scenario'!$E$92-'Scenario'!$E$93</f>
        <v/>
      </c>
      <c r="F94" s="17">
        <f>'Scenario'!$F$92-'Scenario'!$F$93</f>
        <v/>
      </c>
      <c r="G94" s="17">
        <f>'Scenario'!$G$92-'Scenario'!$G$93</f>
        <v/>
      </c>
      <c r="H94" s="17">
        <f>'Scenario'!$H$92-'Scenario'!$H$93</f>
        <v/>
      </c>
      <c r="I94" s="17">
        <f>'Scenario'!$I$92-'Scenario'!$I$93</f>
        <v/>
      </c>
      <c r="J94" s="17">
        <f>'Scenario'!$J$92-'Scenario'!$J$93</f>
        <v/>
      </c>
      <c r="K94" s="17">
        <f>'Scenario'!$K$92-'Scenario'!$K$93</f>
        <v/>
      </c>
      <c r="L94" s="17">
        <f>'Scenario'!$L$92-'Scenario'!$L$93</f>
        <v/>
      </c>
    </row>
    <row r="95">
      <c r="A95" s="22" t="inlineStr">
        <is>
          <t>recv</t>
        </is>
      </c>
      <c r="B95" s="17">
        <f>'Historical'!$K$23</f>
        <v/>
      </c>
      <c r="C95" s="17">
        <f>IF(ISNUMBER('Assumptions'!$C$18),CHOOSE(Method,'Assumptions'!$C$18,'Assumptions'!$D$34,'Assumptions'!$C$18+('Assumptions'!$D$34-'Assumptions'!$C$18)*0.1000),'Assumptions'!$D$34)/365*'Scenario'!$C$83</f>
        <v/>
      </c>
      <c r="D95" s="17">
        <f>IF(ISNUMBER('Assumptions'!$C$18),CHOOSE(Method,'Assumptions'!$C$18,'Assumptions'!$D$34,'Assumptions'!$C$18+('Assumptions'!$D$34-'Assumptions'!$C$18)*0.2000),'Assumptions'!$D$34)/365*'Scenario'!$D$83</f>
        <v/>
      </c>
      <c r="E95" s="17">
        <f>IF(ISNUMBER('Assumptions'!$C$18),CHOOSE(Method,'Assumptions'!$C$18,'Assumptions'!$D$34,'Assumptions'!$C$18+('Assumptions'!$D$34-'Assumptions'!$C$18)*0.3000),'Assumptions'!$D$34)/365*'Scenario'!$E$83</f>
        <v/>
      </c>
      <c r="F95" s="17">
        <f>IF(ISNUMBER('Assumptions'!$C$18),CHOOSE(Method,'Assumptions'!$C$18,'Assumptions'!$D$34,'Assumptions'!$C$18+('Assumptions'!$D$34-'Assumptions'!$C$18)*0.4000),'Assumptions'!$D$34)/365*'Scenario'!$F$83</f>
        <v/>
      </c>
      <c r="G95" s="17">
        <f>IF(ISNUMBER('Assumptions'!$C$18),CHOOSE(Method,'Assumptions'!$C$18,'Assumptions'!$D$34,'Assumptions'!$C$18+('Assumptions'!$D$34-'Assumptions'!$C$18)*0.5000),'Assumptions'!$D$34)/365*'Scenario'!$G$83</f>
        <v/>
      </c>
      <c r="H95" s="17">
        <f>IF(ISNUMBER('Assumptions'!$C$18),CHOOSE(Method,'Assumptions'!$C$18,'Assumptions'!$D$34,'Assumptions'!$C$18+('Assumptions'!$D$34-'Assumptions'!$C$18)*0.6000),'Assumptions'!$D$34)/365*'Scenario'!$H$83</f>
        <v/>
      </c>
      <c r="I95" s="17">
        <f>IF(ISNUMBER('Assumptions'!$C$18),CHOOSE(Method,'Assumptions'!$C$18,'Assumptions'!$D$34,'Assumptions'!$C$18+('Assumptions'!$D$34-'Assumptions'!$C$18)*0.7000),'Assumptions'!$D$34)/365*'Scenario'!$I$83</f>
        <v/>
      </c>
      <c r="J95" s="17">
        <f>IF(ISNUMBER('Assumptions'!$C$18),CHOOSE(Method,'Assumptions'!$C$18,'Assumptions'!$D$34,'Assumptions'!$C$18+('Assumptions'!$D$34-'Assumptions'!$C$18)*0.8000),'Assumptions'!$D$34)/365*'Scenario'!$J$83</f>
        <v/>
      </c>
      <c r="K95" s="17">
        <f>IF(ISNUMBER('Assumptions'!$C$18),CHOOSE(Method,'Assumptions'!$C$18,'Assumptions'!$D$34,'Assumptions'!$C$18+('Assumptions'!$D$34-'Assumptions'!$C$18)*0.9000),'Assumptions'!$D$34)/365*'Scenario'!$K$83</f>
        <v/>
      </c>
      <c r="L95" s="17">
        <f>IF(ISNUMBER('Assumptions'!$C$18),CHOOSE(Method,'Assumptions'!$C$18,'Assumptions'!$D$34,'Assumptions'!$C$18+('Assumptions'!$D$34-'Assumptions'!$C$18)*1.0000),'Assumptions'!$D$34)/365*'Scenario'!$L$83</f>
        <v/>
      </c>
    </row>
    <row r="96">
      <c r="A96" s="22" t="inlineStr">
        <is>
          <t>inv</t>
        </is>
      </c>
      <c r="B96" s="17">
        <f>'Historical'!$K$24</f>
        <v/>
      </c>
      <c r="C96" s="17">
        <f>IF(ISNUMBER('Assumptions'!$C$19),CHOOSE(Method,'Assumptions'!$C$19,'Assumptions'!$D$35,'Assumptions'!$C$19+('Assumptions'!$D$35-'Assumptions'!$C$19)*0.1000),'Assumptions'!$D$35)/365*'Scenario'!$C$84</f>
        <v/>
      </c>
      <c r="D96" s="17">
        <f>IF(ISNUMBER('Assumptions'!$C$19),CHOOSE(Method,'Assumptions'!$C$19,'Assumptions'!$D$35,'Assumptions'!$C$19+('Assumptions'!$D$35-'Assumptions'!$C$19)*0.2000),'Assumptions'!$D$35)/365*'Scenario'!$D$84</f>
        <v/>
      </c>
      <c r="E96" s="17">
        <f>IF(ISNUMBER('Assumptions'!$C$19),CHOOSE(Method,'Assumptions'!$C$19,'Assumptions'!$D$35,'Assumptions'!$C$19+('Assumptions'!$D$35-'Assumptions'!$C$19)*0.3000),'Assumptions'!$D$35)/365*'Scenario'!$E$84</f>
        <v/>
      </c>
      <c r="F96" s="17">
        <f>IF(ISNUMBER('Assumptions'!$C$19),CHOOSE(Method,'Assumptions'!$C$19,'Assumptions'!$D$35,'Assumptions'!$C$19+('Assumptions'!$D$35-'Assumptions'!$C$19)*0.4000),'Assumptions'!$D$35)/365*'Scenario'!$F$84</f>
        <v/>
      </c>
      <c r="G96" s="17">
        <f>IF(ISNUMBER('Assumptions'!$C$19),CHOOSE(Method,'Assumptions'!$C$19,'Assumptions'!$D$35,'Assumptions'!$C$19+('Assumptions'!$D$35-'Assumptions'!$C$19)*0.5000),'Assumptions'!$D$35)/365*'Scenario'!$G$84</f>
        <v/>
      </c>
      <c r="H96" s="17">
        <f>IF(ISNUMBER('Assumptions'!$C$19),CHOOSE(Method,'Assumptions'!$C$19,'Assumptions'!$D$35,'Assumptions'!$C$19+('Assumptions'!$D$35-'Assumptions'!$C$19)*0.6000),'Assumptions'!$D$35)/365*'Scenario'!$H$84</f>
        <v/>
      </c>
      <c r="I96" s="17">
        <f>IF(ISNUMBER('Assumptions'!$C$19),CHOOSE(Method,'Assumptions'!$C$19,'Assumptions'!$D$35,'Assumptions'!$C$19+('Assumptions'!$D$35-'Assumptions'!$C$19)*0.7000),'Assumptions'!$D$35)/365*'Scenario'!$I$84</f>
        <v/>
      </c>
      <c r="J96" s="17">
        <f>IF(ISNUMBER('Assumptions'!$C$19),CHOOSE(Method,'Assumptions'!$C$19,'Assumptions'!$D$35,'Assumptions'!$C$19+('Assumptions'!$D$35-'Assumptions'!$C$19)*0.8000),'Assumptions'!$D$35)/365*'Scenario'!$J$84</f>
        <v/>
      </c>
      <c r="K96" s="17">
        <f>IF(ISNUMBER('Assumptions'!$C$19),CHOOSE(Method,'Assumptions'!$C$19,'Assumptions'!$D$35,'Assumptions'!$C$19+('Assumptions'!$D$35-'Assumptions'!$C$19)*0.9000),'Assumptions'!$D$35)/365*'Scenario'!$K$84</f>
        <v/>
      </c>
      <c r="L96" s="17">
        <f>IF(ISNUMBER('Assumptions'!$C$19),CHOOSE(Method,'Assumptions'!$C$19,'Assumptions'!$D$35,'Assumptions'!$C$19+('Assumptions'!$D$35-'Assumptions'!$C$19)*1.0000),'Assumptions'!$D$35)/365*'Scenario'!$L$84</f>
        <v/>
      </c>
    </row>
    <row r="97">
      <c r="A97" s="22" t="inlineStr">
        <is>
          <t>oca</t>
        </is>
      </c>
      <c r="B97" s="17">
        <f>'Historical'!$K$25</f>
        <v/>
      </c>
      <c r="C97" s="17">
        <f>IFERROR('Scenario'!$C$83*'Historical'!$K$25/'Historical'!$K$10,0)</f>
        <v/>
      </c>
      <c r="D97" s="17">
        <f>IFERROR('Scenario'!$D$83*'Historical'!$K$25/'Historical'!$K$10,0)</f>
        <v/>
      </c>
      <c r="E97" s="17">
        <f>IFERROR('Scenario'!$E$83*'Historical'!$K$25/'Historical'!$K$10,0)</f>
        <v/>
      </c>
      <c r="F97" s="17">
        <f>IFERROR('Scenario'!$F$83*'Historical'!$K$25/'Historical'!$K$10,0)</f>
        <v/>
      </c>
      <c r="G97" s="17">
        <f>IFERROR('Scenario'!$G$83*'Historical'!$K$25/'Historical'!$K$10,0)</f>
        <v/>
      </c>
      <c r="H97" s="17">
        <f>IFERROR('Scenario'!$H$83*'Historical'!$K$25/'Historical'!$K$10,0)</f>
        <v/>
      </c>
      <c r="I97" s="17">
        <f>IFERROR('Scenario'!$I$83*'Historical'!$K$25/'Historical'!$K$10,0)</f>
        <v/>
      </c>
      <c r="J97" s="17">
        <f>IFERROR('Scenario'!$J$83*'Historical'!$K$25/'Historical'!$K$10,0)</f>
        <v/>
      </c>
      <c r="K97" s="17">
        <f>IFERROR('Scenario'!$K$83*'Historical'!$K$25/'Historical'!$K$10,0)</f>
        <v/>
      </c>
      <c r="L97" s="17">
        <f>IFERROR('Scenario'!$L$83*'Historical'!$K$25/'Historical'!$K$10,0)</f>
        <v/>
      </c>
    </row>
    <row r="98">
      <c r="A98" s="22" t="inlineStr">
        <is>
          <t>pay</t>
        </is>
      </c>
      <c r="B98" s="17">
        <f>'Historical'!$K$31</f>
        <v/>
      </c>
      <c r="C98" s="17">
        <f>IF(ISNUMBER('Assumptions'!$C$20),CHOOSE(Method,'Assumptions'!$C$20,'Assumptions'!$D$36,'Assumptions'!$C$20+('Assumptions'!$D$36-'Assumptions'!$C$20)*0.1000),'Assumptions'!$D$36)/365*'Scenario'!$C$84</f>
        <v/>
      </c>
      <c r="D98" s="17">
        <f>IF(ISNUMBER('Assumptions'!$C$20),CHOOSE(Method,'Assumptions'!$C$20,'Assumptions'!$D$36,'Assumptions'!$C$20+('Assumptions'!$D$36-'Assumptions'!$C$20)*0.2000),'Assumptions'!$D$36)/365*'Scenario'!$D$84</f>
        <v/>
      </c>
      <c r="E98" s="17">
        <f>IF(ISNUMBER('Assumptions'!$C$20),CHOOSE(Method,'Assumptions'!$C$20,'Assumptions'!$D$36,'Assumptions'!$C$20+('Assumptions'!$D$36-'Assumptions'!$C$20)*0.3000),'Assumptions'!$D$36)/365*'Scenario'!$E$84</f>
        <v/>
      </c>
      <c r="F98" s="17">
        <f>IF(ISNUMBER('Assumptions'!$C$20),CHOOSE(Method,'Assumptions'!$C$20,'Assumptions'!$D$36,'Assumptions'!$C$20+('Assumptions'!$D$36-'Assumptions'!$C$20)*0.4000),'Assumptions'!$D$36)/365*'Scenario'!$F$84</f>
        <v/>
      </c>
      <c r="G98" s="17">
        <f>IF(ISNUMBER('Assumptions'!$C$20),CHOOSE(Method,'Assumptions'!$C$20,'Assumptions'!$D$36,'Assumptions'!$C$20+('Assumptions'!$D$36-'Assumptions'!$C$20)*0.5000),'Assumptions'!$D$36)/365*'Scenario'!$G$84</f>
        <v/>
      </c>
      <c r="H98" s="17">
        <f>IF(ISNUMBER('Assumptions'!$C$20),CHOOSE(Method,'Assumptions'!$C$20,'Assumptions'!$D$36,'Assumptions'!$C$20+('Assumptions'!$D$36-'Assumptions'!$C$20)*0.6000),'Assumptions'!$D$36)/365*'Scenario'!$H$84</f>
        <v/>
      </c>
      <c r="I98" s="17">
        <f>IF(ISNUMBER('Assumptions'!$C$20),CHOOSE(Method,'Assumptions'!$C$20,'Assumptions'!$D$36,'Assumptions'!$C$20+('Assumptions'!$D$36-'Assumptions'!$C$20)*0.7000),'Assumptions'!$D$36)/365*'Scenario'!$I$84</f>
        <v/>
      </c>
      <c r="J98" s="17">
        <f>IF(ISNUMBER('Assumptions'!$C$20),CHOOSE(Method,'Assumptions'!$C$20,'Assumptions'!$D$36,'Assumptions'!$C$20+('Assumptions'!$D$36-'Assumptions'!$C$20)*0.8000),'Assumptions'!$D$36)/365*'Scenario'!$J$84</f>
        <v/>
      </c>
      <c r="K98" s="17">
        <f>IF(ISNUMBER('Assumptions'!$C$20),CHOOSE(Method,'Assumptions'!$C$20,'Assumptions'!$D$36,'Assumptions'!$C$20+('Assumptions'!$D$36-'Assumptions'!$C$20)*0.9000),'Assumptions'!$D$36)/365*'Scenario'!$K$84</f>
        <v/>
      </c>
      <c r="L98" s="17">
        <f>IF(ISNUMBER('Assumptions'!$C$20),CHOOSE(Method,'Assumptions'!$C$20,'Assumptions'!$D$36,'Assumptions'!$C$20+('Assumptions'!$D$36-'Assumptions'!$C$20)*1.0000),'Assumptions'!$D$36)/365*'Scenario'!$L$84</f>
        <v/>
      </c>
    </row>
    <row r="99">
      <c r="A99" s="22" t="inlineStr">
        <is>
          <t>otherL</t>
        </is>
      </c>
      <c r="B99" s="17">
        <f>'Historical'!$K$34</f>
        <v/>
      </c>
      <c r="C99" s="17">
        <f>IF(ISNUMBER('Assumptions'!$C$25),CHOOSE(Method,'Assumptions'!$C$25,'Assumptions'!$D$41,'Assumptions'!$C$25+('Assumptions'!$D$41-'Assumptions'!$C$25)*0.1000),'Assumptions'!$D$41)*'Scenario'!$C$83</f>
        <v/>
      </c>
      <c r="D99" s="17">
        <f>IF(ISNUMBER('Assumptions'!$C$25),CHOOSE(Method,'Assumptions'!$C$25,'Assumptions'!$D$41,'Assumptions'!$C$25+('Assumptions'!$D$41-'Assumptions'!$C$25)*0.2000),'Assumptions'!$D$41)*'Scenario'!$D$83</f>
        <v/>
      </c>
      <c r="E99" s="17">
        <f>IF(ISNUMBER('Assumptions'!$C$25),CHOOSE(Method,'Assumptions'!$C$25,'Assumptions'!$D$41,'Assumptions'!$C$25+('Assumptions'!$D$41-'Assumptions'!$C$25)*0.3000),'Assumptions'!$D$41)*'Scenario'!$E$83</f>
        <v/>
      </c>
      <c r="F99" s="17">
        <f>IF(ISNUMBER('Assumptions'!$C$25),CHOOSE(Method,'Assumptions'!$C$25,'Assumptions'!$D$41,'Assumptions'!$C$25+('Assumptions'!$D$41-'Assumptions'!$C$25)*0.4000),'Assumptions'!$D$41)*'Scenario'!$F$83</f>
        <v/>
      </c>
      <c r="G99" s="17">
        <f>IF(ISNUMBER('Assumptions'!$C$25),CHOOSE(Method,'Assumptions'!$C$25,'Assumptions'!$D$41,'Assumptions'!$C$25+('Assumptions'!$D$41-'Assumptions'!$C$25)*0.5000),'Assumptions'!$D$41)*'Scenario'!$G$83</f>
        <v/>
      </c>
      <c r="H99" s="17">
        <f>IF(ISNUMBER('Assumptions'!$C$25),CHOOSE(Method,'Assumptions'!$C$25,'Assumptions'!$D$41,'Assumptions'!$C$25+('Assumptions'!$D$41-'Assumptions'!$C$25)*0.6000),'Assumptions'!$D$41)*'Scenario'!$H$83</f>
        <v/>
      </c>
      <c r="I99" s="17">
        <f>IF(ISNUMBER('Assumptions'!$C$25),CHOOSE(Method,'Assumptions'!$C$25,'Assumptions'!$D$41,'Assumptions'!$C$25+('Assumptions'!$D$41-'Assumptions'!$C$25)*0.7000),'Assumptions'!$D$41)*'Scenario'!$I$83</f>
        <v/>
      </c>
      <c r="J99" s="17">
        <f>IF(ISNUMBER('Assumptions'!$C$25),CHOOSE(Method,'Assumptions'!$C$25,'Assumptions'!$D$41,'Assumptions'!$C$25+('Assumptions'!$D$41-'Assumptions'!$C$25)*0.8000),'Assumptions'!$D$41)*'Scenario'!$J$83</f>
        <v/>
      </c>
      <c r="K99" s="17">
        <f>IF(ISNUMBER('Assumptions'!$C$25),CHOOSE(Method,'Assumptions'!$C$25,'Assumptions'!$D$41,'Assumptions'!$C$25+('Assumptions'!$D$41-'Assumptions'!$C$25)*0.9000),'Assumptions'!$D$41)*'Scenario'!$K$83</f>
        <v/>
      </c>
      <c r="L99" s="17">
        <f>IF(ISNUMBER('Assumptions'!$C$25),CHOOSE(Method,'Assumptions'!$C$25,'Assumptions'!$D$41,'Assumptions'!$C$25+('Assumptions'!$D$41-'Assumptions'!$C$25)*1.0000),'Assumptions'!$D$41)*'Scenario'!$L$83</f>
        <v/>
      </c>
    </row>
    <row r="100">
      <c r="A100" s="22" t="inlineStr">
        <is>
          <t>oa</t>
        </is>
      </c>
      <c r="B100" s="17">
        <f>'Historical'!$K$28</f>
        <v/>
      </c>
      <c r="C100" s="17">
        <f>IF(ISNUMBER('Assumptions'!$C$24),CHOOSE(Method,'Assumptions'!$C$24,'Assumptions'!$D$40,'Assumptions'!$C$24+('Assumptions'!$D$40-'Assumptions'!$C$24)*0.1000),'Assumptions'!$D$40)*'Scenario'!$C$83</f>
        <v/>
      </c>
      <c r="D100" s="17">
        <f>IF(ISNUMBER('Assumptions'!$C$24),CHOOSE(Method,'Assumptions'!$C$24,'Assumptions'!$D$40,'Assumptions'!$C$24+('Assumptions'!$D$40-'Assumptions'!$C$24)*0.2000),'Assumptions'!$D$40)*'Scenario'!$D$83</f>
        <v/>
      </c>
      <c r="E100" s="17">
        <f>IF(ISNUMBER('Assumptions'!$C$24),CHOOSE(Method,'Assumptions'!$C$24,'Assumptions'!$D$40,'Assumptions'!$C$24+('Assumptions'!$D$40-'Assumptions'!$C$24)*0.3000),'Assumptions'!$D$40)*'Scenario'!$E$83</f>
        <v/>
      </c>
      <c r="F100" s="17">
        <f>IF(ISNUMBER('Assumptions'!$C$24),CHOOSE(Method,'Assumptions'!$C$24,'Assumptions'!$D$40,'Assumptions'!$C$24+('Assumptions'!$D$40-'Assumptions'!$C$24)*0.4000),'Assumptions'!$D$40)*'Scenario'!$F$83</f>
        <v/>
      </c>
      <c r="G100" s="17">
        <f>IF(ISNUMBER('Assumptions'!$C$24),CHOOSE(Method,'Assumptions'!$C$24,'Assumptions'!$D$40,'Assumptions'!$C$24+('Assumptions'!$D$40-'Assumptions'!$C$24)*0.5000),'Assumptions'!$D$40)*'Scenario'!$G$83</f>
        <v/>
      </c>
      <c r="H100" s="17">
        <f>IF(ISNUMBER('Assumptions'!$C$24),CHOOSE(Method,'Assumptions'!$C$24,'Assumptions'!$D$40,'Assumptions'!$C$24+('Assumptions'!$D$40-'Assumptions'!$C$24)*0.6000),'Assumptions'!$D$40)*'Scenario'!$H$83</f>
        <v/>
      </c>
      <c r="I100" s="17">
        <f>IF(ISNUMBER('Assumptions'!$C$24),CHOOSE(Method,'Assumptions'!$C$24,'Assumptions'!$D$40,'Assumptions'!$C$24+('Assumptions'!$D$40-'Assumptions'!$C$24)*0.7000),'Assumptions'!$D$40)*'Scenario'!$I$83</f>
        <v/>
      </c>
      <c r="J100" s="17">
        <f>IF(ISNUMBER('Assumptions'!$C$24),CHOOSE(Method,'Assumptions'!$C$24,'Assumptions'!$D$40,'Assumptions'!$C$24+('Assumptions'!$D$40-'Assumptions'!$C$24)*0.8000),'Assumptions'!$D$40)*'Scenario'!$J$83</f>
        <v/>
      </c>
      <c r="K100" s="17">
        <f>IF(ISNUMBER('Assumptions'!$C$24),CHOOSE(Method,'Assumptions'!$C$24,'Assumptions'!$D$40,'Assumptions'!$C$24+('Assumptions'!$D$40-'Assumptions'!$C$24)*0.9000),'Assumptions'!$D$40)*'Scenario'!$K$83</f>
        <v/>
      </c>
      <c r="L100" s="17">
        <f>IF(ISNUMBER('Assumptions'!$C$24),CHOOSE(Method,'Assumptions'!$C$24,'Assumptions'!$D$40,'Assumptions'!$C$24+('Assumptions'!$D$40-'Assumptions'!$C$24)*1.0000),'Assumptions'!$D$40)*'Scenario'!$L$83</f>
        <v/>
      </c>
    </row>
    <row r="101">
      <c r="A101" s="22" t="inlineStr">
        <is>
          <t>dwc</t>
        </is>
      </c>
      <c r="B101" s="17" t="n">
        <v>0</v>
      </c>
      <c r="C101" s="17">
        <f>('Scenario'!$C$95-'Scenario'!$B$95)+('Scenario'!$C$96-'Scenario'!$B$96)+('Scenario'!$C$97-'Scenario'!$B$97)-('Scenario'!$C$98-'Scenario'!$B$98)-('Scenario'!$C$99-'Scenario'!$B$99)</f>
        <v/>
      </c>
      <c r="D101" s="17">
        <f>('Scenario'!$D$95-'Scenario'!$C$95)+('Scenario'!$D$96-'Scenario'!$C$96)+('Scenario'!$D$97-'Scenario'!$C$97)-('Scenario'!$D$98-'Scenario'!$C$98)-('Scenario'!$D$99-'Scenario'!$C$99)</f>
        <v/>
      </c>
      <c r="E101" s="17">
        <f>('Scenario'!$E$95-'Scenario'!$D$95)+('Scenario'!$E$96-'Scenario'!$D$96)+('Scenario'!$E$97-'Scenario'!$D$97)-('Scenario'!$E$98-'Scenario'!$D$98)-('Scenario'!$E$99-'Scenario'!$D$99)</f>
        <v/>
      </c>
      <c r="F101" s="17">
        <f>('Scenario'!$F$95-'Scenario'!$E$95)+('Scenario'!$F$96-'Scenario'!$E$96)+('Scenario'!$F$97-'Scenario'!$E$97)-('Scenario'!$F$98-'Scenario'!$E$98)-('Scenario'!$F$99-'Scenario'!$E$99)</f>
        <v/>
      </c>
      <c r="G101" s="17">
        <f>('Scenario'!$G$95-'Scenario'!$F$95)+('Scenario'!$G$96-'Scenario'!$F$96)+('Scenario'!$G$97-'Scenario'!$F$97)-('Scenario'!$G$98-'Scenario'!$F$98)-('Scenario'!$G$99-'Scenario'!$F$99)</f>
        <v/>
      </c>
      <c r="H101" s="17">
        <f>('Scenario'!$H$95-'Scenario'!$G$95)+('Scenario'!$H$96-'Scenario'!$G$96)+('Scenario'!$H$97-'Scenario'!$G$97)-('Scenario'!$H$98-'Scenario'!$G$98)-('Scenario'!$H$99-'Scenario'!$G$99)</f>
        <v/>
      </c>
      <c r="I101" s="17">
        <f>('Scenario'!$I$95-'Scenario'!$H$95)+('Scenario'!$I$96-'Scenario'!$H$96)+('Scenario'!$I$97-'Scenario'!$H$97)-('Scenario'!$I$98-'Scenario'!$H$98)-('Scenario'!$I$99-'Scenario'!$H$99)</f>
        <v/>
      </c>
      <c r="J101" s="17">
        <f>('Scenario'!$J$95-'Scenario'!$I$95)+('Scenario'!$J$96-'Scenario'!$I$96)+('Scenario'!$J$97-'Scenario'!$I$97)-('Scenario'!$J$98-'Scenario'!$I$98)-('Scenario'!$J$99-'Scenario'!$I$99)</f>
        <v/>
      </c>
      <c r="K101" s="17">
        <f>('Scenario'!$K$95-'Scenario'!$J$95)+('Scenario'!$K$96-'Scenario'!$J$96)+('Scenario'!$K$97-'Scenario'!$J$97)-('Scenario'!$K$98-'Scenario'!$J$98)-('Scenario'!$K$99-'Scenario'!$J$99)</f>
        <v/>
      </c>
      <c r="L101" s="17">
        <f>('Scenario'!$L$95-'Scenario'!$K$95)+('Scenario'!$L$96-'Scenario'!$K$96)+('Scenario'!$L$97-'Scenario'!$K$97)-('Scenario'!$L$98-'Scenario'!$K$98)-('Scenario'!$L$99-'Scenario'!$K$99)</f>
        <v/>
      </c>
    </row>
    <row r="102">
      <c r="A102" s="22" t="inlineStr">
        <is>
          <t>capex</t>
        </is>
      </c>
      <c r="B102" s="17">
        <f>'Historical'!$K$41</f>
        <v/>
      </c>
      <c r="C102" s="17">
        <f>IF(ISNUMBER('Assumptions'!$C$21),CHOOSE(Method,'Assumptions'!$C$21,'Assumptions'!$D$37,'Assumptions'!$C$21+('Assumptions'!$D$37-'Assumptions'!$C$21)*0.1000),'Assumptions'!$D$37)*'Scenario'!$C$83</f>
        <v/>
      </c>
      <c r="D102" s="17">
        <f>IF(ISNUMBER('Assumptions'!$C$21),CHOOSE(Method,'Assumptions'!$C$21,'Assumptions'!$D$37,'Assumptions'!$C$21+('Assumptions'!$D$37-'Assumptions'!$C$21)*0.2000),'Assumptions'!$D$37)*'Scenario'!$D$83</f>
        <v/>
      </c>
      <c r="E102" s="17">
        <f>IF(ISNUMBER('Assumptions'!$C$21),CHOOSE(Method,'Assumptions'!$C$21,'Assumptions'!$D$37,'Assumptions'!$C$21+('Assumptions'!$D$37-'Assumptions'!$C$21)*0.3000),'Assumptions'!$D$37)*'Scenario'!$E$83</f>
        <v/>
      </c>
      <c r="F102" s="17">
        <f>IF(ISNUMBER('Assumptions'!$C$21),CHOOSE(Method,'Assumptions'!$C$21,'Assumptions'!$D$37,'Assumptions'!$C$21+('Assumptions'!$D$37-'Assumptions'!$C$21)*0.4000),'Assumptions'!$D$37)*'Scenario'!$F$83</f>
        <v/>
      </c>
      <c r="G102" s="17">
        <f>IF(ISNUMBER('Assumptions'!$C$21),CHOOSE(Method,'Assumptions'!$C$21,'Assumptions'!$D$37,'Assumptions'!$C$21+('Assumptions'!$D$37-'Assumptions'!$C$21)*0.5000),'Assumptions'!$D$37)*'Scenario'!$G$83</f>
        <v/>
      </c>
      <c r="H102" s="17">
        <f>IF(ISNUMBER('Assumptions'!$C$21),CHOOSE(Method,'Assumptions'!$C$21,'Assumptions'!$D$37,'Assumptions'!$C$21+('Assumptions'!$D$37-'Assumptions'!$C$21)*0.6000),'Assumptions'!$D$37)*'Scenario'!$H$83</f>
        <v/>
      </c>
      <c r="I102" s="17">
        <f>IF(ISNUMBER('Assumptions'!$C$21),CHOOSE(Method,'Assumptions'!$C$21,'Assumptions'!$D$37,'Assumptions'!$C$21+('Assumptions'!$D$37-'Assumptions'!$C$21)*0.7000),'Assumptions'!$D$37)*'Scenario'!$I$83</f>
        <v/>
      </c>
      <c r="J102" s="17">
        <f>IF(ISNUMBER('Assumptions'!$C$21),CHOOSE(Method,'Assumptions'!$C$21,'Assumptions'!$D$37,'Assumptions'!$C$21+('Assumptions'!$D$37-'Assumptions'!$C$21)*0.8000),'Assumptions'!$D$37)*'Scenario'!$J$83</f>
        <v/>
      </c>
      <c r="K102" s="17">
        <f>IF(ISNUMBER('Assumptions'!$C$21),CHOOSE(Method,'Assumptions'!$C$21,'Assumptions'!$D$37,'Assumptions'!$C$21+('Assumptions'!$D$37-'Assumptions'!$C$21)*0.9000),'Assumptions'!$D$37)*'Scenario'!$K$83</f>
        <v/>
      </c>
      <c r="L102" s="17">
        <f>IF(ISNUMBER('Assumptions'!$C$21),CHOOSE(Method,'Assumptions'!$C$21,'Assumptions'!$D$37,'Assumptions'!$C$21+('Assumptions'!$D$37-'Assumptions'!$C$21)*1.0000),'Assumptions'!$D$37)*'Scenario'!$L$83</f>
        <v/>
      </c>
    </row>
    <row r="103">
      <c r="A103" s="22" t="inlineStr">
        <is>
          <t>cfo</t>
        </is>
      </c>
      <c r="B103" s="17">
        <f>'Historical'!$K$40</f>
        <v/>
      </c>
      <c r="C103" s="17">
        <f>'Scenario'!$C$94+'Scenario'!$C$86-'Scenario'!$C$101</f>
        <v/>
      </c>
      <c r="D103" s="17">
        <f>'Scenario'!$D$94+'Scenario'!$D$86-'Scenario'!$D$101</f>
        <v/>
      </c>
      <c r="E103" s="17">
        <f>'Scenario'!$E$94+'Scenario'!$E$86-'Scenario'!$E$101</f>
        <v/>
      </c>
      <c r="F103" s="17">
        <f>'Scenario'!$F$94+'Scenario'!$F$86-'Scenario'!$F$101</f>
        <v/>
      </c>
      <c r="G103" s="17">
        <f>'Scenario'!$G$94+'Scenario'!$G$86-'Scenario'!$G$101</f>
        <v/>
      </c>
      <c r="H103" s="17">
        <f>'Scenario'!$H$94+'Scenario'!$H$86-'Scenario'!$H$101</f>
        <v/>
      </c>
      <c r="I103" s="17">
        <f>'Scenario'!$I$94+'Scenario'!$I$86-'Scenario'!$I$101</f>
        <v/>
      </c>
      <c r="J103" s="17">
        <f>'Scenario'!$J$94+'Scenario'!$J$86-'Scenario'!$J$101</f>
        <v/>
      </c>
      <c r="K103" s="17">
        <f>'Scenario'!$K$94+'Scenario'!$K$86-'Scenario'!$K$101</f>
        <v/>
      </c>
      <c r="L103" s="17">
        <f>'Scenario'!$L$94+'Scenario'!$L$86-'Scenario'!$L$101</f>
        <v/>
      </c>
    </row>
    <row r="104">
      <c r="A104" s="22" t="inlineStr">
        <is>
          <t>fcf</t>
        </is>
      </c>
      <c r="B104" s="17">
        <f>'Historical'!$K$42</f>
        <v/>
      </c>
      <c r="C104" s="17">
        <f>'Scenario'!$C$103-'Scenario'!$C$102</f>
        <v/>
      </c>
      <c r="D104" s="17">
        <f>'Scenario'!$D$103-'Scenario'!$D$102</f>
        <v/>
      </c>
      <c r="E104" s="17">
        <f>'Scenario'!$E$103-'Scenario'!$E$102</f>
        <v/>
      </c>
      <c r="F104" s="17">
        <f>'Scenario'!$F$103-'Scenario'!$F$102</f>
        <v/>
      </c>
      <c r="G104" s="17">
        <f>'Scenario'!$G$103-'Scenario'!$G$102</f>
        <v/>
      </c>
      <c r="H104" s="17">
        <f>'Scenario'!$H$103-'Scenario'!$H$102</f>
        <v/>
      </c>
      <c r="I104" s="17">
        <f>'Scenario'!$I$103-'Scenario'!$I$102</f>
        <v/>
      </c>
      <c r="J104" s="17">
        <f>'Scenario'!$J$103-'Scenario'!$J$102</f>
        <v/>
      </c>
      <c r="K104" s="17">
        <f>'Scenario'!$K$103-'Scenario'!$K$102</f>
        <v/>
      </c>
      <c r="L104" s="17">
        <f>'Scenario'!$L$103-'Scenario'!$L$102</f>
        <v/>
      </c>
    </row>
    <row r="105">
      <c r="A105" s="22" t="inlineStr">
        <is>
          <t>dividends</t>
        </is>
      </c>
      <c r="B105" s="17" t="n">
        <v>0</v>
      </c>
      <c r="C105" s="17">
        <f>'Assumptions'!$D$43*MAX(0,'Scenario'!$C$94)</f>
        <v/>
      </c>
      <c r="D105" s="17">
        <f>'Assumptions'!$D$43*MAX(0,'Scenario'!$D$94)</f>
        <v/>
      </c>
      <c r="E105" s="17">
        <f>'Assumptions'!$D$43*MAX(0,'Scenario'!$E$94)</f>
        <v/>
      </c>
      <c r="F105" s="17">
        <f>'Assumptions'!$D$43*MAX(0,'Scenario'!$F$94)</f>
        <v/>
      </c>
      <c r="G105" s="17">
        <f>'Assumptions'!$D$43*MAX(0,'Scenario'!$G$94)</f>
        <v/>
      </c>
      <c r="H105" s="17">
        <f>'Assumptions'!$D$43*MAX(0,'Scenario'!$H$94)</f>
        <v/>
      </c>
      <c r="I105" s="17">
        <f>'Assumptions'!$D$43*MAX(0,'Scenario'!$I$94)</f>
        <v/>
      </c>
      <c r="J105" s="17">
        <f>'Assumptions'!$D$43*MAX(0,'Scenario'!$J$94)</f>
        <v/>
      </c>
      <c r="K105" s="17">
        <f>'Assumptions'!$D$43*MAX(0,'Scenario'!$K$94)</f>
        <v/>
      </c>
      <c r="L105" s="17">
        <f>'Assumptions'!$D$43*MAX(0,'Scenario'!$L$94)</f>
        <v/>
      </c>
    </row>
    <row r="106">
      <c r="A106" s="22" t="inlineStr">
        <is>
          <t>cash</t>
        </is>
      </c>
      <c r="B106" s="17">
        <f>'Historical'!$K$22</f>
        <v/>
      </c>
      <c r="C106" s="17">
        <f>'Scenario'!$B$106+'Scenario'!$C$103-'Scenario'!$C$102-('Scenario'!$C$100-'Scenario'!$B$100)+'Assumptions'!$D$45-'Assumptions'!$D$44*'Scenario'!$B$88-'Scenario'!$C$105</f>
        <v/>
      </c>
      <c r="D106" s="17">
        <f>'Scenario'!$C$106+'Scenario'!$D$103-'Scenario'!$D$102-('Scenario'!$D$100-'Scenario'!$C$100)+'Assumptions'!$D$45-'Assumptions'!$D$44*'Scenario'!$C$88-'Scenario'!$D$105</f>
        <v/>
      </c>
      <c r="E106" s="17">
        <f>'Scenario'!$D$106+'Scenario'!$E$103-'Scenario'!$E$102-('Scenario'!$E$100-'Scenario'!$D$100)+'Assumptions'!$D$45-'Assumptions'!$D$44*'Scenario'!$D$88-'Scenario'!$E$105</f>
        <v/>
      </c>
      <c r="F106" s="17">
        <f>'Scenario'!$E$106+'Scenario'!$F$103-'Scenario'!$F$102-('Scenario'!$F$100-'Scenario'!$E$100)+'Assumptions'!$D$45-'Assumptions'!$D$44*'Scenario'!$E$88-'Scenario'!$F$105</f>
        <v/>
      </c>
      <c r="G106" s="17">
        <f>'Scenario'!$F$106+'Scenario'!$G$103-'Scenario'!$G$102-('Scenario'!$G$100-'Scenario'!$F$100)+'Assumptions'!$D$45-'Assumptions'!$D$44*'Scenario'!$F$88-'Scenario'!$G$105</f>
        <v/>
      </c>
      <c r="H106" s="17">
        <f>'Scenario'!$G$106+'Scenario'!$H$103-'Scenario'!$H$102-('Scenario'!$H$100-'Scenario'!$G$100)+'Assumptions'!$D$45-'Assumptions'!$D$44*'Scenario'!$G$88-'Scenario'!$H$105</f>
        <v/>
      </c>
      <c r="I106" s="17">
        <f>'Scenario'!$H$106+'Scenario'!$I$103-'Scenario'!$I$102-('Scenario'!$I$100-'Scenario'!$H$100)+'Assumptions'!$D$45-'Assumptions'!$D$44*'Scenario'!$H$88-'Scenario'!$I$105</f>
        <v/>
      </c>
      <c r="J106" s="17">
        <f>'Scenario'!$I$106+'Scenario'!$J$103-'Scenario'!$J$102-('Scenario'!$J$100-'Scenario'!$I$100)+'Assumptions'!$D$45-'Assumptions'!$D$44*'Scenario'!$I$88-'Scenario'!$J$105</f>
        <v/>
      </c>
      <c r="K106" s="17">
        <f>'Scenario'!$J$106+'Scenario'!$K$103-'Scenario'!$K$102-('Scenario'!$K$100-'Scenario'!$J$100)+'Assumptions'!$D$45-'Assumptions'!$D$44*'Scenario'!$J$88-'Scenario'!$K$105</f>
        <v/>
      </c>
      <c r="L106" s="17">
        <f>'Scenario'!$K$106+'Scenario'!$L$103-'Scenario'!$L$102-('Scenario'!$L$100-'Scenario'!$K$100)+'Assumptions'!$D$45-'Assumptions'!$D$44*'Scenario'!$K$88-'Scenario'!$L$105</f>
        <v/>
      </c>
    </row>
    <row r="107">
      <c r="A107" s="22" t="inlineStr">
        <is>
          <t>equity</t>
        </is>
      </c>
      <c r="B107" s="17">
        <f>'Historical'!$K$36</f>
        <v/>
      </c>
      <c r="C107" s="17">
        <f>'Scenario'!$B$107+'Scenario'!$C$94-'Scenario'!$C$105</f>
        <v/>
      </c>
      <c r="D107" s="17">
        <f>'Scenario'!$C$107+'Scenario'!$D$94-'Scenario'!$D$105</f>
        <v/>
      </c>
      <c r="E107" s="17">
        <f>'Scenario'!$D$107+'Scenario'!$E$94-'Scenario'!$E$105</f>
        <v/>
      </c>
      <c r="F107" s="17">
        <f>'Scenario'!$E$107+'Scenario'!$F$94-'Scenario'!$F$105</f>
        <v/>
      </c>
      <c r="G107" s="17">
        <f>'Scenario'!$F$107+'Scenario'!$G$94-'Scenario'!$G$105</f>
        <v/>
      </c>
      <c r="H107" s="17">
        <f>'Scenario'!$G$107+'Scenario'!$H$94-'Scenario'!$H$105</f>
        <v/>
      </c>
      <c r="I107" s="17">
        <f>'Scenario'!$H$107+'Scenario'!$I$94-'Scenario'!$I$105</f>
        <v/>
      </c>
      <c r="J107" s="17">
        <f>'Scenario'!$I$107+'Scenario'!$J$94-'Scenario'!$J$105</f>
        <v/>
      </c>
      <c r="K107" s="17">
        <f>'Scenario'!$J$107+'Scenario'!$K$94-'Scenario'!$K$105</f>
        <v/>
      </c>
      <c r="L107" s="17">
        <f>'Scenario'!$K$107+'Scenario'!$L$94-'Scenario'!$L$105</f>
        <v/>
      </c>
    </row>
    <row r="108">
      <c r="A108" s="22" t="inlineStr">
        <is>
          <t>nopat</t>
        </is>
      </c>
      <c r="B108" s="17" t="n">
        <v>0</v>
      </c>
      <c r="C108" s="17">
        <f>'Scenario'!$C$87*(1-IF(ISNUMBER('Assumptions'!$C$17),CHOOSE(Method,'Assumptions'!$C$17,'Assumptions'!$D$33,'Assumptions'!$C$17+('Assumptions'!$D$33-'Assumptions'!$C$17)*0.1000),'Assumptions'!$D$33))</f>
        <v/>
      </c>
      <c r="D108" s="17">
        <f>'Scenario'!$D$87*(1-IF(ISNUMBER('Assumptions'!$C$17),CHOOSE(Method,'Assumptions'!$C$17,'Assumptions'!$D$33,'Assumptions'!$C$17+('Assumptions'!$D$33-'Assumptions'!$C$17)*0.2000),'Assumptions'!$D$33))</f>
        <v/>
      </c>
      <c r="E108" s="17">
        <f>'Scenario'!$E$87*(1-IF(ISNUMBER('Assumptions'!$C$17),CHOOSE(Method,'Assumptions'!$C$17,'Assumptions'!$D$33,'Assumptions'!$C$17+('Assumptions'!$D$33-'Assumptions'!$C$17)*0.3000),'Assumptions'!$D$33))</f>
        <v/>
      </c>
      <c r="F108" s="17">
        <f>'Scenario'!$F$87*(1-IF(ISNUMBER('Assumptions'!$C$17),CHOOSE(Method,'Assumptions'!$C$17,'Assumptions'!$D$33,'Assumptions'!$C$17+('Assumptions'!$D$33-'Assumptions'!$C$17)*0.4000),'Assumptions'!$D$33))</f>
        <v/>
      </c>
      <c r="G108" s="17">
        <f>'Scenario'!$G$87*(1-IF(ISNUMBER('Assumptions'!$C$17),CHOOSE(Method,'Assumptions'!$C$17,'Assumptions'!$D$33,'Assumptions'!$C$17+('Assumptions'!$D$33-'Assumptions'!$C$17)*0.5000),'Assumptions'!$D$33))</f>
        <v/>
      </c>
      <c r="H108" s="17">
        <f>'Scenario'!$H$87*(1-IF(ISNUMBER('Assumptions'!$C$17),CHOOSE(Method,'Assumptions'!$C$17,'Assumptions'!$D$33,'Assumptions'!$C$17+('Assumptions'!$D$33-'Assumptions'!$C$17)*0.6000),'Assumptions'!$D$33))</f>
        <v/>
      </c>
      <c r="I108" s="17">
        <f>'Scenario'!$I$87*(1-IF(ISNUMBER('Assumptions'!$C$17),CHOOSE(Method,'Assumptions'!$C$17,'Assumptions'!$D$33,'Assumptions'!$C$17+('Assumptions'!$D$33-'Assumptions'!$C$17)*0.7000),'Assumptions'!$D$33))</f>
        <v/>
      </c>
      <c r="J108" s="17">
        <f>'Scenario'!$J$87*(1-IF(ISNUMBER('Assumptions'!$C$17),CHOOSE(Method,'Assumptions'!$C$17,'Assumptions'!$D$33,'Assumptions'!$C$17+('Assumptions'!$D$33-'Assumptions'!$C$17)*0.8000),'Assumptions'!$D$33))</f>
        <v/>
      </c>
      <c r="K108" s="17">
        <f>'Scenario'!$K$87*(1-IF(ISNUMBER('Assumptions'!$C$17),CHOOSE(Method,'Assumptions'!$C$17,'Assumptions'!$D$33,'Assumptions'!$C$17+('Assumptions'!$D$33-'Assumptions'!$C$17)*0.9000),'Assumptions'!$D$33))</f>
        <v/>
      </c>
      <c r="L108" s="17">
        <f>'Scenario'!$L$87*(1-IF(ISNUMBER('Assumptions'!$C$17),CHOOSE(Method,'Assumptions'!$C$17,'Assumptions'!$D$33,'Assumptions'!$C$17+('Assumptions'!$D$33-'Assumptions'!$C$17)*1.0000),'Assumptions'!$D$33))</f>
        <v/>
      </c>
    </row>
    <row r="109">
      <c r="A109" s="22" t="inlineStr">
        <is>
          <t>ic</t>
        </is>
      </c>
      <c r="B109" s="17">
        <f>'Historical'!$K$46</f>
        <v/>
      </c>
      <c r="C109" s="17">
        <f>'Scenario'!$C$107+'Scenario'!$C$89-'Scenario'!$C$106</f>
        <v/>
      </c>
      <c r="D109" s="17">
        <f>'Scenario'!$D$107+'Scenario'!$D$89-'Scenario'!$D$106</f>
        <v/>
      </c>
      <c r="E109" s="17">
        <f>'Scenario'!$E$107+'Scenario'!$E$89-'Scenario'!$E$106</f>
        <v/>
      </c>
      <c r="F109" s="17">
        <f>'Scenario'!$F$107+'Scenario'!$F$89-'Scenario'!$F$106</f>
        <v/>
      </c>
      <c r="G109" s="17">
        <f>'Scenario'!$G$107+'Scenario'!$G$89-'Scenario'!$G$106</f>
        <v/>
      </c>
      <c r="H109" s="17">
        <f>'Scenario'!$H$107+'Scenario'!$H$89-'Scenario'!$H$106</f>
        <v/>
      </c>
      <c r="I109" s="17">
        <f>'Scenario'!$I$107+'Scenario'!$I$89-'Scenario'!$I$106</f>
        <v/>
      </c>
      <c r="J109" s="17">
        <f>'Scenario'!$J$107+'Scenario'!$J$89-'Scenario'!$J$106</f>
        <v/>
      </c>
      <c r="K109" s="17">
        <f>'Scenario'!$K$107+'Scenario'!$K$89-'Scenario'!$K$106</f>
        <v/>
      </c>
      <c r="L109" s="17">
        <f>'Scenario'!$L$107+'Scenario'!$L$89-'Scenario'!$L$106</f>
        <v/>
      </c>
    </row>
  </sheetData>
  <mergeCells count="8">
    <mergeCell ref="A81:L81"/>
    <mergeCell ref="A2:L2"/>
    <mergeCell ref="A51:L51"/>
    <mergeCell ref="A1:L1"/>
    <mergeCell ref="A7:D7"/>
    <mergeCell ref="A19:D19"/>
    <mergeCell ref="A3:L3"/>
    <mergeCell ref="A21:L21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SENSITIVITY ANALYSIS</t>
        </is>
      </c>
    </row>
    <row r="2">
      <c r="A2" s="2" t="inlineStr">
        <is>
          <t>Terminal-year outputs across key assumptions (live formula grids)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Each cell recomputes the terminal-year output with a transparent constant-growth model. Centre = base assumptions.</t>
        </is>
      </c>
    </row>
    <row r="9" ht="20" customHeight="1">
      <c r="A9" s="5" t="inlineStr">
        <is>
          <t>Revenue growth (down) × EBITDA margin (across) → terminal EBITDA</t>
        </is>
      </c>
    </row>
    <row r="10">
      <c r="A10" s="14" t="inlineStr">
        <is>
          <t>EBITDA</t>
        </is>
      </c>
      <c r="B10" s="35">
        <f>'Assumptions'!$C$32-0.02</f>
        <v/>
      </c>
      <c r="C10" s="35">
        <f>'Assumptions'!$C$32-0.01</f>
        <v/>
      </c>
      <c r="D10" s="35">
        <f>'Assumptions'!$C$32+0</f>
        <v/>
      </c>
      <c r="E10" s="35">
        <f>'Assumptions'!$C$32+0.01</f>
        <v/>
      </c>
      <c r="F10" s="35">
        <f>'Assumptions'!$C$32+0.02</f>
        <v/>
      </c>
    </row>
    <row r="11">
      <c r="A11" s="35">
        <f>'Assumptions'!$C$30-0.02</f>
        <v/>
      </c>
      <c r="B11" s="17">
        <f>IFERROR('Historical'!$K$10*(1+$A$11)^10*$B$10,"")</f>
        <v/>
      </c>
      <c r="C11" s="17">
        <f>IFERROR('Historical'!$K$10*(1+$A$11)^10*$C$10,"")</f>
        <v/>
      </c>
      <c r="D11" s="17">
        <f>IFERROR('Historical'!$K$10*(1+$A$11)^10*$D$10,"")</f>
        <v/>
      </c>
      <c r="E11" s="17">
        <f>IFERROR('Historical'!$K$10*(1+$A$11)^10*$E$10,"")</f>
        <v/>
      </c>
      <c r="F11" s="17">
        <f>IFERROR('Historical'!$K$10*(1+$A$11)^10*$F$10,"")</f>
        <v/>
      </c>
    </row>
    <row r="12">
      <c r="A12" s="35">
        <f>'Assumptions'!$C$30-0.01</f>
        <v/>
      </c>
      <c r="B12" s="17">
        <f>IFERROR('Historical'!$K$10*(1+$A$12)^10*$B$10,"")</f>
        <v/>
      </c>
      <c r="C12" s="17">
        <f>IFERROR('Historical'!$K$10*(1+$A$12)^10*$C$10,"")</f>
        <v/>
      </c>
      <c r="D12" s="17">
        <f>IFERROR('Historical'!$K$10*(1+$A$12)^10*$D$10,"")</f>
        <v/>
      </c>
      <c r="E12" s="17">
        <f>IFERROR('Historical'!$K$10*(1+$A$12)^10*$E$10,"")</f>
        <v/>
      </c>
      <c r="F12" s="17">
        <f>IFERROR('Historical'!$K$10*(1+$A$12)^10*$F$10,"")</f>
        <v/>
      </c>
    </row>
    <row r="13">
      <c r="A13" s="35">
        <f>'Assumptions'!$C$30+0</f>
        <v/>
      </c>
      <c r="B13" s="17">
        <f>IFERROR('Historical'!$K$10*(1+$A$13)^10*$B$10,"")</f>
        <v/>
      </c>
      <c r="C13" s="17">
        <f>IFERROR('Historical'!$K$10*(1+$A$13)^10*$C$10,"")</f>
        <v/>
      </c>
      <c r="D13" s="36">
        <f>IFERROR('Historical'!$K$10*(1+$A$13)^10*$D$10,"")</f>
        <v/>
      </c>
      <c r="E13" s="17">
        <f>IFERROR('Historical'!$K$10*(1+$A$13)^10*$E$10,"")</f>
        <v/>
      </c>
      <c r="F13" s="17">
        <f>IFERROR('Historical'!$K$10*(1+$A$13)^10*$F$10,"")</f>
        <v/>
      </c>
    </row>
    <row r="14">
      <c r="A14" s="35">
        <f>'Assumptions'!$C$30+0.01</f>
        <v/>
      </c>
      <c r="B14" s="17">
        <f>IFERROR('Historical'!$K$10*(1+$A$14)^10*$B$10,"")</f>
        <v/>
      </c>
      <c r="C14" s="17">
        <f>IFERROR('Historical'!$K$10*(1+$A$14)^10*$C$10,"")</f>
        <v/>
      </c>
      <c r="D14" s="17">
        <f>IFERROR('Historical'!$K$10*(1+$A$14)^10*$D$10,"")</f>
        <v/>
      </c>
      <c r="E14" s="17">
        <f>IFERROR('Historical'!$K$10*(1+$A$14)^10*$E$10,"")</f>
        <v/>
      </c>
      <c r="F14" s="17">
        <f>IFERROR('Historical'!$K$10*(1+$A$14)^10*$F$10,"")</f>
        <v/>
      </c>
    </row>
    <row r="15">
      <c r="A15" s="35">
        <f>'Assumptions'!$C$30+0.02</f>
        <v/>
      </c>
      <c r="B15" s="17">
        <f>IFERROR('Historical'!$K$10*(1+$A$15)^10*$B$10,"")</f>
        <v/>
      </c>
      <c r="C15" s="17">
        <f>IFERROR('Historical'!$K$10*(1+$A$15)^10*$C$10,"")</f>
        <v/>
      </c>
      <c r="D15" s="17">
        <f>IFERROR('Historical'!$K$10*(1+$A$15)^10*$D$10,"")</f>
        <v/>
      </c>
      <c r="E15" s="17">
        <f>IFERROR('Historical'!$K$10*(1+$A$15)^10*$E$10,"")</f>
        <v/>
      </c>
      <c r="F15" s="17">
        <f>IFERROR('Historical'!$K$10*(1+$A$15)^10*$F$10,"")</f>
        <v/>
      </c>
    </row>
    <row r="17" ht="20" customHeight="1">
      <c r="A17" s="5" t="inlineStr">
        <is>
          <t>Revenue growth × EBITDA margin → terminal Net income</t>
        </is>
      </c>
    </row>
    <row r="18">
      <c r="A18" s="14" t="inlineStr">
        <is>
          <t>Net income</t>
        </is>
      </c>
      <c r="B18" s="35">
        <f>'Assumptions'!$C$32-0.02</f>
        <v/>
      </c>
      <c r="C18" s="35">
        <f>'Assumptions'!$C$32-0.01</f>
        <v/>
      </c>
      <c r="D18" s="35">
        <f>'Assumptions'!$C$32+0</f>
        <v/>
      </c>
      <c r="E18" s="35">
        <f>'Assumptions'!$C$32+0.01</f>
        <v/>
      </c>
      <c r="F18" s="35">
        <f>'Assumptions'!$C$32+0.02</f>
        <v/>
      </c>
    </row>
    <row r="19">
      <c r="A19" s="35">
        <f>'Assumptions'!$C$30-0.02</f>
        <v/>
      </c>
      <c r="B19" s="17">
        <f>IFERROR(('Historical'!$K$10*(1+$A$19)^10*$B$18-'Historical'!$K$10*(1+$A$19)^10*'Assumptions'!$C$38-'Assumptions'!$C$42*'Historical'!$K$44)*(1-'Assumptions'!$C$33),"")</f>
        <v/>
      </c>
      <c r="C19" s="17">
        <f>IFERROR(('Historical'!$K$10*(1+$A$19)^10*$C$18-'Historical'!$K$10*(1+$A$19)^10*'Assumptions'!$C$38-'Assumptions'!$C$42*'Historical'!$K$44)*(1-'Assumptions'!$C$33),"")</f>
        <v/>
      </c>
      <c r="D19" s="17">
        <f>IFERROR(('Historical'!$K$10*(1+$A$19)^10*$D$18-'Historical'!$K$10*(1+$A$19)^10*'Assumptions'!$C$38-'Assumptions'!$C$42*'Historical'!$K$44)*(1-'Assumptions'!$C$33),"")</f>
        <v/>
      </c>
      <c r="E19" s="17">
        <f>IFERROR(('Historical'!$K$10*(1+$A$19)^10*$E$18-'Historical'!$K$10*(1+$A$19)^10*'Assumptions'!$C$38-'Assumptions'!$C$42*'Historical'!$K$44)*(1-'Assumptions'!$C$33),"")</f>
        <v/>
      </c>
      <c r="F19" s="17">
        <f>IFERROR(('Historical'!$K$10*(1+$A$19)^10*$F$18-'Historical'!$K$10*(1+$A$19)^10*'Assumptions'!$C$38-'Assumptions'!$C$42*'Historical'!$K$44)*(1-'Assumptions'!$C$33),"")</f>
        <v/>
      </c>
    </row>
    <row r="20">
      <c r="A20" s="35">
        <f>'Assumptions'!$C$30-0.01</f>
        <v/>
      </c>
      <c r="B20" s="17">
        <f>IFERROR(('Historical'!$K$10*(1+$A$20)^10*$B$18-'Historical'!$K$10*(1+$A$20)^10*'Assumptions'!$C$38-'Assumptions'!$C$42*'Historical'!$K$44)*(1-'Assumptions'!$C$33),"")</f>
        <v/>
      </c>
      <c r="C20" s="17">
        <f>IFERROR(('Historical'!$K$10*(1+$A$20)^10*$C$18-'Historical'!$K$10*(1+$A$20)^10*'Assumptions'!$C$38-'Assumptions'!$C$42*'Historical'!$K$44)*(1-'Assumptions'!$C$33),"")</f>
        <v/>
      </c>
      <c r="D20" s="17">
        <f>IFERROR(('Historical'!$K$10*(1+$A$20)^10*$D$18-'Historical'!$K$10*(1+$A$20)^10*'Assumptions'!$C$38-'Assumptions'!$C$42*'Historical'!$K$44)*(1-'Assumptions'!$C$33),"")</f>
        <v/>
      </c>
      <c r="E20" s="17">
        <f>IFERROR(('Historical'!$K$10*(1+$A$20)^10*$E$18-'Historical'!$K$10*(1+$A$20)^10*'Assumptions'!$C$38-'Assumptions'!$C$42*'Historical'!$K$44)*(1-'Assumptions'!$C$33),"")</f>
        <v/>
      </c>
      <c r="F20" s="17">
        <f>IFERROR(('Historical'!$K$10*(1+$A$20)^10*$F$18-'Historical'!$K$10*(1+$A$20)^10*'Assumptions'!$C$38-'Assumptions'!$C$42*'Historical'!$K$44)*(1-'Assumptions'!$C$33),"")</f>
        <v/>
      </c>
    </row>
    <row r="21">
      <c r="A21" s="35">
        <f>'Assumptions'!$C$30+0</f>
        <v/>
      </c>
      <c r="B21" s="17">
        <f>IFERROR(('Historical'!$K$10*(1+$A$21)^10*$B$18-'Historical'!$K$10*(1+$A$21)^10*'Assumptions'!$C$38-'Assumptions'!$C$42*'Historical'!$K$44)*(1-'Assumptions'!$C$33),"")</f>
        <v/>
      </c>
      <c r="C21" s="17">
        <f>IFERROR(('Historical'!$K$10*(1+$A$21)^10*$C$18-'Historical'!$K$10*(1+$A$21)^10*'Assumptions'!$C$38-'Assumptions'!$C$42*'Historical'!$K$44)*(1-'Assumptions'!$C$33),"")</f>
        <v/>
      </c>
      <c r="D21" s="36">
        <f>IFERROR(('Historical'!$K$10*(1+$A$21)^10*$D$18-'Historical'!$K$10*(1+$A$21)^10*'Assumptions'!$C$38-'Assumptions'!$C$42*'Historical'!$K$44)*(1-'Assumptions'!$C$33),"")</f>
        <v/>
      </c>
      <c r="E21" s="17">
        <f>IFERROR(('Historical'!$K$10*(1+$A$21)^10*$E$18-'Historical'!$K$10*(1+$A$21)^10*'Assumptions'!$C$38-'Assumptions'!$C$42*'Historical'!$K$44)*(1-'Assumptions'!$C$33),"")</f>
        <v/>
      </c>
      <c r="F21" s="17">
        <f>IFERROR(('Historical'!$K$10*(1+$A$21)^10*$F$18-'Historical'!$K$10*(1+$A$21)^10*'Assumptions'!$C$38-'Assumptions'!$C$42*'Historical'!$K$44)*(1-'Assumptions'!$C$33),"")</f>
        <v/>
      </c>
    </row>
    <row r="22">
      <c r="A22" s="35">
        <f>'Assumptions'!$C$30+0.01</f>
        <v/>
      </c>
      <c r="B22" s="17">
        <f>IFERROR(('Historical'!$K$10*(1+$A$22)^10*$B$18-'Historical'!$K$10*(1+$A$22)^10*'Assumptions'!$C$38-'Assumptions'!$C$42*'Historical'!$K$44)*(1-'Assumptions'!$C$33),"")</f>
        <v/>
      </c>
      <c r="C22" s="17">
        <f>IFERROR(('Historical'!$K$10*(1+$A$22)^10*$C$18-'Historical'!$K$10*(1+$A$22)^10*'Assumptions'!$C$38-'Assumptions'!$C$42*'Historical'!$K$44)*(1-'Assumptions'!$C$33),"")</f>
        <v/>
      </c>
      <c r="D22" s="17">
        <f>IFERROR(('Historical'!$K$10*(1+$A$22)^10*$D$18-'Historical'!$K$10*(1+$A$22)^10*'Assumptions'!$C$38-'Assumptions'!$C$42*'Historical'!$K$44)*(1-'Assumptions'!$C$33),"")</f>
        <v/>
      </c>
      <c r="E22" s="17">
        <f>IFERROR(('Historical'!$K$10*(1+$A$22)^10*$E$18-'Historical'!$K$10*(1+$A$22)^10*'Assumptions'!$C$38-'Assumptions'!$C$42*'Historical'!$K$44)*(1-'Assumptions'!$C$33),"")</f>
        <v/>
      </c>
      <c r="F22" s="17">
        <f>IFERROR(('Historical'!$K$10*(1+$A$22)^10*$F$18-'Historical'!$K$10*(1+$A$22)^10*'Assumptions'!$C$38-'Assumptions'!$C$42*'Historical'!$K$44)*(1-'Assumptions'!$C$33),"")</f>
        <v/>
      </c>
    </row>
    <row r="23">
      <c r="A23" s="35">
        <f>'Assumptions'!$C$30+0.02</f>
        <v/>
      </c>
      <c r="B23" s="17">
        <f>IFERROR(('Historical'!$K$10*(1+$A$23)^10*$B$18-'Historical'!$K$10*(1+$A$23)^10*'Assumptions'!$C$38-'Assumptions'!$C$42*'Historical'!$K$44)*(1-'Assumptions'!$C$33),"")</f>
        <v/>
      </c>
      <c r="C23" s="17">
        <f>IFERROR(('Historical'!$K$10*(1+$A$23)^10*$C$18-'Historical'!$K$10*(1+$A$23)^10*'Assumptions'!$C$38-'Assumptions'!$C$42*'Historical'!$K$44)*(1-'Assumptions'!$C$33),"")</f>
        <v/>
      </c>
      <c r="D23" s="17">
        <f>IFERROR(('Historical'!$K$10*(1+$A$23)^10*$D$18-'Historical'!$K$10*(1+$A$23)^10*'Assumptions'!$C$38-'Assumptions'!$C$42*'Historical'!$K$44)*(1-'Assumptions'!$C$33),"")</f>
        <v/>
      </c>
      <c r="E23" s="17">
        <f>IFERROR(('Historical'!$K$10*(1+$A$23)^10*$E$18-'Historical'!$K$10*(1+$A$23)^10*'Assumptions'!$C$38-'Assumptions'!$C$42*'Historical'!$K$44)*(1-'Assumptions'!$C$33),"")</f>
        <v/>
      </c>
      <c r="F23" s="17">
        <f>IFERROR(('Historical'!$K$10*(1+$A$23)^10*$F$18-'Historical'!$K$10*(1+$A$23)^10*'Assumptions'!$C$38-'Assumptions'!$C$42*'Historical'!$K$44)*(1-'Assumptions'!$C$33),"")</f>
        <v/>
      </c>
    </row>
    <row r="25" ht="20" customHeight="1">
      <c r="A25" s="5" t="inlineStr">
        <is>
          <t>Revenue growth × EBITDA margin → terminal Free cash flow</t>
        </is>
      </c>
    </row>
    <row r="26">
      <c r="A26" s="14" t="inlineStr">
        <is>
          <t>FCF</t>
        </is>
      </c>
      <c r="B26" s="35">
        <f>'Assumptions'!$C$32-0.02</f>
        <v/>
      </c>
      <c r="C26" s="35">
        <f>'Assumptions'!$C$32-0.01</f>
        <v/>
      </c>
      <c r="D26" s="35">
        <f>'Assumptions'!$C$32+0</f>
        <v/>
      </c>
      <c r="E26" s="35">
        <f>'Assumptions'!$C$32+0.01</f>
        <v/>
      </c>
      <c r="F26" s="35">
        <f>'Assumptions'!$C$32+0.02</f>
        <v/>
      </c>
    </row>
    <row r="27">
      <c r="A27" s="35">
        <f>'Assumptions'!$C$30-0.02</f>
        <v/>
      </c>
      <c r="B27" s="17">
        <f>IFERROR(('Historical'!$K$10*(1+$A$27)^10*$B$26-'Historical'!$K$10*(1+$A$27)^10*'Assumptions'!$C$38-'Assumptions'!$C$42*'Historical'!$K$44)*(1-'Assumptions'!$C$33)+'Historical'!$K$10*(1+$A$27)^10*'Assumptions'!$C$38-'Historical'!$K$10*(1+$A$27)^10*'Assumptions'!$C$37,"")</f>
        <v/>
      </c>
      <c r="C27" s="17">
        <f>IFERROR(('Historical'!$K$10*(1+$A$27)^10*$C$26-'Historical'!$K$10*(1+$A$27)^10*'Assumptions'!$C$38-'Assumptions'!$C$42*'Historical'!$K$44)*(1-'Assumptions'!$C$33)+'Historical'!$K$10*(1+$A$27)^10*'Assumptions'!$C$38-'Historical'!$K$10*(1+$A$27)^10*'Assumptions'!$C$37,"")</f>
        <v/>
      </c>
      <c r="D27" s="17">
        <f>IFERROR(('Historical'!$K$10*(1+$A$27)^10*$D$26-'Historical'!$K$10*(1+$A$27)^10*'Assumptions'!$C$38-'Assumptions'!$C$42*'Historical'!$K$44)*(1-'Assumptions'!$C$33)+'Historical'!$K$10*(1+$A$27)^10*'Assumptions'!$C$38-'Historical'!$K$10*(1+$A$27)^10*'Assumptions'!$C$37,"")</f>
        <v/>
      </c>
      <c r="E27" s="17">
        <f>IFERROR(('Historical'!$K$10*(1+$A$27)^10*$E$26-'Historical'!$K$10*(1+$A$27)^10*'Assumptions'!$C$38-'Assumptions'!$C$42*'Historical'!$K$44)*(1-'Assumptions'!$C$33)+'Historical'!$K$10*(1+$A$27)^10*'Assumptions'!$C$38-'Historical'!$K$10*(1+$A$27)^10*'Assumptions'!$C$37,"")</f>
        <v/>
      </c>
      <c r="F27" s="17">
        <f>IFERROR(('Historical'!$K$10*(1+$A$27)^10*$F$26-'Historical'!$K$10*(1+$A$27)^10*'Assumptions'!$C$38-'Assumptions'!$C$42*'Historical'!$K$44)*(1-'Assumptions'!$C$33)+'Historical'!$K$10*(1+$A$27)^10*'Assumptions'!$C$38-'Historical'!$K$10*(1+$A$27)^10*'Assumptions'!$C$37,"")</f>
        <v/>
      </c>
    </row>
    <row r="28">
      <c r="A28" s="35">
        <f>'Assumptions'!$C$30-0.01</f>
        <v/>
      </c>
      <c r="B28" s="17">
        <f>IFERROR(('Historical'!$K$10*(1+$A$28)^10*$B$26-'Historical'!$K$10*(1+$A$28)^10*'Assumptions'!$C$38-'Assumptions'!$C$42*'Historical'!$K$44)*(1-'Assumptions'!$C$33)+'Historical'!$K$10*(1+$A$28)^10*'Assumptions'!$C$38-'Historical'!$K$10*(1+$A$28)^10*'Assumptions'!$C$37,"")</f>
        <v/>
      </c>
      <c r="C28" s="17">
        <f>IFERROR(('Historical'!$K$10*(1+$A$28)^10*$C$26-'Historical'!$K$10*(1+$A$28)^10*'Assumptions'!$C$38-'Assumptions'!$C$42*'Historical'!$K$44)*(1-'Assumptions'!$C$33)+'Historical'!$K$10*(1+$A$28)^10*'Assumptions'!$C$38-'Historical'!$K$10*(1+$A$28)^10*'Assumptions'!$C$37,"")</f>
        <v/>
      </c>
      <c r="D28" s="17">
        <f>IFERROR(('Historical'!$K$10*(1+$A$28)^10*$D$26-'Historical'!$K$10*(1+$A$28)^10*'Assumptions'!$C$38-'Assumptions'!$C$42*'Historical'!$K$44)*(1-'Assumptions'!$C$33)+'Historical'!$K$10*(1+$A$28)^10*'Assumptions'!$C$38-'Historical'!$K$10*(1+$A$28)^10*'Assumptions'!$C$37,"")</f>
        <v/>
      </c>
      <c r="E28" s="17">
        <f>IFERROR(('Historical'!$K$10*(1+$A$28)^10*$E$26-'Historical'!$K$10*(1+$A$28)^10*'Assumptions'!$C$38-'Assumptions'!$C$42*'Historical'!$K$44)*(1-'Assumptions'!$C$33)+'Historical'!$K$10*(1+$A$28)^10*'Assumptions'!$C$38-'Historical'!$K$10*(1+$A$28)^10*'Assumptions'!$C$37,"")</f>
        <v/>
      </c>
      <c r="F28" s="17">
        <f>IFERROR(('Historical'!$K$10*(1+$A$28)^10*$F$26-'Historical'!$K$10*(1+$A$28)^10*'Assumptions'!$C$38-'Assumptions'!$C$42*'Historical'!$K$44)*(1-'Assumptions'!$C$33)+'Historical'!$K$10*(1+$A$28)^10*'Assumptions'!$C$38-'Historical'!$K$10*(1+$A$28)^10*'Assumptions'!$C$37,"")</f>
        <v/>
      </c>
    </row>
    <row r="29">
      <c r="A29" s="35">
        <f>'Assumptions'!$C$30+0</f>
        <v/>
      </c>
      <c r="B29" s="17">
        <f>IFERROR(('Historical'!$K$10*(1+$A$29)^10*$B$26-'Historical'!$K$10*(1+$A$29)^10*'Assumptions'!$C$38-'Assumptions'!$C$42*'Historical'!$K$44)*(1-'Assumptions'!$C$33)+'Historical'!$K$10*(1+$A$29)^10*'Assumptions'!$C$38-'Historical'!$K$10*(1+$A$29)^10*'Assumptions'!$C$37,"")</f>
        <v/>
      </c>
      <c r="C29" s="17">
        <f>IFERROR(('Historical'!$K$10*(1+$A$29)^10*$C$26-'Historical'!$K$10*(1+$A$29)^10*'Assumptions'!$C$38-'Assumptions'!$C$42*'Historical'!$K$44)*(1-'Assumptions'!$C$33)+'Historical'!$K$10*(1+$A$29)^10*'Assumptions'!$C$38-'Historical'!$K$10*(1+$A$29)^10*'Assumptions'!$C$37,"")</f>
        <v/>
      </c>
      <c r="D29" s="36">
        <f>IFERROR(('Historical'!$K$10*(1+$A$29)^10*$D$26-'Historical'!$K$10*(1+$A$29)^10*'Assumptions'!$C$38-'Assumptions'!$C$42*'Historical'!$K$44)*(1-'Assumptions'!$C$33)+'Historical'!$K$10*(1+$A$29)^10*'Assumptions'!$C$38-'Historical'!$K$10*(1+$A$29)^10*'Assumptions'!$C$37,"")</f>
        <v/>
      </c>
      <c r="E29" s="17">
        <f>IFERROR(('Historical'!$K$10*(1+$A$29)^10*$E$26-'Historical'!$K$10*(1+$A$29)^10*'Assumptions'!$C$38-'Assumptions'!$C$42*'Historical'!$K$44)*(1-'Assumptions'!$C$33)+'Historical'!$K$10*(1+$A$29)^10*'Assumptions'!$C$38-'Historical'!$K$10*(1+$A$29)^10*'Assumptions'!$C$37,"")</f>
        <v/>
      </c>
      <c r="F29" s="17">
        <f>IFERROR(('Historical'!$K$10*(1+$A$29)^10*$F$26-'Historical'!$K$10*(1+$A$29)^10*'Assumptions'!$C$38-'Assumptions'!$C$42*'Historical'!$K$44)*(1-'Assumptions'!$C$33)+'Historical'!$K$10*(1+$A$29)^10*'Assumptions'!$C$38-'Historical'!$K$10*(1+$A$29)^10*'Assumptions'!$C$37,"")</f>
        <v/>
      </c>
    </row>
    <row r="30">
      <c r="A30" s="35">
        <f>'Assumptions'!$C$30+0.01</f>
        <v/>
      </c>
      <c r="B30" s="17">
        <f>IFERROR(('Historical'!$K$10*(1+$A$30)^10*$B$26-'Historical'!$K$10*(1+$A$30)^10*'Assumptions'!$C$38-'Assumptions'!$C$42*'Historical'!$K$44)*(1-'Assumptions'!$C$33)+'Historical'!$K$10*(1+$A$30)^10*'Assumptions'!$C$38-'Historical'!$K$10*(1+$A$30)^10*'Assumptions'!$C$37,"")</f>
        <v/>
      </c>
      <c r="C30" s="17">
        <f>IFERROR(('Historical'!$K$10*(1+$A$30)^10*$C$26-'Historical'!$K$10*(1+$A$30)^10*'Assumptions'!$C$38-'Assumptions'!$C$42*'Historical'!$K$44)*(1-'Assumptions'!$C$33)+'Historical'!$K$10*(1+$A$30)^10*'Assumptions'!$C$38-'Historical'!$K$10*(1+$A$30)^10*'Assumptions'!$C$37,"")</f>
        <v/>
      </c>
      <c r="D30" s="17">
        <f>IFERROR(('Historical'!$K$10*(1+$A$30)^10*$D$26-'Historical'!$K$10*(1+$A$30)^10*'Assumptions'!$C$38-'Assumptions'!$C$42*'Historical'!$K$44)*(1-'Assumptions'!$C$33)+'Historical'!$K$10*(1+$A$30)^10*'Assumptions'!$C$38-'Historical'!$K$10*(1+$A$30)^10*'Assumptions'!$C$37,"")</f>
        <v/>
      </c>
      <c r="E30" s="17">
        <f>IFERROR(('Historical'!$K$10*(1+$A$30)^10*$E$26-'Historical'!$K$10*(1+$A$30)^10*'Assumptions'!$C$38-'Assumptions'!$C$42*'Historical'!$K$44)*(1-'Assumptions'!$C$33)+'Historical'!$K$10*(1+$A$30)^10*'Assumptions'!$C$38-'Historical'!$K$10*(1+$A$30)^10*'Assumptions'!$C$37,"")</f>
        <v/>
      </c>
      <c r="F30" s="17">
        <f>IFERROR(('Historical'!$K$10*(1+$A$30)^10*$F$26-'Historical'!$K$10*(1+$A$30)^10*'Assumptions'!$C$38-'Assumptions'!$C$42*'Historical'!$K$44)*(1-'Assumptions'!$C$33)+'Historical'!$K$10*(1+$A$30)^10*'Assumptions'!$C$38-'Historical'!$K$10*(1+$A$30)^10*'Assumptions'!$C$37,"")</f>
        <v/>
      </c>
    </row>
    <row r="31">
      <c r="A31" s="35">
        <f>'Assumptions'!$C$30+0.02</f>
        <v/>
      </c>
      <c r="B31" s="17">
        <f>IFERROR(('Historical'!$K$10*(1+$A$31)^10*$B$26-'Historical'!$K$10*(1+$A$31)^10*'Assumptions'!$C$38-'Assumptions'!$C$42*'Historical'!$K$44)*(1-'Assumptions'!$C$33)+'Historical'!$K$10*(1+$A$31)^10*'Assumptions'!$C$38-'Historical'!$K$10*(1+$A$31)^10*'Assumptions'!$C$37,"")</f>
        <v/>
      </c>
      <c r="C31" s="17">
        <f>IFERROR(('Historical'!$K$10*(1+$A$31)^10*$C$26-'Historical'!$K$10*(1+$A$31)^10*'Assumptions'!$C$38-'Assumptions'!$C$42*'Historical'!$K$44)*(1-'Assumptions'!$C$33)+'Historical'!$K$10*(1+$A$31)^10*'Assumptions'!$C$38-'Historical'!$K$10*(1+$A$31)^10*'Assumptions'!$C$37,"")</f>
        <v/>
      </c>
      <c r="D31" s="17">
        <f>IFERROR(('Historical'!$K$10*(1+$A$31)^10*$D$26-'Historical'!$K$10*(1+$A$31)^10*'Assumptions'!$C$38-'Assumptions'!$C$42*'Historical'!$K$44)*(1-'Assumptions'!$C$33)+'Historical'!$K$10*(1+$A$31)^10*'Assumptions'!$C$38-'Historical'!$K$10*(1+$A$31)^10*'Assumptions'!$C$37,"")</f>
        <v/>
      </c>
      <c r="E31" s="17">
        <f>IFERROR(('Historical'!$K$10*(1+$A$31)^10*$E$26-'Historical'!$K$10*(1+$A$31)^10*'Assumptions'!$C$38-'Assumptions'!$C$42*'Historical'!$K$44)*(1-'Assumptions'!$C$33)+'Historical'!$K$10*(1+$A$31)^10*'Assumptions'!$C$38-'Historical'!$K$10*(1+$A$31)^10*'Assumptions'!$C$37,"")</f>
        <v/>
      </c>
      <c r="F31" s="17">
        <f>IFERROR(('Historical'!$K$10*(1+$A$31)^10*$F$26-'Historical'!$K$10*(1+$A$31)^10*'Assumptions'!$C$38-'Assumptions'!$C$42*'Historical'!$K$44)*(1-'Assumptions'!$C$33)+'Historical'!$K$10*(1+$A$31)^10*'Assumptions'!$C$38-'Historical'!$K$10*(1+$A$31)^10*'Assumptions'!$C$37,"")</f>
        <v/>
      </c>
    </row>
    <row r="33" ht="20" customHeight="1">
      <c r="A33" s="5" t="inlineStr">
        <is>
          <t>Revenue growth × Tax rate → terminal Net income</t>
        </is>
      </c>
    </row>
    <row r="34">
      <c r="A34" s="14" t="inlineStr">
        <is>
          <t>Net income</t>
        </is>
      </c>
      <c r="B34" s="35">
        <f>'Assumptions'!$C$33-0.04</f>
        <v/>
      </c>
      <c r="C34" s="35">
        <f>'Assumptions'!$C$33-0.02</f>
        <v/>
      </c>
      <c r="D34" s="35">
        <f>'Assumptions'!$C$33+0</f>
        <v/>
      </c>
      <c r="E34" s="35">
        <f>'Assumptions'!$C$33+0.02</f>
        <v/>
      </c>
      <c r="F34" s="35">
        <f>'Assumptions'!$C$33+0.04</f>
        <v/>
      </c>
    </row>
    <row r="35">
      <c r="A35" s="35">
        <f>'Assumptions'!$C$30-0.02</f>
        <v/>
      </c>
      <c r="B35" s="17">
        <f>IFERROR(('Historical'!$K$10*(1+$A$35)^10*'Assumptions'!$C$32-'Historical'!$K$10*(1+$A$35)^10*'Assumptions'!$C$38-'Assumptions'!$C$42*'Historical'!$K$44)*(1-$B$34),"")</f>
        <v/>
      </c>
      <c r="C35" s="17">
        <f>IFERROR(('Historical'!$K$10*(1+$A$35)^10*'Assumptions'!$C$32-'Historical'!$K$10*(1+$A$35)^10*'Assumptions'!$C$38-'Assumptions'!$C$42*'Historical'!$K$44)*(1-$C$34),"")</f>
        <v/>
      </c>
      <c r="D35" s="17">
        <f>IFERROR(('Historical'!$K$10*(1+$A$35)^10*'Assumptions'!$C$32-'Historical'!$K$10*(1+$A$35)^10*'Assumptions'!$C$38-'Assumptions'!$C$42*'Historical'!$K$44)*(1-$D$34),"")</f>
        <v/>
      </c>
      <c r="E35" s="17">
        <f>IFERROR(('Historical'!$K$10*(1+$A$35)^10*'Assumptions'!$C$32-'Historical'!$K$10*(1+$A$35)^10*'Assumptions'!$C$38-'Assumptions'!$C$42*'Historical'!$K$44)*(1-$E$34),"")</f>
        <v/>
      </c>
      <c r="F35" s="17">
        <f>IFERROR(('Historical'!$K$10*(1+$A$35)^10*'Assumptions'!$C$32-'Historical'!$K$10*(1+$A$35)^10*'Assumptions'!$C$38-'Assumptions'!$C$42*'Historical'!$K$44)*(1-$F$34),"")</f>
        <v/>
      </c>
    </row>
    <row r="36">
      <c r="A36" s="35">
        <f>'Assumptions'!$C$30-0.01</f>
        <v/>
      </c>
      <c r="B36" s="17">
        <f>IFERROR(('Historical'!$K$10*(1+$A$36)^10*'Assumptions'!$C$32-'Historical'!$K$10*(1+$A$36)^10*'Assumptions'!$C$38-'Assumptions'!$C$42*'Historical'!$K$44)*(1-$B$34),"")</f>
        <v/>
      </c>
      <c r="C36" s="17">
        <f>IFERROR(('Historical'!$K$10*(1+$A$36)^10*'Assumptions'!$C$32-'Historical'!$K$10*(1+$A$36)^10*'Assumptions'!$C$38-'Assumptions'!$C$42*'Historical'!$K$44)*(1-$C$34),"")</f>
        <v/>
      </c>
      <c r="D36" s="17">
        <f>IFERROR(('Historical'!$K$10*(1+$A$36)^10*'Assumptions'!$C$32-'Historical'!$K$10*(1+$A$36)^10*'Assumptions'!$C$38-'Assumptions'!$C$42*'Historical'!$K$44)*(1-$D$34),"")</f>
        <v/>
      </c>
      <c r="E36" s="17">
        <f>IFERROR(('Historical'!$K$10*(1+$A$36)^10*'Assumptions'!$C$32-'Historical'!$K$10*(1+$A$36)^10*'Assumptions'!$C$38-'Assumptions'!$C$42*'Historical'!$K$44)*(1-$E$34),"")</f>
        <v/>
      </c>
      <c r="F36" s="17">
        <f>IFERROR(('Historical'!$K$10*(1+$A$36)^10*'Assumptions'!$C$32-'Historical'!$K$10*(1+$A$36)^10*'Assumptions'!$C$38-'Assumptions'!$C$42*'Historical'!$K$44)*(1-$F$34),"")</f>
        <v/>
      </c>
    </row>
    <row r="37">
      <c r="A37" s="35">
        <f>'Assumptions'!$C$30+0</f>
        <v/>
      </c>
      <c r="B37" s="17">
        <f>IFERROR(('Historical'!$K$10*(1+$A$37)^10*'Assumptions'!$C$32-'Historical'!$K$10*(1+$A$37)^10*'Assumptions'!$C$38-'Assumptions'!$C$42*'Historical'!$K$44)*(1-$B$34),"")</f>
        <v/>
      </c>
      <c r="C37" s="17">
        <f>IFERROR(('Historical'!$K$10*(1+$A$37)^10*'Assumptions'!$C$32-'Historical'!$K$10*(1+$A$37)^10*'Assumptions'!$C$38-'Assumptions'!$C$42*'Historical'!$K$44)*(1-$C$34),"")</f>
        <v/>
      </c>
      <c r="D37" s="36">
        <f>IFERROR(('Historical'!$K$10*(1+$A$37)^10*'Assumptions'!$C$32-'Historical'!$K$10*(1+$A$37)^10*'Assumptions'!$C$38-'Assumptions'!$C$42*'Historical'!$K$44)*(1-$D$34),"")</f>
        <v/>
      </c>
      <c r="E37" s="17">
        <f>IFERROR(('Historical'!$K$10*(1+$A$37)^10*'Assumptions'!$C$32-'Historical'!$K$10*(1+$A$37)^10*'Assumptions'!$C$38-'Assumptions'!$C$42*'Historical'!$K$44)*(1-$E$34),"")</f>
        <v/>
      </c>
      <c r="F37" s="17">
        <f>IFERROR(('Historical'!$K$10*(1+$A$37)^10*'Assumptions'!$C$32-'Historical'!$K$10*(1+$A$37)^10*'Assumptions'!$C$38-'Assumptions'!$C$42*'Historical'!$K$44)*(1-$F$34),"")</f>
        <v/>
      </c>
    </row>
    <row r="38">
      <c r="A38" s="35">
        <f>'Assumptions'!$C$30+0.01</f>
        <v/>
      </c>
      <c r="B38" s="17">
        <f>IFERROR(('Historical'!$K$10*(1+$A$38)^10*'Assumptions'!$C$32-'Historical'!$K$10*(1+$A$38)^10*'Assumptions'!$C$38-'Assumptions'!$C$42*'Historical'!$K$44)*(1-$B$34),"")</f>
        <v/>
      </c>
      <c r="C38" s="17">
        <f>IFERROR(('Historical'!$K$10*(1+$A$38)^10*'Assumptions'!$C$32-'Historical'!$K$10*(1+$A$38)^10*'Assumptions'!$C$38-'Assumptions'!$C$42*'Historical'!$K$44)*(1-$C$34),"")</f>
        <v/>
      </c>
      <c r="D38" s="17">
        <f>IFERROR(('Historical'!$K$10*(1+$A$38)^10*'Assumptions'!$C$32-'Historical'!$K$10*(1+$A$38)^10*'Assumptions'!$C$38-'Assumptions'!$C$42*'Historical'!$K$44)*(1-$D$34),"")</f>
        <v/>
      </c>
      <c r="E38" s="17">
        <f>IFERROR(('Historical'!$K$10*(1+$A$38)^10*'Assumptions'!$C$32-'Historical'!$K$10*(1+$A$38)^10*'Assumptions'!$C$38-'Assumptions'!$C$42*'Historical'!$K$44)*(1-$E$34),"")</f>
        <v/>
      </c>
      <c r="F38" s="17">
        <f>IFERROR(('Historical'!$K$10*(1+$A$38)^10*'Assumptions'!$C$32-'Historical'!$K$10*(1+$A$38)^10*'Assumptions'!$C$38-'Assumptions'!$C$42*'Historical'!$K$44)*(1-$F$34),"")</f>
        <v/>
      </c>
    </row>
    <row r="39">
      <c r="A39" s="35">
        <f>'Assumptions'!$C$30+0.02</f>
        <v/>
      </c>
      <c r="B39" s="17">
        <f>IFERROR(('Historical'!$K$10*(1+$A$39)^10*'Assumptions'!$C$32-'Historical'!$K$10*(1+$A$39)^10*'Assumptions'!$C$38-'Assumptions'!$C$42*'Historical'!$K$44)*(1-$B$34),"")</f>
        <v/>
      </c>
      <c r="C39" s="17">
        <f>IFERROR(('Historical'!$K$10*(1+$A$39)^10*'Assumptions'!$C$32-'Historical'!$K$10*(1+$A$39)^10*'Assumptions'!$C$38-'Assumptions'!$C$42*'Historical'!$K$44)*(1-$C$34),"")</f>
        <v/>
      </c>
      <c r="D39" s="17">
        <f>IFERROR(('Historical'!$K$10*(1+$A$39)^10*'Assumptions'!$C$32-'Historical'!$K$10*(1+$A$39)^10*'Assumptions'!$C$38-'Assumptions'!$C$42*'Historical'!$K$44)*(1-$D$34),"")</f>
        <v/>
      </c>
      <c r="E39" s="17">
        <f>IFERROR(('Historical'!$K$10*(1+$A$39)^10*'Assumptions'!$C$32-'Historical'!$K$10*(1+$A$39)^10*'Assumptions'!$C$38-'Assumptions'!$C$42*'Historical'!$K$44)*(1-$E$34),"")</f>
        <v/>
      </c>
      <c r="F39" s="17">
        <f>IFERROR(('Historical'!$K$10*(1+$A$39)^10*'Assumptions'!$C$32-'Historical'!$K$10*(1+$A$39)^10*'Assumptions'!$C$38-'Assumptions'!$C$42*'Historical'!$K$44)*(1-$F$34),"")</f>
        <v/>
      </c>
    </row>
    <row r="41" ht="20" customHeight="1">
      <c r="A41" s="5" t="inlineStr">
        <is>
          <t>Revenue growth × Capex % → terminal Free cash flow</t>
        </is>
      </c>
    </row>
    <row r="42">
      <c r="A42" s="14" t="inlineStr">
        <is>
          <t>FCF</t>
        </is>
      </c>
      <c r="B42" s="35">
        <f>'Assumptions'!$C$37-0.015</f>
        <v/>
      </c>
      <c r="C42" s="35">
        <f>'Assumptions'!$C$37-0.0075</f>
        <v/>
      </c>
      <c r="D42" s="35">
        <f>'Assumptions'!$C$37+0</f>
        <v/>
      </c>
      <c r="E42" s="35">
        <f>'Assumptions'!$C$37+0.0075</f>
        <v/>
      </c>
      <c r="F42" s="35">
        <f>'Assumptions'!$C$37+0.015</f>
        <v/>
      </c>
    </row>
    <row r="43">
      <c r="A43" s="35">
        <f>'Assumptions'!$C$30-0.02</f>
        <v/>
      </c>
      <c r="B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IFERROR(('Historical'!$K$10*(1+$A$43)^10*'Assumptions'!$C$32-'Historical'!$K$10*(1+$A$43)^10*'Assumptions'!$C$38-'Assumptions'!$C$42*'Historical'!$K$44)*(1-'Assumptions'!$C$33)+'Historical'!$K$10*(1+$A$43)^10*'Assumptions'!$C$38-'Historical'!$K$10*(1+$A$43)^10*$B$42,"")</f>
        <v/>
      </c>
      <c r="C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IFERROR(('Historical'!$K$10*(1+$A$43)^10*'Assumptions'!$C$32-'Historical'!$K$10*(1+$A$43)^10*'Assumptions'!$C$38-'Assumptions'!$C$42*'Historical'!$K$44)*(1-'Assumptions'!$C$33)+'Historical'!$K$10*(1+$A$43)^10*'Assumptions'!$C$38-'Historical'!$K$10*(1+$A$43)^10*$C$42,"")</f>
        <v/>
      </c>
      <c r="D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IFERROR(('Historical'!$K$10*(1+$A$43)^10*'Assumptions'!$C$32-'Historical'!$K$10*(1+$A$43)^10*'Assumptions'!$C$38-'Assumptions'!$C$42*'Historical'!$K$44)*(1-'Assumptions'!$C$33)+'Historical'!$K$10*(1+$A$43)^10*'Assumptions'!$C$38-'Historical'!$K$10*(1+$A$43)^10*$D$42,"")</f>
        <v/>
      </c>
      <c r="E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IFERROR(('Historical'!$K$10*(1+$A$43)^10*'Assumptions'!$C$32-'Historical'!$K$10*(1+$A$43)^10*'Assumptions'!$C$38-'Assumptions'!$C$42*'Historical'!$K$44)*(1-'Assumptions'!$C$33)+'Historical'!$K$10*(1+$A$43)^10*'Assumptions'!$C$38-'Historical'!$K$10*(1+$A$43)^10*$E$42,"")</f>
        <v/>
      </c>
      <c r="F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IFERROR(('Historical'!$K$10*(1+$A$43)^10*'Assumptions'!$C$32-'Historical'!$K$10*(1+$A$43)^10*'Assumptions'!$C$38-'Assumptions'!$C$42*'Historical'!$K$44)*(1-'Assumptions'!$C$33)+'Historical'!$K$10*(1+$A$43)^10*'Assumptions'!$C$38-'Historical'!$K$10*(1+$A$43)^10*$F$42,"")</f>
        <v/>
      </c>
    </row>
    <row r="44">
      <c r="A44" s="35">
        <f>'Assumptions'!$C$30-0.01</f>
        <v/>
      </c>
      <c r="B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IFERROR(('Historical'!$K$10*(1+$A$44)^10*'Assumptions'!$C$32-'Historical'!$K$10*(1+$A$44)^10*'Assumptions'!$C$38-'Assumptions'!$C$42*'Historical'!$K$44)*(1-'Assumptions'!$C$33)+'Historical'!$K$10*(1+$A$44)^10*'Assumptions'!$C$38-'Historical'!$K$10*(1+$A$44)^10*$B$42,"")</f>
        <v/>
      </c>
      <c r="C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IFERROR(('Historical'!$K$10*(1+$A$44)^10*'Assumptions'!$C$32-'Historical'!$K$10*(1+$A$44)^10*'Assumptions'!$C$38-'Assumptions'!$C$42*'Historical'!$K$44)*(1-'Assumptions'!$C$33)+'Historical'!$K$10*(1+$A$44)^10*'Assumptions'!$C$38-'Historical'!$K$10*(1+$A$44)^10*$C$42,"")</f>
        <v/>
      </c>
      <c r="D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IFERROR(('Historical'!$K$10*(1+$A$44)^10*'Assumptions'!$C$32-'Historical'!$K$10*(1+$A$44)^10*'Assumptions'!$C$38-'Assumptions'!$C$42*'Historical'!$K$44)*(1-'Assumptions'!$C$33)+'Historical'!$K$10*(1+$A$44)^10*'Assumptions'!$C$38-'Historical'!$K$10*(1+$A$44)^10*$D$42,"")</f>
        <v/>
      </c>
      <c r="E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IFERROR(('Historical'!$K$10*(1+$A$44)^10*'Assumptions'!$C$32-'Historical'!$K$10*(1+$A$44)^10*'Assumptions'!$C$38-'Assumptions'!$C$42*'Historical'!$K$44)*(1-'Assumptions'!$C$33)+'Historical'!$K$10*(1+$A$44)^10*'Assumptions'!$C$38-'Historical'!$K$10*(1+$A$44)^10*$E$42,"")</f>
        <v/>
      </c>
      <c r="F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IFERROR(('Historical'!$K$10*(1+$A$44)^10*'Assumptions'!$C$32-'Historical'!$K$10*(1+$A$44)^10*'Assumptions'!$C$38-'Assumptions'!$C$42*'Historical'!$K$44)*(1-'Assumptions'!$C$33)+'Historical'!$K$10*(1+$A$44)^10*'Assumptions'!$C$38-'Historical'!$K$10*(1+$A$44)^10*$F$42,"")</f>
        <v/>
      </c>
    </row>
    <row r="45">
      <c r="A45" s="35">
        <f>'Assumptions'!$C$30+0</f>
        <v/>
      </c>
      <c r="B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IFERROR(('Historical'!$K$10*(1+$A$45)^10*'Assumptions'!$C$32-'Historical'!$K$10*(1+$A$45)^10*'Assumptions'!$C$38-'Assumptions'!$C$42*'Historical'!$K$44)*(1-'Assumptions'!$C$33)+'Historical'!$K$10*(1+$A$45)^10*'Assumptions'!$C$38-'Historical'!$K$10*(1+$A$45)^10*$B$42,"")</f>
        <v/>
      </c>
      <c r="C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IFERROR(('Historical'!$K$10*(1+$A$45)^10*'Assumptions'!$C$32-'Historical'!$K$10*(1+$A$45)^10*'Assumptions'!$C$38-'Assumptions'!$C$42*'Historical'!$K$44)*(1-'Assumptions'!$C$33)+'Historical'!$K$10*(1+$A$45)^10*'Assumptions'!$C$38-'Historical'!$K$10*(1+$A$45)^10*$C$42,"")</f>
        <v/>
      </c>
      <c r="D45" s="36">
        <f>IFERROR(('Historical'!$K$10*(1+$A$45)^10*'Assumptions'!$C$32-'Historical'!$K$10*(1+$A$45)^10*'Assumptions'!$C$38-'Assumptions'!$C$42*'Historical'!$K$44)*(1-'Assumptions'!$C$33)+'Historical'!$K$10*(1+$A$45)^10*'Assumptions'!$C$38-'Historical'!$K$10*(1+$A$45)^10*$D$42,"")</f>
        <v/>
      </c>
      <c r="E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IFERROR(('Historical'!$K$10*(1+$A$45)^10*'Assumptions'!$C$32-'Historical'!$K$10*(1+$A$45)^10*'Assumptions'!$C$38-'Assumptions'!$C$42*'Historical'!$K$44)*(1-'Assumptions'!$C$33)+'Historical'!$K$10*(1+$A$45)^10*'Assumptions'!$C$38-'Historical'!$K$10*(1+$A$45)^10*$E$42,"")</f>
        <v/>
      </c>
      <c r="F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IFERROR(('Historical'!$K$10*(1+$A$45)^10*'Assumptions'!$C$32-'Historical'!$K$10*(1+$A$45)^10*'Assumptions'!$C$38-'Assumptions'!$C$42*'Historical'!$K$44)*(1-'Assumptions'!$C$33)+'Historical'!$K$10*(1+$A$45)^10*'Assumptions'!$C$38-'Historical'!$K$10*(1+$A$45)^10*$F$42,"")</f>
        <v/>
      </c>
    </row>
    <row r="46">
      <c r="A46" s="35">
        <f>'Assumptions'!$C$30+0.01</f>
        <v/>
      </c>
      <c r="B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IFERROR(('Historical'!$K$10*(1+$A$46)^10*'Assumptions'!$C$32-'Historical'!$K$10*(1+$A$46)^10*'Assumptions'!$C$38-'Assumptions'!$C$42*'Historical'!$K$44)*(1-'Assumptions'!$C$33)+'Historical'!$K$10*(1+$A$46)^10*'Assumptions'!$C$38-'Historical'!$K$10*(1+$A$46)^10*$B$42,"")</f>
        <v/>
      </c>
      <c r="C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IFERROR(('Historical'!$K$10*(1+$A$46)^10*'Assumptions'!$C$32-'Historical'!$K$10*(1+$A$46)^10*'Assumptions'!$C$38-'Assumptions'!$C$42*'Historical'!$K$44)*(1-'Assumptions'!$C$33)+'Historical'!$K$10*(1+$A$46)^10*'Assumptions'!$C$38-'Historical'!$K$10*(1+$A$46)^10*$C$42,"")</f>
        <v/>
      </c>
      <c r="D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IFERROR(('Historical'!$K$10*(1+$A$46)^10*'Assumptions'!$C$32-'Historical'!$K$10*(1+$A$46)^10*'Assumptions'!$C$38-'Assumptions'!$C$42*'Historical'!$K$44)*(1-'Assumptions'!$C$33)+'Historical'!$K$10*(1+$A$46)^10*'Assumptions'!$C$38-'Historical'!$K$10*(1+$A$46)^10*$D$42,"")</f>
        <v/>
      </c>
      <c r="E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IFERROR(('Historical'!$K$10*(1+$A$46)^10*'Assumptions'!$C$32-'Historical'!$K$10*(1+$A$46)^10*'Assumptions'!$C$38-'Assumptions'!$C$42*'Historical'!$K$44)*(1-'Assumptions'!$C$33)+'Historical'!$K$10*(1+$A$46)^10*'Assumptions'!$C$38-'Historical'!$K$10*(1+$A$46)^10*$E$42,"")</f>
        <v/>
      </c>
      <c r="F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IFERROR(('Historical'!$K$10*(1+$A$46)^10*'Assumptions'!$C$32-'Historical'!$K$10*(1+$A$46)^10*'Assumptions'!$C$38-'Assumptions'!$C$42*'Historical'!$K$44)*(1-'Assumptions'!$C$33)+'Historical'!$K$10*(1+$A$46)^10*'Assumptions'!$C$38-'Historical'!$K$10*(1+$A$46)^10*$F$42,"")</f>
        <v/>
      </c>
    </row>
    <row r="47">
      <c r="A47" s="35">
        <f>'Assumptions'!$C$30+0.02</f>
        <v/>
      </c>
      <c r="B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IFERROR(('Historical'!$K$10*(1+$A$47)^10*'Assumptions'!$C$32-'Historical'!$K$10*(1+$A$47)^10*'Assumptions'!$C$38-'Assumptions'!$C$42*'Historical'!$K$44)*(1-'Assumptions'!$C$33)+'Historical'!$K$10*(1+$A$47)^10*'Assumptions'!$C$38-'Historical'!$K$10*(1+$A$47)^10*$B$42,"")</f>
        <v/>
      </c>
      <c r="C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IFERROR(('Historical'!$K$10*(1+$A$47)^10*'Assumptions'!$C$32-'Historical'!$K$10*(1+$A$47)^10*'Assumptions'!$C$38-'Assumptions'!$C$42*'Historical'!$K$44)*(1-'Assumptions'!$C$33)+'Historical'!$K$10*(1+$A$47)^10*'Assumptions'!$C$38-'Historical'!$K$10*(1+$A$47)^10*$C$42,"")</f>
        <v/>
      </c>
      <c r="D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IFERROR(('Historical'!$K$10*(1+$A$47)^10*'Assumptions'!$C$32-'Historical'!$K$10*(1+$A$47)^10*'Assumptions'!$C$38-'Assumptions'!$C$42*'Historical'!$K$44)*(1-'Assumptions'!$C$33)+'Historical'!$K$10*(1+$A$47)^10*'Assumptions'!$C$38-'Historical'!$K$10*(1+$A$47)^10*$D$42,"")</f>
        <v/>
      </c>
      <c r="E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IFERROR(('Historical'!$K$10*(1+$A$47)^10*'Assumptions'!$C$32-'Historical'!$K$10*(1+$A$47)^10*'Assumptions'!$C$38-'Assumptions'!$C$42*'Historical'!$K$44)*(1-'Assumptions'!$C$33)+'Historical'!$K$10*(1+$A$47)^10*'Assumptions'!$C$38-'Historical'!$K$10*(1+$A$47)^10*$E$42,"")</f>
        <v/>
      </c>
      <c r="F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IFERROR(('Historical'!$K$10*(1+$A$47)^10*'Assumptions'!$C$32-'Historical'!$K$10*(1+$A$47)^10*'Assumptions'!$C$38-'Assumptions'!$C$42*'Historical'!$K$44)*(1-'Assumptions'!$C$33)+'Historical'!$K$10*(1+$A$47)^10*'Assumptions'!$C$38-'Historical'!$K$10*(1+$A$47)^10*$F$42,"")</f>
        <v/>
      </c>
    </row>
    <row r="49">
      <c r="A49" s="3" t="inlineStr">
        <is>
          <t>Note: a simplified constant-growth terminal model is used for the grids; the integrated Forecast sheet is the full model.</t>
        </is>
      </c>
    </row>
  </sheetData>
  <mergeCells count="10">
    <mergeCell ref="A9:H9"/>
    <mergeCell ref="A3:H3"/>
    <mergeCell ref="A7:H7"/>
    <mergeCell ref="A25:H25"/>
    <mergeCell ref="A2:H2"/>
    <mergeCell ref="A41:H41"/>
    <mergeCell ref="A33:H33"/>
    <mergeCell ref="A49:H49"/>
    <mergeCell ref="A1:H1"/>
    <mergeCell ref="A17:H17"/>
  </mergeCells>
  <conditionalFormatting sqref="B11:F15">
    <cfRule type="colorScale" priority="1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19:F23">
    <cfRule type="colorScale" priority="2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27:F31">
    <cfRule type="colorScale" priority="3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35:F39">
    <cfRule type="colorScale" priority="4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43:F47">
    <cfRule type="colorScale" priority="5">
      <colorScale>
        <cfvo type="min"/>
        <cfvo type="percentile" val="50"/>
        <cfvo type="max"/>
        <color rgb="00FCE4E4"/>
        <color rgb="00FFF1C2"/>
        <color rgb="00D6EAD9"/>
      </colorScale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</cols>
  <sheetData>
    <row r="1" ht="28" customHeight="1">
      <c r="A1" s="1" t="inlineStr">
        <is>
          <t>ANALYST NOTES</t>
        </is>
      </c>
    </row>
    <row r="2">
      <c r="A2" s="2" t="inlineStr">
        <is>
          <t>Structured space for the written investment view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Free-text input cells (blue). These travel with the model into the investment memo.</t>
        </is>
      </c>
    </row>
    <row r="9" ht="20" customHeight="1">
      <c r="A9" s="5" t="inlineStr">
        <is>
          <t>Investment Thesis</t>
        </is>
      </c>
    </row>
    <row r="10">
      <c r="A10" s="22" t="inlineStr">
        <is>
          <t>Summarise the core reasons to own (or avoid) the stock.</t>
        </is>
      </c>
    </row>
    <row r="11" ht="18" customHeight="1">
      <c r="A11" s="37" t="n"/>
      <c r="B11" s="38" t="n"/>
      <c r="C11" s="38" t="n"/>
      <c r="D11" s="38" t="n"/>
      <c r="E11" s="38" t="n"/>
      <c r="F11" s="38" t="n"/>
      <c r="G11" s="38" t="n"/>
      <c r="H11" s="39" t="n"/>
    </row>
    <row r="12" ht="18" customHeight="1">
      <c r="A12" s="40" t="n"/>
      <c r="B12" s="41" t="n"/>
      <c r="C12" s="41" t="n"/>
      <c r="D12" s="41" t="n"/>
      <c r="E12" s="41" t="n"/>
      <c r="F12" s="41" t="n"/>
      <c r="G12" s="41" t="n"/>
      <c r="H12" s="42" t="n"/>
    </row>
    <row r="13" ht="18" customHeight="1">
      <c r="A13" s="40" t="n"/>
      <c r="B13" s="41" t="n"/>
      <c r="C13" s="41" t="n"/>
      <c r="D13" s="41" t="n"/>
      <c r="E13" s="41" t="n"/>
      <c r="F13" s="41" t="n"/>
      <c r="G13" s="41" t="n"/>
      <c r="H13" s="42" t="n"/>
    </row>
    <row r="14" ht="18" customHeight="1">
      <c r="A14" s="40" t="n"/>
      <c r="B14" s="41" t="n"/>
      <c r="C14" s="41" t="n"/>
      <c r="D14" s="41" t="n"/>
      <c r="E14" s="41" t="n"/>
      <c r="F14" s="41" t="n"/>
      <c r="G14" s="41" t="n"/>
      <c r="H14" s="42" t="n"/>
    </row>
    <row r="15" ht="18" customHeight="1">
      <c r="A15" s="43" t="n"/>
      <c r="B15" s="44" t="n"/>
      <c r="C15" s="44" t="n"/>
      <c r="D15" s="44" t="n"/>
      <c r="E15" s="44" t="n"/>
      <c r="F15" s="44" t="n"/>
      <c r="G15" s="44" t="n"/>
      <c r="H15" s="45" t="n"/>
    </row>
    <row r="17" ht="20" customHeight="1">
      <c r="A17" s="5" t="inlineStr">
        <is>
          <t>Key Risks</t>
        </is>
      </c>
    </row>
    <row r="18">
      <c r="A18" s="22" t="inlineStr">
        <is>
          <t>What could break the thesis? Demand, margins, leverage, capital allocation, governance.</t>
        </is>
      </c>
    </row>
    <row r="19" ht="18" customHeight="1">
      <c r="A19" s="37" t="n"/>
      <c r="B19" s="38" t="n"/>
      <c r="C19" s="38" t="n"/>
      <c r="D19" s="38" t="n"/>
      <c r="E19" s="38" t="n"/>
      <c r="F19" s="38" t="n"/>
      <c r="G19" s="38" t="n"/>
      <c r="H19" s="39" t="n"/>
    </row>
    <row r="20" ht="18" customHeight="1">
      <c r="A20" s="40" t="n"/>
      <c r="B20" s="41" t="n"/>
      <c r="C20" s="41" t="n"/>
      <c r="D20" s="41" t="n"/>
      <c r="E20" s="41" t="n"/>
      <c r="F20" s="41" t="n"/>
      <c r="G20" s="41" t="n"/>
      <c r="H20" s="42" t="n"/>
    </row>
    <row r="21" ht="18" customHeight="1">
      <c r="A21" s="40" t="n"/>
      <c r="B21" s="41" t="n"/>
      <c r="C21" s="41" t="n"/>
      <c r="D21" s="41" t="n"/>
      <c r="E21" s="41" t="n"/>
      <c r="F21" s="41" t="n"/>
      <c r="G21" s="41" t="n"/>
      <c r="H21" s="42" t="n"/>
    </row>
    <row r="22" ht="18" customHeight="1">
      <c r="A22" s="40" t="n"/>
      <c r="B22" s="41" t="n"/>
      <c r="C22" s="41" t="n"/>
      <c r="D22" s="41" t="n"/>
      <c r="E22" s="41" t="n"/>
      <c r="F22" s="41" t="n"/>
      <c r="G22" s="41" t="n"/>
      <c r="H22" s="42" t="n"/>
    </row>
    <row r="23" ht="18" customHeight="1">
      <c r="A23" s="43" t="n"/>
      <c r="B23" s="44" t="n"/>
      <c r="C23" s="44" t="n"/>
      <c r="D23" s="44" t="n"/>
      <c r="E23" s="44" t="n"/>
      <c r="F23" s="44" t="n"/>
      <c r="G23" s="44" t="n"/>
      <c r="H23" s="45" t="n"/>
    </row>
    <row r="25" ht="20" customHeight="1">
      <c r="A25" s="5" t="inlineStr">
        <is>
          <t>Forecast Rationale</t>
        </is>
      </c>
    </row>
    <row r="26">
      <c r="A26" s="22" t="inlineStr">
        <is>
          <t>Why the chosen growth, margin and capital assumptions are appropriate.</t>
        </is>
      </c>
    </row>
    <row r="27" ht="18" customHeight="1">
      <c r="A27" s="37" t="n"/>
      <c r="B27" s="38" t="n"/>
      <c r="C27" s="38" t="n"/>
      <c r="D27" s="38" t="n"/>
      <c r="E27" s="38" t="n"/>
      <c r="F27" s="38" t="n"/>
      <c r="G27" s="38" t="n"/>
      <c r="H27" s="39" t="n"/>
    </row>
    <row r="28" ht="18" customHeight="1">
      <c r="A28" s="40" t="n"/>
      <c r="B28" s="41" t="n"/>
      <c r="C28" s="41" t="n"/>
      <c r="D28" s="41" t="n"/>
      <c r="E28" s="41" t="n"/>
      <c r="F28" s="41" t="n"/>
      <c r="G28" s="41" t="n"/>
      <c r="H28" s="42" t="n"/>
    </row>
    <row r="29" ht="18" customHeight="1">
      <c r="A29" s="40" t="n"/>
      <c r="B29" s="41" t="n"/>
      <c r="C29" s="41" t="n"/>
      <c r="D29" s="41" t="n"/>
      <c r="E29" s="41" t="n"/>
      <c r="F29" s="41" t="n"/>
      <c r="G29" s="41" t="n"/>
      <c r="H29" s="42" t="n"/>
    </row>
    <row r="30" ht="18" customHeight="1">
      <c r="A30" s="40" t="n"/>
      <c r="B30" s="41" t="n"/>
      <c r="C30" s="41" t="n"/>
      <c r="D30" s="41" t="n"/>
      <c r="E30" s="41" t="n"/>
      <c r="F30" s="41" t="n"/>
      <c r="G30" s="41" t="n"/>
      <c r="H30" s="42" t="n"/>
    </row>
    <row r="31" ht="18" customHeight="1">
      <c r="A31" s="43" t="n"/>
      <c r="B31" s="44" t="n"/>
      <c r="C31" s="44" t="n"/>
      <c r="D31" s="44" t="n"/>
      <c r="E31" s="44" t="n"/>
      <c r="F31" s="44" t="n"/>
      <c r="G31" s="44" t="n"/>
      <c r="H31" s="45" t="n"/>
    </row>
    <row r="33" ht="20" customHeight="1">
      <c r="A33" s="5" t="inlineStr">
        <is>
          <t>Management Commentary</t>
        </is>
      </c>
    </row>
    <row r="34">
      <c r="A34" s="22" t="inlineStr">
        <is>
          <t>Relevant guidance, strategy and capital-allocation signals from management.</t>
        </is>
      </c>
    </row>
    <row r="35" ht="18" customHeight="1">
      <c r="A35" s="37" t="n"/>
      <c r="B35" s="38" t="n"/>
      <c r="C35" s="38" t="n"/>
      <c r="D35" s="38" t="n"/>
      <c r="E35" s="38" t="n"/>
      <c r="F35" s="38" t="n"/>
      <c r="G35" s="38" t="n"/>
      <c r="H35" s="39" t="n"/>
    </row>
    <row r="36" ht="18" customHeight="1">
      <c r="A36" s="40" t="n"/>
      <c r="B36" s="41" t="n"/>
      <c r="C36" s="41" t="n"/>
      <c r="D36" s="41" t="n"/>
      <c r="E36" s="41" t="n"/>
      <c r="F36" s="41" t="n"/>
      <c r="G36" s="41" t="n"/>
      <c r="H36" s="42" t="n"/>
    </row>
    <row r="37" ht="18" customHeight="1">
      <c r="A37" s="40" t="n"/>
      <c r="B37" s="41" t="n"/>
      <c r="C37" s="41" t="n"/>
      <c r="D37" s="41" t="n"/>
      <c r="E37" s="41" t="n"/>
      <c r="F37" s="41" t="n"/>
      <c r="G37" s="41" t="n"/>
      <c r="H37" s="42" t="n"/>
    </row>
    <row r="38" ht="18" customHeight="1">
      <c r="A38" s="40" t="n"/>
      <c r="B38" s="41" t="n"/>
      <c r="C38" s="41" t="n"/>
      <c r="D38" s="41" t="n"/>
      <c r="E38" s="41" t="n"/>
      <c r="F38" s="41" t="n"/>
      <c r="G38" s="41" t="n"/>
      <c r="H38" s="42" t="n"/>
    </row>
    <row r="39" ht="18" customHeight="1">
      <c r="A39" s="43" t="n"/>
      <c r="B39" s="44" t="n"/>
      <c r="C39" s="44" t="n"/>
      <c r="D39" s="44" t="n"/>
      <c r="E39" s="44" t="n"/>
      <c r="F39" s="44" t="n"/>
      <c r="G39" s="44" t="n"/>
      <c r="H39" s="45" t="n"/>
    </row>
    <row r="41" ht="20" customHeight="1">
      <c r="A41" s="5" t="inlineStr">
        <is>
          <t>Earnings Review Notes</t>
        </is>
      </c>
    </row>
    <row r="42">
      <c r="A42" s="22" t="inlineStr">
        <is>
          <t>Post-results observations: beats/misses vs forecast and what changed.</t>
        </is>
      </c>
    </row>
    <row r="43" ht="18" customHeight="1">
      <c r="A43" s="37" t="n"/>
      <c r="B43" s="38" t="n"/>
      <c r="C43" s="38" t="n"/>
      <c r="D43" s="38" t="n"/>
      <c r="E43" s="38" t="n"/>
      <c r="F43" s="38" t="n"/>
      <c r="G43" s="38" t="n"/>
      <c r="H43" s="39" t="n"/>
    </row>
    <row r="44" ht="18" customHeight="1">
      <c r="A44" s="40" t="n"/>
      <c r="B44" s="41" t="n"/>
      <c r="C44" s="41" t="n"/>
      <c r="D44" s="41" t="n"/>
      <c r="E44" s="41" t="n"/>
      <c r="F44" s="41" t="n"/>
      <c r="G44" s="41" t="n"/>
      <c r="H44" s="42" t="n"/>
    </row>
    <row r="45" ht="18" customHeight="1">
      <c r="A45" s="40" t="n"/>
      <c r="B45" s="41" t="n"/>
      <c r="C45" s="41" t="n"/>
      <c r="D45" s="41" t="n"/>
      <c r="E45" s="41" t="n"/>
      <c r="F45" s="41" t="n"/>
      <c r="G45" s="41" t="n"/>
      <c r="H45" s="42" t="n"/>
    </row>
    <row r="46" ht="18" customHeight="1">
      <c r="A46" s="40" t="n"/>
      <c r="B46" s="41" t="n"/>
      <c r="C46" s="41" t="n"/>
      <c r="D46" s="41" t="n"/>
      <c r="E46" s="41" t="n"/>
      <c r="F46" s="41" t="n"/>
      <c r="G46" s="41" t="n"/>
      <c r="H46" s="42" t="n"/>
    </row>
    <row r="47" ht="18" customHeight="1">
      <c r="A47" s="43" t="n"/>
      <c r="B47" s="44" t="n"/>
      <c r="C47" s="44" t="n"/>
      <c r="D47" s="44" t="n"/>
      <c r="E47" s="44" t="n"/>
      <c r="F47" s="44" t="n"/>
      <c r="G47" s="44" t="n"/>
      <c r="H47" s="45" t="n"/>
    </row>
  </sheetData>
  <mergeCells count="19">
    <mergeCell ref="A9:H9"/>
    <mergeCell ref="A35:H39"/>
    <mergeCell ref="A43:H47"/>
    <mergeCell ref="A19:H23"/>
    <mergeCell ref="A1:H1"/>
    <mergeCell ref="A7:H7"/>
    <mergeCell ref="A25:H25"/>
    <mergeCell ref="A11:H15"/>
    <mergeCell ref="A41:H41"/>
    <mergeCell ref="A18:H18"/>
    <mergeCell ref="A3:H3"/>
    <mergeCell ref="A26:H26"/>
    <mergeCell ref="A27:H31"/>
    <mergeCell ref="A2:H2"/>
    <mergeCell ref="A42:H42"/>
    <mergeCell ref="A33:H33"/>
    <mergeCell ref="A17:H17"/>
    <mergeCell ref="A10:H10"/>
    <mergeCell ref="A34:H34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Institutional Forecasting Engine v1.0</dc:creator>
  <dc:title>&lt;Company name&gt; — Forecasting Engine</dc:title>
  <dcterms:created xsi:type="dcterms:W3CDTF">2026-06-22T12:08:04Z</dcterms:created>
  <dcterms:modified xsi:type="dcterms:W3CDTF">2026-06-22T12:08:04Z</dcterms:modified>
</cp:coreProperties>
</file>
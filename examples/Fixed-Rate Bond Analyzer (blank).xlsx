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ond Terms" sheetId="2" state="visible" r:id="rId2"/>
    <sheet name="Cash Flows" sheetId="3" state="visible" r:id="rId3"/>
    <sheet name="Valuation" sheetId="4" state="visible" r:id="rId4"/>
    <sheet name="Duration &amp; Convexity" sheetId="5" state="visible" r:id="rId5"/>
    <sheet name="Call &amp; YTW" sheetId="6" state="visible" r:id="rId6"/>
    <sheet name="Issuer Financial Strength" sheetId="7" state="visible" r:id="rId7"/>
    <sheet name="Maturity Wall" sheetId="8" state="visible" r:id="rId8"/>
    <sheet name="Risks" sheetId="9" state="visible" r:id="rId9"/>
    <sheet name="Recommendation" sheetId="10" state="visible" r:id="rId10"/>
    <sheet name="Formula Explanations" sheetId="11" state="visible" r:id="rId11"/>
    <sheet name="Audit" sheetId="12" state="visible" r:id="rId12"/>
  </sheets>
  <definedNames>
    <definedName name="Issuer">'Bond Terms'!$B$15</definedName>
    <definedName name="BondName">'Bond Terms'!$B$16</definedName>
    <definedName name="ISIN">'Bond Terms'!$B$17</definedName>
    <definedName name="Ccy">'Bond Terms'!$B$18</definedName>
    <definedName name="Sector">'Bond Terms'!$B$19</definedName>
    <definedName name="Rating">'Bond Terms'!$B$20</definedName>
    <definedName name="Seniority">'Bond Terms'!$B$21</definedName>
    <definedName name="Secured">'Bond Terms'!$B$22</definedName>
    <definedName name="Face">'Bond Terms'!$B$24</definedName>
    <definedName name="CouponRate">'Bond Terms'!$B$25</definedName>
    <definedName name="FreqName">'Bond Terms'!$B$26</definedName>
    <definedName name="Basis">'Bond Terms'!$B$27</definedName>
    <definedName name="IssueDate">'Bond Terms'!$B$28</definedName>
    <definedName name="Settle">'Bond Terms'!$B$29</definedName>
    <definedName name="Maturity">'Bond Terms'!$B$30</definedName>
    <definedName name="MktClean">'Bond Terms'!$B$31</definedName>
    <definedName name="BenchYield">'Bond Terms'!$B$32</definedName>
    <definedName name="CallableFlag">'Bond Terms'!$B$34</definedName>
    <definedName name="CallDate">'Bond Terms'!$B$35</definedName>
    <definedName name="CallPrice">'Bond Terms'!$B$36</definedName>
    <definedName name="Analyst">'Bond Terms'!$B$38</definedName>
    <definedName name="AnalysisDate">'Bond Terms'!$B$39</definedName>
    <definedName name="Freq">'Bond Terms'!$B$41</definedName>
    <definedName name="IsZero">'Bond Terms'!$B$42</definedName>
    <definedName name="EffCoupon">'Bond Terms'!$B$43</definedName>
    <definedName name="YearsToMat">'Bond Terms'!$B$45</definedName>
    <definedName name="YearsToCall">'Bond Terms'!$B$46</definedName>
    <definedName name="Accrued">'Valuation'!$B$14</definedName>
    <definedName name="CleanPrice">'Valuation'!$B$15</definedName>
    <definedName name="Dirty">'Valuation'!$B$16</definedName>
    <definedName name="YTM">'Valuation'!$B$17</definedName>
    <definedName name="CurrentYield">'Valuation'!$B$18</definedName>
    <definedName name="PremDisc">'Valuation'!$B$19</definedName>
    <definedName name="Spread">'Valuation'!$B$20</definedName>
    <definedName name="SpreadBps">'Valuation'!$B$21</definedName>
    <definedName name="CleanModel">'Valuation'!$B$22</definedName>
    <definedName name="Ncoup">'Cash Flows'!$B$14</definedName>
    <definedName name="Ncd">'Cash Flows'!$B$15</definedName>
    <definedName name="Wfrac">'Cash Flows'!$B$16</definedName>
    <definedName name="DirtyCF">'Cash Flows'!$B$102</definedName>
    <definedName name="MacaulayCF">'Cash Flows'!$B$103</definedName>
    <definedName name="Convexity">'Cash Flows'!$B$104</definedName>
    <definedName name="MacDur">'Duration &amp; Convexity'!$B$14</definedName>
    <definedName name="ModDur">'Duration &amp; Convexity'!$B$15</definedName>
    <definedName name="ConvexityView">'Duration &amp; Convexity'!$B$16</definedName>
    <definedName name="DV01">'Duration &amp; Convexity'!$B$17</definedName>
    <definedName name="YTC">'Call &amp; YTW'!$B$16</definedName>
    <definedName name="YTW">'Call &amp; YTW'!$B$17</definedName>
    <definedName name="Revenue">'Issuer Financial Strength'!$B$14</definedName>
    <definedName name="EBITDA">'Issuer Financial Strength'!$B$15</definedName>
    <definedName name="EBIT">'Issuer Financial Strength'!$B$16</definedName>
    <definedName name="CashEq">'Issuer Financial Strength'!$B$17</definedName>
    <definedName name="TotalDebt">'Issuer Financial Strength'!$B$18</definedName>
    <definedName name="STDebt">'Issuer Financial Strength'!$B$19</definedName>
    <definedName name="LTDebt">'Issuer Financial Strength'!$B$20</definedName>
    <definedName name="IntExp">'Issuer Financial Strength'!$B$21</definedName>
    <definedName name="OpCF">'Issuer Financial Strength'!$B$22</definedName>
    <definedName name="Capex">'Issuer Financial Strength'!$B$23</definedName>
    <definedName name="CreditLines">'Issuer Financial Strength'!$B$24</definedName>
    <definedName name="DebtDue12m">'Issuer Financial Strength'!$B$25</definedName>
    <definedName name="NetDebt">'Issuer Financial Strength'!$B$28</definedName>
    <definedName name="NetDebtEBITDA">'Issuer Financial Strength'!$B$29</definedName>
    <definedName name="EBITDACover">'Issuer Financial Strength'!$B$30</definedName>
    <definedName name="EBITCover">'Issuer Financial Strength'!$B$31</definedName>
    <definedName name="FCF">'Issuer Financial Strength'!$B$32</definedName>
    <definedName name="Liquidity">'Issuer Financial Strength'!$B$33</definedName>
    <definedName name="LiqCoverage">'Issuer Financial Strength'!$B$34</definedName>
    <definedName name="MW1">'Maturity Wall'!$B$14</definedName>
    <definedName name="MW2">'Maturity Wall'!$B$15</definedName>
    <definedName name="MW3">'Maturity Wall'!$B$16</definedName>
    <definedName name="MW4">'Maturity Wall'!$B$17</definedName>
    <definedName name="MW5">'Maturity Wall'!$B$18</definedName>
    <definedName name="MWAfter">'Maturity Wall'!$B$19</definedName>
    <definedName name="TotalMaturities">'Maturity Wall'!$B$20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-mmm-yyyy"/>
    <numFmt numFmtId="166" formatCode="0.00&quot; yrs&quot;"/>
    <numFmt numFmtId="167" formatCode="0.000%"/>
    <numFmt numFmtId="168" formatCode="0.0&quot; bps&quot;"/>
    <numFmt numFmtId="169" formatCode="#,##0.0000"/>
    <numFmt numFmtId="170" formatCode="0.00&quot;x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9"/>
    </font>
    <font>
      <name val="Calibri"/>
      <b val="1"/>
      <color rgb="00FFFFFF"/>
      <sz val="10"/>
    </font>
    <font>
      <name val="Calibri"/>
      <b val="1"/>
      <color rgb="0020303F"/>
      <sz val="9"/>
    </font>
    <font>
      <name val="Calibri"/>
      <color rgb="0020303F"/>
      <sz val="9"/>
    </font>
    <font>
      <name val="Calibri"/>
      <b val="1"/>
      <color rgb="0020303F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b val="1"/>
      <color rgb="001F7A3D"/>
      <sz val="10"/>
    </font>
    <font>
      <name val="Calibri"/>
      <color rgb="001F7A3D"/>
      <sz val="10"/>
    </font>
    <font>
      <name val="Calibri"/>
      <b val="1"/>
      <color rgb="00FFFFFF"/>
      <sz val="9"/>
    </font>
    <font>
      <name val="Calibri"/>
      <i val="1"/>
      <color rgb="006B7986"/>
      <sz val="9"/>
    </font>
  </fonts>
  <fills count="9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4A789C"/>
        <bgColor rgb="004A789C"/>
      </patternFill>
    </fill>
    <fill>
      <patternFill patternType="solid">
        <fgColor rgb="00FFF8E1"/>
        <bgColor rgb="00FFF8E1"/>
      </patternFill>
    </fill>
    <fill>
      <patternFill patternType="solid">
        <fgColor rgb="00FFF7D6"/>
        <bgColor rgb="00FFF7D6"/>
      </patternFill>
    </fill>
    <fill>
      <patternFill patternType="solid">
        <fgColor rgb="00E2EFDA"/>
        <bgColor rgb="00E2EFDA"/>
      </patternFill>
    </fill>
    <fill>
      <patternFill patternType="solid">
        <fgColor rgb="002E5984"/>
        <bgColor rgb="002E5984"/>
      </patternFill>
    </fill>
    <fill>
      <patternFill patternType="solid">
        <fgColor rgb="00E8EEF4"/>
        <bgColor rgb="00E8EEF4"/>
      </patternFill>
    </fill>
  </fills>
  <borders count="9">
    <border>
      <left/>
      <right/>
      <top/>
      <bottom/>
      <diagonal/>
    </border>
    <border/>
    <border>
      <left style="medium">
        <color rgb="00E6C200"/>
      </left>
      <right style="medium">
        <color rgb="00E6C200"/>
      </right>
      <top style="medium">
        <color rgb="00E6C200"/>
      </top>
      <bottom style="medium">
        <color rgb="00E6C200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  <border>
      <left/>
      <right/>
      <top style="thin">
        <color rgb="00D5DCE4"/>
      </top>
      <bottom style="thin">
        <color rgb="00D5DCE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4" fontId="8" fillId="5" borderId="3" applyAlignment="1" applyProtection="1" pivotButton="0" quotePrefix="0" xfId="0">
      <alignment horizontal="right" vertical="center"/>
      <protection locked="0" hidden="0"/>
    </xf>
    <xf numFmtId="10" fontId="8" fillId="5" borderId="3" applyAlignment="1" applyProtection="1" pivotButton="0" quotePrefix="0" xfId="0">
      <alignment horizontal="right" vertical="center"/>
      <protection locked="0" hidden="0"/>
    </xf>
    <xf numFmtId="3" fontId="8" fillId="5" borderId="3" applyAlignment="1" applyProtection="1" pivotButton="0" quotePrefix="0" xfId="0">
      <alignment horizontal="center" vertical="center"/>
      <protection locked="0" hidden="0"/>
    </xf>
    <xf numFmtId="165" fontId="8" fillId="5" borderId="3" applyAlignment="1" applyProtection="1" pivotButton="0" quotePrefix="0" xfId="0">
      <alignment horizontal="center" vertical="center"/>
      <protection locked="0" hidden="0"/>
    </xf>
    <xf numFmtId="3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0" fontId="7" fillId="8" borderId="7" applyAlignment="1" pivotButton="0" quotePrefix="0" xfId="0">
      <alignment horizontal="left" vertical="center"/>
    </xf>
    <xf numFmtId="4" fontId="7" fillId="8" borderId="7" applyAlignment="1" pivotButton="0" quotePrefix="0" xfId="0">
      <alignment horizontal="right" vertical="center"/>
    </xf>
    <xf numFmtId="4" fontId="10" fillId="6" borderId="3" applyAlignment="1" pivotButton="0" quotePrefix="0" xfId="0">
      <alignment horizontal="right" vertical="center"/>
    </xf>
    <xf numFmtId="166" fontId="10" fillId="6" borderId="3" applyAlignment="1" pivotButton="0" quotePrefix="0" xfId="0">
      <alignment horizontal="right" vertical="center"/>
    </xf>
    <xf numFmtId="2" fontId="10" fillId="6" borderId="3" applyAlignment="1" pivotButton="0" quotePrefix="0" xfId="0">
      <alignment horizontal="right" vertical="center"/>
    </xf>
    <xf numFmtId="0" fontId="0" fillId="0" borderId="6" pivotButton="0" quotePrefix="0" xfId="0"/>
    <xf numFmtId="4" fontId="11" fillId="0" borderId="1" applyAlignment="1" pivotButton="0" quotePrefix="0" xfId="0">
      <alignment horizontal="right" vertical="center"/>
    </xf>
    <xf numFmtId="167" fontId="10" fillId="6" borderId="3" applyAlignment="1" pivotButton="0" quotePrefix="0" xfId="0">
      <alignment horizontal="right" vertical="center"/>
    </xf>
    <xf numFmtId="10" fontId="10" fillId="6" borderId="3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169" fontId="10" fillId="6" borderId="3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3" fontId="8" fillId="5" borderId="3" applyAlignment="1" applyProtection="1" pivotButton="0" quotePrefix="0" xfId="0">
      <alignment horizontal="right" vertical="center"/>
      <protection locked="0" hidden="0"/>
    </xf>
    <xf numFmtId="3" fontId="10" fillId="6" borderId="3" applyAlignment="1" pivotButton="0" quotePrefix="0" xfId="0">
      <alignment horizontal="right" vertical="center"/>
    </xf>
    <xf numFmtId="170" fontId="10" fillId="6" borderId="3" applyAlignment="1" pivotButton="0" quotePrefix="0" xfId="0">
      <alignment horizontal="right" vertical="center"/>
    </xf>
    <xf numFmtId="3" fontId="7" fillId="8" borderId="7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169" fontId="11" fillId="0" borderId="1" applyAlignment="1" pivotButton="0" quotePrefix="0" xfId="0">
      <alignment horizontal="right" vertical="center"/>
    </xf>
    <xf numFmtId="170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0" fillId="0" borderId="8" applyProtection="1" pivotButton="0" quotePrefix="0" xfId="0">
      <protection locked="0" hidden="0"/>
    </xf>
    <xf numFmtId="0" fontId="7" fillId="0" borderId="3" applyAlignment="1" pivotButton="0" quotePrefix="0" xfId="0">
      <alignment horizontal="center" vertical="center"/>
    </xf>
    <xf numFmtId="167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 hidden="0"/>
  </cellStyles>
  <dxfs count="3">
    <dxf>
      <font>
        <name val="Calibri"/>
        <b val="1"/>
        <color rgb="001F7A3D"/>
        <sz val="10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9C65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E4"/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maturities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'Maturity Wall'!B13</f>
            </strRef>
          </tx>
          <spPr>
            <a:ln>
              <a:prstDash val="solid"/>
            </a:ln>
          </spPr>
          <cat>
            <numRef>
              <f>'Maturity Wall'!$A$14:$A$19</f>
            </numRef>
          </cat>
          <val>
            <numRef>
              <f>'Maturity Wall'!$B$14:$B$19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Bond Analyzer</author>
  </authors>
  <commentList>
    <comment ref="B16" authorId="0" shapeId="0">
      <text>
        <t>How much of the current coupon period is still ahead of you.
Used so the first payment is discounted over the correct (partial) period.</t>
      </text>
    </comment>
    <comment ref="I18" authorId="0" shapeId="0">
      <text>
        <t>Helper for convexity: Total x t x (t+1) / (1+YTM/f)^(t+2), t in periods.
Summed below and divided by (dirty price x frequency^2).</t>
      </text>
    </comment>
    <comment ref="J18" authorId="0" shapeId="0">
      <text>
        <t>Helper for Macaulay duration: Time (years) x PV. Summed and divided by total PV.</t>
      </text>
    </comment>
    <comment ref="B103" authorId="0" shapeId="0">
      <text>
        <t>Weighted-average time to get your money back:
sum(time x PV) / sum(PV). This is Macaulay duration.</t>
      </text>
    </comment>
  </commentList>
</comments>
</file>

<file path=xl/comments/comment2.xml><?xml version="1.0" encoding="utf-8"?>
<comments xmlns="http://schemas.openxmlformats.org/spreadsheetml/2006/main">
  <authors>
    <author>Bond Analyzer</author>
  </authors>
  <commentList>
    <comment ref="B14" authorId="0" shapeId="0">
      <text>
        <t>Accrued = (days since last coupon / days in the coupon period) x periodic coupon.
Uses the day-count basis you selected (COUPDAYBS / COUPDAYS).</t>
      </text>
    </comment>
    <comment ref="B16" authorId="0" shapeId="0">
      <text>
        <t>Dirty price = clean price + accrued interest. This is the cash amount that changes hands.</t>
      </text>
    </comment>
    <comment ref="B17" authorId="0" shapeId="0">
      <text>
        <t>Coupon bonds: Excel YIELD() solves for the yield from the clean price.
Zero-coupon: computed directly from price, face and years to maturity.</t>
      </text>
    </comment>
  </commentList>
</comments>
</file>

<file path=xl/comments/comment3.xml><?xml version="1.0" encoding="utf-8"?>
<comments xmlns="http://schemas.openxmlformats.org/spreadsheetml/2006/main">
  <authors>
    <author>Bond Analyzer</author>
  </authors>
  <commentList>
    <comment ref="B14" authorId="0" shapeId="0">
      <text>
        <t>Excel DURATION() for coupon bonds; equals time-to-maturity for a zero-coupon bond.</t>
      </text>
    </comment>
    <comment ref="B17" authorId="0" shapeId="0">
      <text>
        <t>DV01 = Modified duration x Dirty price x 0.0001.
It is quoted as a positive number (the magnitude of the 1 bp risk).</t>
      </text>
    </comment>
  </commentList>
</comments>
</file>

<file path=xl/comments/comment4.xml><?xml version="1.0" encoding="utf-8"?>
<comments xmlns="http://schemas.openxmlformats.org/spreadsheetml/2006/main">
  <authors>
    <author>Bond Analyzer</author>
  </authors>
  <commentList>
    <comment ref="B16" authorId="0" shapeId="0">
      <text>
        <t>Same yield idea as YTM, but the bond 'matures' on the call date and pays the call price instead of face. Shows 'Not callable' when Callable = No.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Relationship Type="http://schemas.openxmlformats.org/officeDocument/2006/relationships/drawing" Target="/xl/drawings/drawing1.xml" Id="rId13" /></Relationships>
</file>

<file path=xl/worksheets/_rels/sheet9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Valuation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Call &amp; YTW'!A1" TargetMode="External" Id="rId6" /><Relationship Type="http://schemas.openxmlformats.org/officeDocument/2006/relationships/hyperlink" Target="#'Issuer Financial Strength'!A1" TargetMode="External" Id="rId7" /><Relationship Type="http://schemas.openxmlformats.org/officeDocument/2006/relationships/hyperlink" Target="#'Maturity Wall'!A1" TargetMode="External" Id="rId8" /><Relationship Type="http://schemas.openxmlformats.org/officeDocument/2006/relationships/hyperlink" Target="#'Risks'!A1" TargetMode="External" Id="rId9" /><Relationship Type="http://schemas.openxmlformats.org/officeDocument/2006/relationships/hyperlink" Target="#'Recommendation'!A1" TargetMode="External" Id="rId10" /><Relationship Type="http://schemas.openxmlformats.org/officeDocument/2006/relationships/hyperlink" Target="#'Formula Explanations'!A1" TargetMode="External" Id="rId11" /><Relationship Type="http://schemas.openxmlformats.org/officeDocument/2006/relationships/hyperlink" Target="#'Audit'!A1" TargetMode="External" Id="rId12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FIXED-RATE BOND ANALYZER</t>
        </is>
      </c>
    </row>
    <row r="2">
      <c r="A2" s="2" t="inlineStr">
        <is>
          <t>A simple, clean model to value and analyze one plain-vanilla fixed-rate bond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8" customHeight="1">
      <c r="A7" s="5" t="inlineStr">
        <is>
          <t>What this model does</t>
        </is>
      </c>
    </row>
    <row r="8" ht="37" customHeight="1">
      <c r="A8" s="3" t="inlineStr">
        <is>
          <t>It values a single fixed-rate bond and explains the result: clean &amp; dirty price, accrued interest, yield to maturity, duration, convexity, DV01, yield to call and yield to worst. It also has an optional issuer credit view, a maturity-wall chart, a risk checklist, a recommendation page, and an independent audit sheet that re-checks the main numbers using Excel's own bond functions.</t>
        </is>
      </c>
    </row>
    <row r="9" ht="25" customHeight="1">
      <c r="A9" s="3" t="inlineStr">
        <is>
          <t>It is built to be understood: inputs are in yellow, results in green, every formula is visible, and the Formula Explanations sheet describes each calculation in plain English.</t>
        </is>
      </c>
    </row>
    <row r="10" ht="18" customHeight="1">
      <c r="A10" s="5" t="inlineStr">
        <is>
          <t>Key assumptions</t>
        </is>
      </c>
    </row>
    <row r="11" ht="14" customHeight="1">
      <c r="A11" s="3" t="inlineStr">
        <is>
          <t>- Plain-vanilla fixed-rate bond. Face value = 100 (prices are quoted per 100 face).</t>
        </is>
      </c>
    </row>
    <row r="12" ht="14" customHeight="1">
      <c r="A12" s="3" t="inlineStr">
        <is>
          <t>- Coupon is fixed. Supported frequencies: Annual (1), Semiannual (2), Quarterly (4), and Zero-coupon.</t>
        </is>
      </c>
    </row>
    <row r="13" ht="14" customHeight="1">
      <c r="A13" s="3" t="inlineStr">
        <is>
          <t>- Day-count basis is selectable: 0=US (NASD) 30/360; 1=Actual/Actual; 2=Actual/360; 3=Actual/365; 4=European 30/360.</t>
        </is>
      </c>
    </row>
    <row r="14" ht="25" customHeight="1">
      <c r="A14" s="3" t="inlineStr">
        <is>
          <t>- Yields use the standard street convention (Excel YIELD/PRICE/DURATION). Zero-coupon yields are computed directly from price, face and time to maturity.</t>
        </is>
      </c>
    </row>
    <row r="15" ht="14" customHeight="1">
      <c r="A15" s="3" t="inlineStr">
        <is>
          <t>- Optional one-date / one-price call analysis. Yield to worst = lower of YTM and YTC.</t>
        </is>
      </c>
    </row>
    <row r="16" ht="18" customHeight="1">
      <c r="A16" s="5" t="inlineStr">
        <is>
          <t>Supported vs NOT supported</t>
        </is>
      </c>
    </row>
    <row r="17" ht="25" customHeight="1">
      <c r="A17" s="3" t="inlineStr">
        <is>
          <t>SUPPORTED:  annual, semiannual, quarterly and zero-coupon plain-vanilla fixed-rate bonds; optional simple call analysis; simple spread vs a government benchmark; optional simple issuer credit ratios.</t>
        </is>
      </c>
    </row>
    <row r="18" ht="37" customHeight="1">
      <c r="A18" s="3" t="inlineStr">
        <is>
          <t>NOT supported (listed as limitations, not modelled): monthly-coupon bonds, floating-rate notes, amortizing / sinking-fund bonds, inflation-linked bonds, OAS / Z-spread, full callable-bond option valuation, CDS-implied credit, and full issuer forecasting / distressed recovery. See 'Future upgrades' below.</t>
        </is>
      </c>
    </row>
    <row r="19" ht="18" customHeight="1">
      <c r="A19" s="5" t="inlineStr">
        <is>
          <t>How to use this model</t>
        </is>
      </c>
    </row>
    <row r="20" ht="14" customHeight="1">
      <c r="A20" s="3" t="inlineStr">
        <is>
          <t>1.  Go to 'Bond Terms' and fill the yellow cells (dates, coupon, frequency, basis, market price, call terms).</t>
        </is>
      </c>
    </row>
    <row r="21" ht="14" customHeight="1">
      <c r="A21" s="3" t="inlineStr">
        <is>
          <t>2.  Read 'Valuation' for price/yield/spread and 'Duration &amp; Convexity' for interest-rate risk.</t>
        </is>
      </c>
    </row>
    <row r="22" ht="14" customHeight="1">
      <c r="A22" s="3" t="inlineStr">
        <is>
          <t>3.  Check 'Call &amp; YTW' for callable bonds, then the optional 'Issuer Financial Strength' and 'Maturity Wall'.</t>
        </is>
      </c>
    </row>
    <row r="23" ht="14" customHeight="1">
      <c r="A23" s="3" t="inlineStr">
        <is>
          <t>4.  Fill the 'Risks' checklist, then use 'Recommendation' to summarise and make your Buy/Hold/Sell/Avoid call.</t>
        </is>
      </c>
    </row>
    <row r="24" ht="14" customHeight="1">
      <c r="A24" s="3" t="inlineStr">
        <is>
          <t>5.  Open 'Audit' to confirm the numbers pass the independent checks. Use 'Formula Explanations' whenever unsure.</t>
        </is>
      </c>
    </row>
    <row r="25" ht="18" customHeight="1">
      <c r="A25" s="5" t="inlineStr">
        <is>
          <t>Future upgrades (not in this version)</t>
        </is>
      </c>
    </row>
    <row r="26" ht="37" customHeight="1">
      <c r="A26" s="3" t="inlineStr">
        <is>
          <t xml:space="preserve">  -  Monthly-coupon bonds (12 payments/year)  -  Floating-rate notes (FRNs)  -  Amortizing / sinking-fund bonds  -  Inflation-linked bonds  -  Option-adjusted spread (OAS) &amp; Z-spread  -  Full callable-bond option valuation (binomial/Monte Carlo)  -  CDS-implied credit risk  -  Full issuer forecasting &amp; distressed recovery analysis</t>
        </is>
      </c>
    </row>
    <row r="28" ht="16" customHeight="1">
      <c r="A28" s="6" t="inlineStr">
        <is>
          <t>Important</t>
        </is>
      </c>
    </row>
    <row r="29" ht="25" customHeight="1">
      <c r="A29" s="7" t="inlineStr">
        <is>
          <t>This is a simplified educational model for a plain-vanilla fixed-rate bond. It is a decision-support tool, not investment advice.</t>
        </is>
      </c>
    </row>
  </sheetData>
  <mergeCells count="25">
    <mergeCell ref="A23:J23"/>
    <mergeCell ref="A8:J8"/>
    <mergeCell ref="A14:J14"/>
    <mergeCell ref="A22:J22"/>
    <mergeCell ref="A17:J17"/>
    <mergeCell ref="A29:J29"/>
    <mergeCell ref="A20:J20"/>
    <mergeCell ref="A10:J10"/>
    <mergeCell ref="A28:J28"/>
    <mergeCell ref="A19:J19"/>
    <mergeCell ref="A13:J13"/>
    <mergeCell ref="A9:J9"/>
    <mergeCell ref="A15:J15"/>
    <mergeCell ref="A24:J24"/>
    <mergeCell ref="A11:J11"/>
    <mergeCell ref="A1:J1"/>
    <mergeCell ref="A7:J7"/>
    <mergeCell ref="A16:J16"/>
    <mergeCell ref="A25:J25"/>
    <mergeCell ref="A18:J18"/>
    <mergeCell ref="A3:J3"/>
    <mergeCell ref="A21:J21"/>
    <mergeCell ref="A12:J12"/>
    <mergeCell ref="A26:J26"/>
    <mergeCell ref="A2:J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G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BOND TERMS</t>
        </is>
      </c>
    </row>
    <row r="2">
      <c r="A2" s="2" t="inlineStr">
        <is>
          <t>Type the bond's details here. Every other sheet reads from this page.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TO DO:  fill the yellow cells with your bond's terms. Use the drop-downs for coupon frequency, day-count basis and callable. Everything else in the workbook updates automatically.</t>
        </is>
      </c>
    </row>
    <row r="9" ht="14" customHeight="1">
      <c r="A9" s="7" t="inlineStr">
        <is>
          <t>ZERO-COUPON:  set Coupon frequency = Zero-coupon; the coupon rate is then ignored.</t>
        </is>
      </c>
    </row>
    <row r="10" ht="14" customHeight="1">
      <c r="A10" s="7" t="inlineStr">
        <is>
          <t>NOT CALLABLE:  set Callable = No; the call date and call price are then ignored.</t>
        </is>
      </c>
    </row>
    <row r="12">
      <c r="A12" s="8" t="inlineStr">
        <is>
          <t>Legend:</t>
        </is>
      </c>
      <c r="B12" s="9" t="inlineStr">
        <is>
          <t>Input (type here)</t>
        </is>
      </c>
      <c r="D12" s="10" t="inlineStr">
        <is>
          <t>Formula</t>
        </is>
      </c>
      <c r="E12" s="11" t="inlineStr">
        <is>
          <t>Key output</t>
        </is>
      </c>
      <c r="G12" s="12" t="inlineStr">
        <is>
          <t>blue = input - black = formula - green = key output</t>
        </is>
      </c>
    </row>
    <row r="14" ht="18" customHeight="1">
      <c r="A14" s="5" t="inlineStr">
        <is>
          <t>Bond identification</t>
        </is>
      </c>
    </row>
    <row r="15">
      <c r="A15" s="8" t="inlineStr">
        <is>
          <t>Issuer name</t>
        </is>
      </c>
      <c r="B15" s="13" t="inlineStr">
        <is>
          <t>&lt;Issuer name&gt;</t>
        </is>
      </c>
      <c r="C15" s="14" t="n"/>
    </row>
    <row r="16">
      <c r="A16" s="8" t="inlineStr">
        <is>
          <t>Bond name / ticker</t>
        </is>
      </c>
      <c r="B16" s="13" t="inlineStr">
        <is>
          <t>&lt;Bond name&gt;</t>
        </is>
      </c>
      <c r="C16" s="14" t="n"/>
    </row>
    <row r="17">
      <c r="A17" s="8" t="inlineStr">
        <is>
          <t>ISIN</t>
        </is>
      </c>
      <c r="B17" s="13" t="inlineStr"/>
      <c r="C17" s="14" t="n"/>
    </row>
    <row r="18">
      <c r="A18" s="8" t="inlineStr">
        <is>
          <t>Currency</t>
        </is>
      </c>
      <c r="B18" s="9" t="inlineStr">
        <is>
          <t>USD</t>
        </is>
      </c>
      <c r="C18" s="14" t="n"/>
    </row>
    <row r="19">
      <c r="A19" s="8" t="inlineStr">
        <is>
          <t>Sector</t>
        </is>
      </c>
      <c r="B19" s="13" t="inlineStr"/>
      <c r="C19" s="14" t="n"/>
    </row>
    <row r="20">
      <c r="A20" s="8" t="inlineStr">
        <is>
          <t>Credit rating</t>
        </is>
      </c>
      <c r="B20" s="9" t="inlineStr"/>
      <c r="C20" s="14" t="n"/>
      <c r="D20" s="12" t="inlineStr">
        <is>
          <t>e.g. AAA, AA, A, BBB, BB, B (BBB- and above = investment grade).</t>
        </is>
      </c>
    </row>
    <row r="21">
      <c r="A21" s="8" t="inlineStr">
        <is>
          <t>Seniority</t>
        </is>
      </c>
      <c r="B21" s="9" t="inlineStr">
        <is>
          <t>Senior</t>
        </is>
      </c>
      <c r="C21" s="14" t="n"/>
    </row>
    <row r="22">
      <c r="A22" s="8" t="inlineStr">
        <is>
          <t>Secured / unsecured</t>
        </is>
      </c>
      <c r="B22" s="9" t="inlineStr">
        <is>
          <t>Unsecured</t>
        </is>
      </c>
      <c r="C22" s="14" t="n"/>
    </row>
    <row r="23" ht="18" customHeight="1">
      <c r="A23" s="5" t="inlineStr">
        <is>
          <t>Economic terms</t>
        </is>
      </c>
    </row>
    <row r="24">
      <c r="A24" s="8" t="inlineStr">
        <is>
          <t>Face value (per bond)</t>
        </is>
      </c>
      <c r="B24" s="15" t="n">
        <v>100</v>
      </c>
      <c r="C24" s="14" t="n"/>
      <c r="D24" s="12" t="inlineStr">
        <is>
          <t>Prices are quoted per 100 face (market convention). Keep this 100.</t>
        </is>
      </c>
    </row>
    <row r="25">
      <c r="A25" s="8" t="inlineStr">
        <is>
          <t>Coupon rate (annual)</t>
        </is>
      </c>
      <c r="B25" s="16" t="n">
        <v>0.05</v>
      </c>
      <c r="C25" s="14" t="n"/>
      <c r="D25" s="12" t="inlineStr">
        <is>
          <t>Fixed annual rate. Ignored if Zero-coupon.</t>
        </is>
      </c>
    </row>
    <row r="26">
      <c r="A26" s="8" t="inlineStr">
        <is>
          <t>Coupon frequency</t>
        </is>
      </c>
      <c r="B26" s="9" t="inlineStr">
        <is>
          <t>Semiannual</t>
        </is>
      </c>
      <c r="C26" s="14" t="n"/>
      <c r="D26" s="12" t="inlineStr">
        <is>
          <t>Annual=1, Semiannual=2, Quarterly=4, or Zero-coupon.</t>
        </is>
      </c>
    </row>
    <row r="27">
      <c r="A27" s="8" t="inlineStr">
        <is>
          <t>Day-count basis</t>
        </is>
      </c>
      <c r="B27" s="17" t="n">
        <v>0</v>
      </c>
      <c r="C27" s="14" t="n"/>
      <c r="D27" s="12" t="inlineStr">
        <is>
          <t>0=US 30/360, 1=Actual/Actual, 2=Actual/360, 3=Actual/365, 4=European 30/360.</t>
        </is>
      </c>
    </row>
    <row r="28">
      <c r="A28" s="8" t="inlineStr">
        <is>
          <t>Issue date</t>
        </is>
      </c>
      <c r="B28" s="18" t="n">
        <v>44941</v>
      </c>
      <c r="C28" s="14" t="n"/>
    </row>
    <row r="29">
      <c r="A29" s="8" t="inlineStr">
        <is>
          <t>Settlement date</t>
        </is>
      </c>
      <c r="B29" s="18" t="n">
        <v>45736</v>
      </c>
      <c r="C29" s="14" t="n"/>
      <c r="D29" s="12" t="inlineStr">
        <is>
          <t>The date you buy/value the bond (today, or trade settlement).</t>
        </is>
      </c>
    </row>
    <row r="30">
      <c r="A30" s="8" t="inlineStr">
        <is>
          <t>Maturity date</t>
        </is>
      </c>
      <c r="B30" s="18" t="n">
        <v>47498</v>
      </c>
      <c r="C30" s="14" t="n"/>
    </row>
    <row r="31">
      <c r="A31" s="8" t="inlineStr">
        <is>
          <t>Market clean price</t>
        </is>
      </c>
      <c r="B31" s="15" t="n">
        <v>100</v>
      </c>
      <c r="C31" s="14" t="n"/>
      <c r="D31" s="12" t="inlineStr">
        <is>
          <t>Quoted price per 100 face (excludes accrued interest).</t>
        </is>
      </c>
    </row>
    <row r="32">
      <c r="A32" s="8" t="inlineStr">
        <is>
          <t>Benchmark govt yield</t>
        </is>
      </c>
      <c r="B32" s="16" t="n">
        <v>0.04</v>
      </c>
      <c r="C32" s="14" t="n"/>
      <c r="D32" s="12" t="inlineStr">
        <is>
          <t>Yield of a government bond of similar maturity (for the spread).</t>
        </is>
      </c>
    </row>
    <row r="33" ht="18" customHeight="1">
      <c r="A33" s="5" t="inlineStr">
        <is>
          <t>Call features</t>
        </is>
      </c>
    </row>
    <row r="34">
      <c r="A34" s="8" t="inlineStr">
        <is>
          <t>Callable?</t>
        </is>
      </c>
      <c r="B34" s="9" t="inlineStr">
        <is>
          <t>No</t>
        </is>
      </c>
      <c r="C34" s="14" t="n"/>
    </row>
    <row r="35">
      <c r="A35" s="8" t="inlineStr">
        <is>
          <t>Call date</t>
        </is>
      </c>
      <c r="B35" s="18" t="n">
        <v>46767</v>
      </c>
      <c r="C35" s="14" t="n"/>
      <c r="D35" s="12" t="inlineStr">
        <is>
          <t>Ignored if Callable = No.</t>
        </is>
      </c>
    </row>
    <row r="36">
      <c r="A36" s="8" t="inlineStr">
        <is>
          <t>Call price</t>
        </is>
      </c>
      <c r="B36" s="15" t="n">
        <v>102</v>
      </c>
      <c r="C36" s="14" t="n"/>
      <c r="D36" s="12" t="inlineStr">
        <is>
          <t>Price the issuer pays if it calls the bond early. Ignored if Callable = No.</t>
        </is>
      </c>
    </row>
    <row r="37" ht="18" customHeight="1">
      <c r="A37" s="5" t="inlineStr">
        <is>
          <t>Analyst</t>
        </is>
      </c>
    </row>
    <row r="38">
      <c r="A38" s="8" t="inlineStr">
        <is>
          <t>Analyst name</t>
        </is>
      </c>
      <c r="B38" s="13" t="inlineStr"/>
      <c r="C38" s="14" t="n"/>
    </row>
    <row r="39">
      <c r="A39" s="8" t="inlineStr">
        <is>
          <t>Analysis date</t>
        </is>
      </c>
      <c r="B39" s="18" t="n">
        <v>45736</v>
      </c>
      <c r="C39" s="14" t="n"/>
    </row>
    <row r="40" ht="18" customHeight="1">
      <c r="A40" s="5" t="inlineStr">
        <is>
          <t>Derived values  (auto - do not edit)</t>
        </is>
      </c>
    </row>
    <row r="41">
      <c r="A41" s="8" t="inlineStr">
        <is>
          <t>Payments per year</t>
        </is>
      </c>
      <c r="B41" s="19">
        <f>IF(FreqName="Annual",1,IF(FreqName="Semiannual",2,IF(FreqName="Quarterly",4,1)))</f>
        <v/>
      </c>
      <c r="D41" s="12" t="inlineStr">
        <is>
          <t>Coupons per year used by all calculations (Zero-coupon uses 1 for date steps).</t>
        </is>
      </c>
    </row>
    <row r="42">
      <c r="A42" s="8" t="inlineStr">
        <is>
          <t>Zero-coupon?</t>
        </is>
      </c>
      <c r="B42" s="19">
        <f>IF(FreqName="Zero-coupon",1,0)</f>
        <v/>
      </c>
      <c r="D42" s="12" t="inlineStr">
        <is>
          <t>1 = zero-coupon (no coupons; only principal at maturity).</t>
        </is>
      </c>
    </row>
    <row r="43">
      <c r="A43" s="8" t="inlineStr">
        <is>
          <t>Effective coupon rate</t>
        </is>
      </c>
      <c r="B43" s="20">
        <f>IF(IsZero=1,0,CouponRate)</f>
        <v/>
      </c>
    </row>
    <row r="44">
      <c r="A44" s="8" t="inlineStr">
        <is>
          <t>Day-count basis used</t>
        </is>
      </c>
      <c r="B44" s="10">
        <f>CHOOSE(Basis+1,"US 30/360","Actual/Actual","Actual/360","Actual/365","European 30/360")</f>
        <v/>
      </c>
    </row>
    <row r="45">
      <c r="A45" s="8" t="inlineStr">
        <is>
          <t>Years to maturity</t>
        </is>
      </c>
      <c r="B45" s="21">
        <f>YEARFRAC(Settle,Maturity,Basis)</f>
        <v/>
      </c>
    </row>
    <row r="46">
      <c r="A46" s="8" t="inlineStr">
        <is>
          <t>Years to call</t>
        </is>
      </c>
      <c r="B46" s="21">
        <f>IF(CallableFlag="Yes",YEARFRAC(Settle,CallDate,Basis),"n/a")</f>
        <v/>
      </c>
    </row>
  </sheetData>
  <mergeCells count="48">
    <mergeCell ref="A14:G14"/>
    <mergeCell ref="B16:C16"/>
    <mergeCell ref="B25:C25"/>
    <mergeCell ref="A8:G8"/>
    <mergeCell ref="D25:G25"/>
    <mergeCell ref="D24:G24"/>
    <mergeCell ref="B22:C22"/>
    <mergeCell ref="B31:C31"/>
    <mergeCell ref="D29:G29"/>
    <mergeCell ref="B18:C18"/>
    <mergeCell ref="B27:C27"/>
    <mergeCell ref="D42:G42"/>
    <mergeCell ref="A10:G10"/>
    <mergeCell ref="B39:C39"/>
    <mergeCell ref="B21:C21"/>
    <mergeCell ref="D26:G26"/>
    <mergeCell ref="A40:G40"/>
    <mergeCell ref="A9:G9"/>
    <mergeCell ref="D35:G35"/>
    <mergeCell ref="G12"/>
    <mergeCell ref="D20:G20"/>
    <mergeCell ref="B17:C17"/>
    <mergeCell ref="B38:C38"/>
    <mergeCell ref="D31:G31"/>
    <mergeCell ref="A1:G1"/>
    <mergeCell ref="B29:C29"/>
    <mergeCell ref="B44:C44"/>
    <mergeCell ref="D36:G36"/>
    <mergeCell ref="B19:C19"/>
    <mergeCell ref="B34:C34"/>
    <mergeCell ref="B28:C28"/>
    <mergeCell ref="A7:G7"/>
    <mergeCell ref="D27:G27"/>
    <mergeCell ref="D32:G32"/>
    <mergeCell ref="A37:G37"/>
    <mergeCell ref="D41:G41"/>
    <mergeCell ref="B24:C24"/>
    <mergeCell ref="B30:C30"/>
    <mergeCell ref="B15:C15"/>
    <mergeCell ref="A3:G3"/>
    <mergeCell ref="B20:C20"/>
    <mergeCell ref="B36:C36"/>
    <mergeCell ref="A2:G2"/>
    <mergeCell ref="B32:C32"/>
    <mergeCell ref="B26:C26"/>
    <mergeCell ref="A33:G33"/>
    <mergeCell ref="B35:C35"/>
    <mergeCell ref="A23:G23"/>
  </mergeCells>
  <dataValidations count="5">
    <dataValidation sqref="B21" showDropDown="0" showInputMessage="0" showErrorMessage="1" allowBlank="1" type="list">
      <formula1>"Senior,Subordinated,Junior"</formula1>
    </dataValidation>
    <dataValidation sqref="B22" showDropDown="0" showInputMessage="0" showErrorMessage="1" allowBlank="1" type="list">
      <formula1>"Secured,Unsecured"</formula1>
    </dataValidation>
    <dataValidation sqref="B26" showDropDown="0" showInputMessage="0" showErrorMessage="1" allowBlank="1" type="list">
      <formula1>"Annual,Semiannual,Quarterly,Zero-coupon"</formula1>
    </dataValidation>
    <dataValidation sqref="B27" showDropDown="0" showInputMessage="0" showErrorMessage="1" allowBlank="1" type="list">
      <formula1>"0,1,2,3,4"</formula1>
    </dataValidation>
    <dataValidation sqref="B34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J104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CASH FLOWS</t>
        </is>
      </c>
    </row>
    <row r="2">
      <c r="A2" s="2" t="inlineStr">
        <is>
          <t>Every future payment, its timing, and its present value at the YTM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THIS SHOWS:  each remaining coupon and the final principal, discounted back to today at the YTM. The present values add up to the DIRTY price - this is the engine behind the bond's price.</t>
        </is>
      </c>
    </row>
    <row r="9" ht="25" customHeight="1">
      <c r="A9" s="7" t="inlineStr">
        <is>
          <t>Only payments AFTER the settlement date are shown. Coupon count matches the frequency (Annual=1, Semiannual=2, Quarterly=4 per year; Zero-coupon = principal only).</t>
        </is>
      </c>
    </row>
    <row r="10" ht="14" customHeight="1">
      <c r="A10" s="7" t="inlineStr">
        <is>
          <t>Discount factor = 1 / (1 + YTM/frequency) ^ (periods to payment). PV = Total cash flow x Discount factor.</t>
        </is>
      </c>
    </row>
    <row r="13" ht="18" customHeight="1">
      <c r="A13" s="5" t="inlineStr">
        <is>
          <t>Schedule parameters (auto)</t>
        </is>
      </c>
    </row>
    <row r="14">
      <c r="A14" s="8" t="inlineStr">
        <is>
          <t>Remaining payments</t>
        </is>
      </c>
      <c r="B14" s="19">
        <f>IF(IsZero=1,1,COUPNUM(Settle,Maturity,Freq,Basis))</f>
        <v/>
      </c>
      <c r="D14" s="12" t="inlineStr">
        <is>
          <t>Number of future payments (capped at 80 rows below).</t>
        </is>
      </c>
    </row>
    <row r="15">
      <c r="A15" s="8" t="inlineStr">
        <is>
          <t>Next payment date</t>
        </is>
      </c>
      <c r="B15" s="22">
        <f>IF(IsZero=1,Maturity,COUPNCD(Settle,Maturity,Freq,Basis))</f>
        <v/>
      </c>
    </row>
    <row r="16">
      <c r="A16" s="8" t="inlineStr">
        <is>
          <t>Fraction of 1st period left</t>
        </is>
      </c>
      <c r="B16" s="23">
        <f>IF(IsZero=1,YearsToMat,COUPDAYSNC(Settle,Maturity,Freq,Basis)/COUPDAYS(Settle,Maturity,Freq,Basis))</f>
        <v/>
      </c>
    </row>
    <row r="18" ht="24" customHeight="1">
      <c r="A18" s="24" t="inlineStr">
        <is>
          <t>Payment #</t>
        </is>
      </c>
      <c r="B18" s="25" t="inlineStr">
        <is>
          <t>Payment date</t>
        </is>
      </c>
      <c r="C18" s="25" t="inlineStr">
        <is>
          <t>Coupon CF</t>
        </is>
      </c>
      <c r="D18" s="25" t="inlineStr">
        <is>
          <t>Principal CF</t>
        </is>
      </c>
      <c r="E18" s="25" t="inlineStr">
        <is>
          <t>Total CF</t>
        </is>
      </c>
      <c r="F18" s="25" t="inlineStr">
        <is>
          <t>Time (years)</t>
        </is>
      </c>
      <c r="G18" s="25" t="inlineStr">
        <is>
          <t>Discount factor</t>
        </is>
      </c>
      <c r="H18" s="25" t="inlineStr">
        <is>
          <t>PV of CF</t>
        </is>
      </c>
      <c r="I18" s="25" t="inlineStr">
        <is>
          <t>Convexity term</t>
        </is>
      </c>
      <c r="J18" s="25" t="inlineStr">
        <is>
          <t>Time x PV</t>
        </is>
      </c>
    </row>
    <row r="19">
      <c r="A19" s="19">
        <f>IF(1&gt;Ncoup,"",1)</f>
        <v/>
      </c>
      <c r="B19" s="22">
        <f>IF(1&gt;Ncoup,"",EDATE(Ncd,(12/Freq)*(1-1)))</f>
        <v/>
      </c>
      <c r="C19" s="26">
        <f>IF(1&gt;Ncoup,"",IF(IsZero=1,0,CouponRate/Freq*Face))</f>
        <v/>
      </c>
      <c r="D19" s="26">
        <f>IF(1&gt;Ncoup,"",IF(1=Ncoup,Face,0))</f>
        <v/>
      </c>
      <c r="E19" s="26">
        <f>IF(1&gt;Ncoup,"",$C$19+$D$19)</f>
        <v/>
      </c>
      <c r="F19" s="27">
        <f>IF(1&gt;Ncoup,"",((1-1)+Wfrac)/Freq)</f>
        <v/>
      </c>
      <c r="G19" s="23">
        <f>IF(1&gt;Ncoup,"",1/(1+YTM/Freq)^((1-1)+Wfrac))</f>
        <v/>
      </c>
      <c r="H19" s="26">
        <f>IF(1&gt;Ncoup,"",$E$19*$G$19)</f>
        <v/>
      </c>
      <c r="I19" s="23">
        <f>IF(1&gt;Ncoup,"",$E$19*((1-1)+Wfrac)*((1-1)+Wfrac+1)/(1+YTM/Freq)^((1-1)+Wfrac+2))</f>
        <v/>
      </c>
      <c r="J19" s="23">
        <f>IF(1&gt;Ncoup,"",$F$19*$H$19)</f>
        <v/>
      </c>
    </row>
    <row r="20">
      <c r="A20" s="19">
        <f>IF(2&gt;Ncoup,"",2)</f>
        <v/>
      </c>
      <c r="B20" s="22">
        <f>IF(2&gt;Ncoup,"",EDATE(Ncd,(12/Freq)*(2-1)))</f>
        <v/>
      </c>
      <c r="C20" s="26">
        <f>IF(2&gt;Ncoup,"",IF(IsZero=1,0,CouponRate/Freq*Face))</f>
        <v/>
      </c>
      <c r="D20" s="26">
        <f>IF(2&gt;Ncoup,"",IF(2=Ncoup,Face,0))</f>
        <v/>
      </c>
      <c r="E20" s="26">
        <f>IF(2&gt;Ncoup,"",$C$20+$D$20)</f>
        <v/>
      </c>
      <c r="F20" s="27">
        <f>IF(2&gt;Ncoup,"",((2-1)+Wfrac)/Freq)</f>
        <v/>
      </c>
      <c r="G20" s="23">
        <f>IF(2&gt;Ncoup,"",1/(1+YTM/Freq)^((2-1)+Wfrac))</f>
        <v/>
      </c>
      <c r="H20" s="26">
        <f>IF(2&gt;Ncoup,"",$E$20*$G$20)</f>
        <v/>
      </c>
      <c r="I20" s="23">
        <f>IF(2&gt;Ncoup,"",$E$20*((2-1)+Wfrac)*((2-1)+Wfrac+1)/(1+YTM/Freq)^((2-1)+Wfrac+2))</f>
        <v/>
      </c>
      <c r="J20" s="23">
        <f>IF(2&gt;Ncoup,"",$F$20*$H$20)</f>
        <v/>
      </c>
    </row>
    <row r="21">
      <c r="A21" s="19">
        <f>IF(3&gt;Ncoup,"",3)</f>
        <v/>
      </c>
      <c r="B21" s="22">
        <f>IF(3&gt;Ncoup,"",EDATE(Ncd,(12/Freq)*(3-1)))</f>
        <v/>
      </c>
      <c r="C21" s="26">
        <f>IF(3&gt;Ncoup,"",IF(IsZero=1,0,CouponRate/Freq*Face))</f>
        <v/>
      </c>
      <c r="D21" s="26">
        <f>IF(3&gt;Ncoup,"",IF(3=Ncoup,Face,0))</f>
        <v/>
      </c>
      <c r="E21" s="26">
        <f>IF(3&gt;Ncoup,"",$C$21+$D$21)</f>
        <v/>
      </c>
      <c r="F21" s="27">
        <f>IF(3&gt;Ncoup,"",((3-1)+Wfrac)/Freq)</f>
        <v/>
      </c>
      <c r="G21" s="23">
        <f>IF(3&gt;Ncoup,"",1/(1+YTM/Freq)^((3-1)+Wfrac))</f>
        <v/>
      </c>
      <c r="H21" s="26">
        <f>IF(3&gt;Ncoup,"",$E$21*$G$21)</f>
        <v/>
      </c>
      <c r="I21" s="23">
        <f>IF(3&gt;Ncoup,"",$E$21*((3-1)+Wfrac)*((3-1)+Wfrac+1)/(1+YTM/Freq)^((3-1)+Wfrac+2))</f>
        <v/>
      </c>
      <c r="J21" s="23">
        <f>IF(3&gt;Ncoup,"",$F$21*$H$21)</f>
        <v/>
      </c>
    </row>
    <row r="22">
      <c r="A22" s="19">
        <f>IF(4&gt;Ncoup,"",4)</f>
        <v/>
      </c>
      <c r="B22" s="22">
        <f>IF(4&gt;Ncoup,"",EDATE(Ncd,(12/Freq)*(4-1)))</f>
        <v/>
      </c>
      <c r="C22" s="26">
        <f>IF(4&gt;Ncoup,"",IF(IsZero=1,0,CouponRate/Freq*Face))</f>
        <v/>
      </c>
      <c r="D22" s="26">
        <f>IF(4&gt;Ncoup,"",IF(4=Ncoup,Face,0))</f>
        <v/>
      </c>
      <c r="E22" s="26">
        <f>IF(4&gt;Ncoup,"",$C$22+$D$22)</f>
        <v/>
      </c>
      <c r="F22" s="27">
        <f>IF(4&gt;Ncoup,"",((4-1)+Wfrac)/Freq)</f>
        <v/>
      </c>
      <c r="G22" s="23">
        <f>IF(4&gt;Ncoup,"",1/(1+YTM/Freq)^((4-1)+Wfrac))</f>
        <v/>
      </c>
      <c r="H22" s="26">
        <f>IF(4&gt;Ncoup,"",$E$22*$G$22)</f>
        <v/>
      </c>
      <c r="I22" s="23">
        <f>IF(4&gt;Ncoup,"",$E$22*((4-1)+Wfrac)*((4-1)+Wfrac+1)/(1+YTM/Freq)^((4-1)+Wfrac+2))</f>
        <v/>
      </c>
      <c r="J22" s="23">
        <f>IF(4&gt;Ncoup,"",$F$22*$H$22)</f>
        <v/>
      </c>
    </row>
    <row r="23">
      <c r="A23" s="19">
        <f>IF(5&gt;Ncoup,"",5)</f>
        <v/>
      </c>
      <c r="B23" s="22">
        <f>IF(5&gt;Ncoup,"",EDATE(Ncd,(12/Freq)*(5-1)))</f>
        <v/>
      </c>
      <c r="C23" s="26">
        <f>IF(5&gt;Ncoup,"",IF(IsZero=1,0,CouponRate/Freq*Face))</f>
        <v/>
      </c>
      <c r="D23" s="26">
        <f>IF(5&gt;Ncoup,"",IF(5=Ncoup,Face,0))</f>
        <v/>
      </c>
      <c r="E23" s="26">
        <f>IF(5&gt;Ncoup,"",$C$23+$D$23)</f>
        <v/>
      </c>
      <c r="F23" s="27">
        <f>IF(5&gt;Ncoup,"",((5-1)+Wfrac)/Freq)</f>
        <v/>
      </c>
      <c r="G23" s="23">
        <f>IF(5&gt;Ncoup,"",1/(1+YTM/Freq)^((5-1)+Wfrac))</f>
        <v/>
      </c>
      <c r="H23" s="26">
        <f>IF(5&gt;Ncoup,"",$E$23*$G$23)</f>
        <v/>
      </c>
      <c r="I23" s="23">
        <f>IF(5&gt;Ncoup,"",$E$23*((5-1)+Wfrac)*((5-1)+Wfrac+1)/(1+YTM/Freq)^((5-1)+Wfrac+2))</f>
        <v/>
      </c>
      <c r="J23" s="23">
        <f>IF(5&gt;Ncoup,"",$F$23*$H$23)</f>
        <v/>
      </c>
    </row>
    <row r="24">
      <c r="A24" s="19">
        <f>IF(6&gt;Ncoup,"",6)</f>
        <v/>
      </c>
      <c r="B24" s="22">
        <f>IF(6&gt;Ncoup,"",EDATE(Ncd,(12/Freq)*(6-1)))</f>
        <v/>
      </c>
      <c r="C24" s="26">
        <f>IF(6&gt;Ncoup,"",IF(IsZero=1,0,CouponRate/Freq*Face))</f>
        <v/>
      </c>
      <c r="D24" s="26">
        <f>IF(6&gt;Ncoup,"",IF(6=Ncoup,Face,0))</f>
        <v/>
      </c>
      <c r="E24" s="26">
        <f>IF(6&gt;Ncoup,"",$C$24+$D$24)</f>
        <v/>
      </c>
      <c r="F24" s="27">
        <f>IF(6&gt;Ncoup,"",((6-1)+Wfrac)/Freq)</f>
        <v/>
      </c>
      <c r="G24" s="23">
        <f>IF(6&gt;Ncoup,"",1/(1+YTM/Freq)^((6-1)+Wfrac))</f>
        <v/>
      </c>
      <c r="H24" s="26">
        <f>IF(6&gt;Ncoup,"",$E$24*$G$24)</f>
        <v/>
      </c>
      <c r="I24" s="23">
        <f>IF(6&gt;Ncoup,"",$E$24*((6-1)+Wfrac)*((6-1)+Wfrac+1)/(1+YTM/Freq)^((6-1)+Wfrac+2))</f>
        <v/>
      </c>
      <c r="J24" s="23">
        <f>IF(6&gt;Ncoup,"",$F$24*$H$24)</f>
        <v/>
      </c>
    </row>
    <row r="25">
      <c r="A25" s="19">
        <f>IF(7&gt;Ncoup,"",7)</f>
        <v/>
      </c>
      <c r="B25" s="22">
        <f>IF(7&gt;Ncoup,"",EDATE(Ncd,(12/Freq)*(7-1)))</f>
        <v/>
      </c>
      <c r="C25" s="26">
        <f>IF(7&gt;Ncoup,"",IF(IsZero=1,0,CouponRate/Freq*Face))</f>
        <v/>
      </c>
      <c r="D25" s="26">
        <f>IF(7&gt;Ncoup,"",IF(7=Ncoup,Face,0))</f>
        <v/>
      </c>
      <c r="E25" s="26">
        <f>IF(7&gt;Ncoup,"",$C$25+$D$25)</f>
        <v/>
      </c>
      <c r="F25" s="27">
        <f>IF(7&gt;Ncoup,"",((7-1)+Wfrac)/Freq)</f>
        <v/>
      </c>
      <c r="G25" s="23">
        <f>IF(7&gt;Ncoup,"",1/(1+YTM/Freq)^((7-1)+Wfrac))</f>
        <v/>
      </c>
      <c r="H25" s="26">
        <f>IF(7&gt;Ncoup,"",$E$25*$G$25)</f>
        <v/>
      </c>
      <c r="I25" s="23">
        <f>IF(7&gt;Ncoup,"",$E$25*((7-1)+Wfrac)*((7-1)+Wfrac+1)/(1+YTM/Freq)^((7-1)+Wfrac+2))</f>
        <v/>
      </c>
      <c r="J25" s="23">
        <f>IF(7&gt;Ncoup,"",$F$25*$H$25)</f>
        <v/>
      </c>
    </row>
    <row r="26">
      <c r="A26" s="19">
        <f>IF(8&gt;Ncoup,"",8)</f>
        <v/>
      </c>
      <c r="B26" s="22">
        <f>IF(8&gt;Ncoup,"",EDATE(Ncd,(12/Freq)*(8-1)))</f>
        <v/>
      </c>
      <c r="C26" s="26">
        <f>IF(8&gt;Ncoup,"",IF(IsZero=1,0,CouponRate/Freq*Face))</f>
        <v/>
      </c>
      <c r="D26" s="26">
        <f>IF(8&gt;Ncoup,"",IF(8=Ncoup,Face,0))</f>
        <v/>
      </c>
      <c r="E26" s="26">
        <f>IF(8&gt;Ncoup,"",$C$26+$D$26)</f>
        <v/>
      </c>
      <c r="F26" s="27">
        <f>IF(8&gt;Ncoup,"",((8-1)+Wfrac)/Freq)</f>
        <v/>
      </c>
      <c r="G26" s="23">
        <f>IF(8&gt;Ncoup,"",1/(1+YTM/Freq)^((8-1)+Wfrac))</f>
        <v/>
      </c>
      <c r="H26" s="26">
        <f>IF(8&gt;Ncoup,"",$E$26*$G$26)</f>
        <v/>
      </c>
      <c r="I26" s="23">
        <f>IF(8&gt;Ncoup,"",$E$26*((8-1)+Wfrac)*((8-1)+Wfrac+1)/(1+YTM/Freq)^((8-1)+Wfrac+2))</f>
        <v/>
      </c>
      <c r="J26" s="23">
        <f>IF(8&gt;Ncoup,"",$F$26*$H$26)</f>
        <v/>
      </c>
    </row>
    <row r="27">
      <c r="A27" s="19">
        <f>IF(9&gt;Ncoup,"",9)</f>
        <v/>
      </c>
      <c r="B27" s="22">
        <f>IF(9&gt;Ncoup,"",EDATE(Ncd,(12/Freq)*(9-1)))</f>
        <v/>
      </c>
      <c r="C27" s="26">
        <f>IF(9&gt;Ncoup,"",IF(IsZero=1,0,CouponRate/Freq*Face))</f>
        <v/>
      </c>
      <c r="D27" s="26">
        <f>IF(9&gt;Ncoup,"",IF(9=Ncoup,Face,0))</f>
        <v/>
      </c>
      <c r="E27" s="26">
        <f>IF(9&gt;Ncoup,"",$C$27+$D$27)</f>
        <v/>
      </c>
      <c r="F27" s="27">
        <f>IF(9&gt;Ncoup,"",((9-1)+Wfrac)/Freq)</f>
        <v/>
      </c>
      <c r="G27" s="23">
        <f>IF(9&gt;Ncoup,"",1/(1+YTM/Freq)^((9-1)+Wfrac))</f>
        <v/>
      </c>
      <c r="H27" s="26">
        <f>IF(9&gt;Ncoup,"",$E$27*$G$27)</f>
        <v/>
      </c>
      <c r="I27" s="23">
        <f>IF(9&gt;Ncoup,"",$E$27*((9-1)+Wfrac)*((9-1)+Wfrac+1)/(1+YTM/Freq)^((9-1)+Wfrac+2))</f>
        <v/>
      </c>
      <c r="J27" s="23">
        <f>IF(9&gt;Ncoup,"",$F$27*$H$27)</f>
        <v/>
      </c>
    </row>
    <row r="28">
      <c r="A28" s="19">
        <f>IF(10&gt;Ncoup,"",10)</f>
        <v/>
      </c>
      <c r="B28" s="22">
        <f>IF(10&gt;Ncoup,"",EDATE(Ncd,(12/Freq)*(10-1)))</f>
        <v/>
      </c>
      <c r="C28" s="26">
        <f>IF(10&gt;Ncoup,"",IF(IsZero=1,0,CouponRate/Freq*Face))</f>
        <v/>
      </c>
      <c r="D28" s="26">
        <f>IF(10&gt;Ncoup,"",IF(10=Ncoup,Face,0))</f>
        <v/>
      </c>
      <c r="E28" s="26">
        <f>IF(10&gt;Ncoup,"",$C$28+$D$28)</f>
        <v/>
      </c>
      <c r="F28" s="27">
        <f>IF(10&gt;Ncoup,"",((10-1)+Wfrac)/Freq)</f>
        <v/>
      </c>
      <c r="G28" s="23">
        <f>IF(10&gt;Ncoup,"",1/(1+YTM/Freq)^((10-1)+Wfrac))</f>
        <v/>
      </c>
      <c r="H28" s="26">
        <f>IF(10&gt;Ncoup,"",$E$28*$G$28)</f>
        <v/>
      </c>
      <c r="I28" s="23">
        <f>IF(10&gt;Ncoup,"",$E$28*((10-1)+Wfrac)*((10-1)+Wfrac+1)/(1+YTM/Freq)^((10-1)+Wfrac+2))</f>
        <v/>
      </c>
      <c r="J28" s="23">
        <f>IF(10&gt;Ncoup,"",$F$28*$H$28)</f>
        <v/>
      </c>
    </row>
    <row r="29">
      <c r="A29" s="19">
        <f>IF(11&gt;Ncoup,"",11)</f>
        <v/>
      </c>
      <c r="B29" s="22">
        <f>IF(11&gt;Ncoup,"",EDATE(Ncd,(12/Freq)*(11-1)))</f>
        <v/>
      </c>
      <c r="C29" s="26">
        <f>IF(11&gt;Ncoup,"",IF(IsZero=1,0,CouponRate/Freq*Face))</f>
        <v/>
      </c>
      <c r="D29" s="26">
        <f>IF(11&gt;Ncoup,"",IF(11=Ncoup,Face,0))</f>
        <v/>
      </c>
      <c r="E29" s="26">
        <f>IF(11&gt;Ncoup,"",$C$29+$D$29)</f>
        <v/>
      </c>
      <c r="F29" s="27">
        <f>IF(11&gt;Ncoup,"",((11-1)+Wfrac)/Freq)</f>
        <v/>
      </c>
      <c r="G29" s="23">
        <f>IF(11&gt;Ncoup,"",1/(1+YTM/Freq)^((11-1)+Wfrac))</f>
        <v/>
      </c>
      <c r="H29" s="26">
        <f>IF(11&gt;Ncoup,"",$E$29*$G$29)</f>
        <v/>
      </c>
      <c r="I29" s="23">
        <f>IF(11&gt;Ncoup,"",$E$29*((11-1)+Wfrac)*((11-1)+Wfrac+1)/(1+YTM/Freq)^((11-1)+Wfrac+2))</f>
        <v/>
      </c>
      <c r="J29" s="23">
        <f>IF(11&gt;Ncoup,"",$F$29*$H$29)</f>
        <v/>
      </c>
    </row>
    <row r="30">
      <c r="A30" s="19">
        <f>IF(12&gt;Ncoup,"",12)</f>
        <v/>
      </c>
      <c r="B30" s="22">
        <f>IF(12&gt;Ncoup,"",EDATE(Ncd,(12/Freq)*(12-1)))</f>
        <v/>
      </c>
      <c r="C30" s="26">
        <f>IF(12&gt;Ncoup,"",IF(IsZero=1,0,CouponRate/Freq*Face))</f>
        <v/>
      </c>
      <c r="D30" s="26">
        <f>IF(12&gt;Ncoup,"",IF(12=Ncoup,Face,0))</f>
        <v/>
      </c>
      <c r="E30" s="26">
        <f>IF(12&gt;Ncoup,"",$C$30+$D$30)</f>
        <v/>
      </c>
      <c r="F30" s="27">
        <f>IF(12&gt;Ncoup,"",((12-1)+Wfrac)/Freq)</f>
        <v/>
      </c>
      <c r="G30" s="23">
        <f>IF(12&gt;Ncoup,"",1/(1+YTM/Freq)^((12-1)+Wfrac))</f>
        <v/>
      </c>
      <c r="H30" s="26">
        <f>IF(12&gt;Ncoup,"",$E$30*$G$30)</f>
        <v/>
      </c>
      <c r="I30" s="23">
        <f>IF(12&gt;Ncoup,"",$E$30*((12-1)+Wfrac)*((12-1)+Wfrac+1)/(1+YTM/Freq)^((12-1)+Wfrac+2))</f>
        <v/>
      </c>
      <c r="J30" s="23">
        <f>IF(12&gt;Ncoup,"",$F$30*$H$30)</f>
        <v/>
      </c>
    </row>
    <row r="31">
      <c r="A31" s="19">
        <f>IF(13&gt;Ncoup,"",13)</f>
        <v/>
      </c>
      <c r="B31" s="22">
        <f>IF(13&gt;Ncoup,"",EDATE(Ncd,(12/Freq)*(13-1)))</f>
        <v/>
      </c>
      <c r="C31" s="26">
        <f>IF(13&gt;Ncoup,"",IF(IsZero=1,0,CouponRate/Freq*Face))</f>
        <v/>
      </c>
      <c r="D31" s="26">
        <f>IF(13&gt;Ncoup,"",IF(13=Ncoup,Face,0))</f>
        <v/>
      </c>
      <c r="E31" s="26">
        <f>IF(13&gt;Ncoup,"",$C$31+$D$31)</f>
        <v/>
      </c>
      <c r="F31" s="27">
        <f>IF(13&gt;Ncoup,"",((13-1)+Wfrac)/Freq)</f>
        <v/>
      </c>
      <c r="G31" s="23">
        <f>IF(13&gt;Ncoup,"",1/(1+YTM/Freq)^((13-1)+Wfrac))</f>
        <v/>
      </c>
      <c r="H31" s="26">
        <f>IF(13&gt;Ncoup,"",$E$31*$G$31)</f>
        <v/>
      </c>
      <c r="I31" s="23">
        <f>IF(13&gt;Ncoup,"",$E$31*((13-1)+Wfrac)*((13-1)+Wfrac+1)/(1+YTM/Freq)^((13-1)+Wfrac+2))</f>
        <v/>
      </c>
      <c r="J31" s="23">
        <f>IF(13&gt;Ncoup,"",$F$31*$H$31)</f>
        <v/>
      </c>
    </row>
    <row r="32">
      <c r="A32" s="19">
        <f>IF(14&gt;Ncoup,"",14)</f>
        <v/>
      </c>
      <c r="B32" s="22">
        <f>IF(14&gt;Ncoup,"",EDATE(Ncd,(12/Freq)*(14-1)))</f>
        <v/>
      </c>
      <c r="C32" s="26">
        <f>IF(14&gt;Ncoup,"",IF(IsZero=1,0,CouponRate/Freq*Face))</f>
        <v/>
      </c>
      <c r="D32" s="26">
        <f>IF(14&gt;Ncoup,"",IF(14=Ncoup,Face,0))</f>
        <v/>
      </c>
      <c r="E32" s="26">
        <f>IF(14&gt;Ncoup,"",$C$32+$D$32)</f>
        <v/>
      </c>
      <c r="F32" s="27">
        <f>IF(14&gt;Ncoup,"",((14-1)+Wfrac)/Freq)</f>
        <v/>
      </c>
      <c r="G32" s="23">
        <f>IF(14&gt;Ncoup,"",1/(1+YTM/Freq)^((14-1)+Wfrac))</f>
        <v/>
      </c>
      <c r="H32" s="26">
        <f>IF(14&gt;Ncoup,"",$E$32*$G$32)</f>
        <v/>
      </c>
      <c r="I32" s="23">
        <f>IF(14&gt;Ncoup,"",$E$32*((14-1)+Wfrac)*((14-1)+Wfrac+1)/(1+YTM/Freq)^((14-1)+Wfrac+2))</f>
        <v/>
      </c>
      <c r="J32" s="23">
        <f>IF(14&gt;Ncoup,"",$F$32*$H$32)</f>
        <v/>
      </c>
    </row>
    <row r="33">
      <c r="A33" s="19">
        <f>IF(15&gt;Ncoup,"",15)</f>
        <v/>
      </c>
      <c r="B33" s="22">
        <f>IF(15&gt;Ncoup,"",EDATE(Ncd,(12/Freq)*(15-1)))</f>
        <v/>
      </c>
      <c r="C33" s="26">
        <f>IF(15&gt;Ncoup,"",IF(IsZero=1,0,CouponRate/Freq*Face))</f>
        <v/>
      </c>
      <c r="D33" s="26">
        <f>IF(15&gt;Ncoup,"",IF(15=Ncoup,Face,0))</f>
        <v/>
      </c>
      <c r="E33" s="26">
        <f>IF(15&gt;Ncoup,"",$C$33+$D$33)</f>
        <v/>
      </c>
      <c r="F33" s="27">
        <f>IF(15&gt;Ncoup,"",((15-1)+Wfrac)/Freq)</f>
        <v/>
      </c>
      <c r="G33" s="23">
        <f>IF(15&gt;Ncoup,"",1/(1+YTM/Freq)^((15-1)+Wfrac))</f>
        <v/>
      </c>
      <c r="H33" s="26">
        <f>IF(15&gt;Ncoup,"",$E$33*$G$33)</f>
        <v/>
      </c>
      <c r="I33" s="23">
        <f>IF(15&gt;Ncoup,"",$E$33*((15-1)+Wfrac)*((15-1)+Wfrac+1)/(1+YTM/Freq)^((15-1)+Wfrac+2))</f>
        <v/>
      </c>
      <c r="J33" s="23">
        <f>IF(15&gt;Ncoup,"",$F$33*$H$33)</f>
        <v/>
      </c>
    </row>
    <row r="34">
      <c r="A34" s="19">
        <f>IF(16&gt;Ncoup,"",16)</f>
        <v/>
      </c>
      <c r="B34" s="22">
        <f>IF(16&gt;Ncoup,"",EDATE(Ncd,(12/Freq)*(16-1)))</f>
        <v/>
      </c>
      <c r="C34" s="26">
        <f>IF(16&gt;Ncoup,"",IF(IsZero=1,0,CouponRate/Freq*Face))</f>
        <v/>
      </c>
      <c r="D34" s="26">
        <f>IF(16&gt;Ncoup,"",IF(16=Ncoup,Face,0))</f>
        <v/>
      </c>
      <c r="E34" s="26">
        <f>IF(16&gt;Ncoup,"",$C$34+$D$34)</f>
        <v/>
      </c>
      <c r="F34" s="27">
        <f>IF(16&gt;Ncoup,"",((16-1)+Wfrac)/Freq)</f>
        <v/>
      </c>
      <c r="G34" s="23">
        <f>IF(16&gt;Ncoup,"",1/(1+YTM/Freq)^((16-1)+Wfrac))</f>
        <v/>
      </c>
      <c r="H34" s="26">
        <f>IF(16&gt;Ncoup,"",$E$34*$G$34)</f>
        <v/>
      </c>
      <c r="I34" s="23">
        <f>IF(16&gt;Ncoup,"",$E$34*((16-1)+Wfrac)*((16-1)+Wfrac+1)/(1+YTM/Freq)^((16-1)+Wfrac+2))</f>
        <v/>
      </c>
      <c r="J34" s="23">
        <f>IF(16&gt;Ncoup,"",$F$34*$H$34)</f>
        <v/>
      </c>
    </row>
    <row r="35">
      <c r="A35" s="19">
        <f>IF(17&gt;Ncoup,"",17)</f>
        <v/>
      </c>
      <c r="B35" s="22">
        <f>IF(17&gt;Ncoup,"",EDATE(Ncd,(12/Freq)*(17-1)))</f>
        <v/>
      </c>
      <c r="C35" s="26">
        <f>IF(17&gt;Ncoup,"",IF(IsZero=1,0,CouponRate/Freq*Face))</f>
        <v/>
      </c>
      <c r="D35" s="26">
        <f>IF(17&gt;Ncoup,"",IF(17=Ncoup,Face,0))</f>
        <v/>
      </c>
      <c r="E35" s="26">
        <f>IF(17&gt;Ncoup,"",$C$35+$D$35)</f>
        <v/>
      </c>
      <c r="F35" s="27">
        <f>IF(17&gt;Ncoup,"",((17-1)+Wfrac)/Freq)</f>
        <v/>
      </c>
      <c r="G35" s="23">
        <f>IF(17&gt;Ncoup,"",1/(1+YTM/Freq)^((17-1)+Wfrac))</f>
        <v/>
      </c>
      <c r="H35" s="26">
        <f>IF(17&gt;Ncoup,"",$E$35*$G$35)</f>
        <v/>
      </c>
      <c r="I35" s="23">
        <f>IF(17&gt;Ncoup,"",$E$35*((17-1)+Wfrac)*((17-1)+Wfrac+1)/(1+YTM/Freq)^((17-1)+Wfrac+2))</f>
        <v/>
      </c>
      <c r="J35" s="23">
        <f>IF(17&gt;Ncoup,"",$F$35*$H$35)</f>
        <v/>
      </c>
    </row>
    <row r="36">
      <c r="A36" s="19">
        <f>IF(18&gt;Ncoup,"",18)</f>
        <v/>
      </c>
      <c r="B36" s="22">
        <f>IF(18&gt;Ncoup,"",EDATE(Ncd,(12/Freq)*(18-1)))</f>
        <v/>
      </c>
      <c r="C36" s="26">
        <f>IF(18&gt;Ncoup,"",IF(IsZero=1,0,CouponRate/Freq*Face))</f>
        <v/>
      </c>
      <c r="D36" s="26">
        <f>IF(18&gt;Ncoup,"",IF(18=Ncoup,Face,0))</f>
        <v/>
      </c>
      <c r="E36" s="26">
        <f>IF(18&gt;Ncoup,"",$C$36+$D$36)</f>
        <v/>
      </c>
      <c r="F36" s="27">
        <f>IF(18&gt;Ncoup,"",((18-1)+Wfrac)/Freq)</f>
        <v/>
      </c>
      <c r="G36" s="23">
        <f>IF(18&gt;Ncoup,"",1/(1+YTM/Freq)^((18-1)+Wfrac))</f>
        <v/>
      </c>
      <c r="H36" s="26">
        <f>IF(18&gt;Ncoup,"",$E$36*$G$36)</f>
        <v/>
      </c>
      <c r="I36" s="23">
        <f>IF(18&gt;Ncoup,"",$E$36*((18-1)+Wfrac)*((18-1)+Wfrac+1)/(1+YTM/Freq)^((18-1)+Wfrac+2))</f>
        <v/>
      </c>
      <c r="J36" s="23">
        <f>IF(18&gt;Ncoup,"",$F$36*$H$36)</f>
        <v/>
      </c>
    </row>
    <row r="37">
      <c r="A37" s="19">
        <f>IF(19&gt;Ncoup,"",19)</f>
        <v/>
      </c>
      <c r="B37" s="22">
        <f>IF(19&gt;Ncoup,"",EDATE(Ncd,(12/Freq)*(19-1)))</f>
        <v/>
      </c>
      <c r="C37" s="26">
        <f>IF(19&gt;Ncoup,"",IF(IsZero=1,0,CouponRate/Freq*Face))</f>
        <v/>
      </c>
      <c r="D37" s="26">
        <f>IF(19&gt;Ncoup,"",IF(19=Ncoup,Face,0))</f>
        <v/>
      </c>
      <c r="E37" s="26">
        <f>IF(19&gt;Ncoup,"",$C$37+$D$37)</f>
        <v/>
      </c>
      <c r="F37" s="27">
        <f>IF(19&gt;Ncoup,"",((19-1)+Wfrac)/Freq)</f>
        <v/>
      </c>
      <c r="G37" s="23">
        <f>IF(19&gt;Ncoup,"",1/(1+YTM/Freq)^((19-1)+Wfrac))</f>
        <v/>
      </c>
      <c r="H37" s="26">
        <f>IF(19&gt;Ncoup,"",$E$37*$G$37)</f>
        <v/>
      </c>
      <c r="I37" s="23">
        <f>IF(19&gt;Ncoup,"",$E$37*((19-1)+Wfrac)*((19-1)+Wfrac+1)/(1+YTM/Freq)^((19-1)+Wfrac+2))</f>
        <v/>
      </c>
      <c r="J37" s="23">
        <f>IF(19&gt;Ncoup,"",$F$37*$H$37)</f>
        <v/>
      </c>
    </row>
    <row r="38">
      <c r="A38" s="19">
        <f>IF(20&gt;Ncoup,"",20)</f>
        <v/>
      </c>
      <c r="B38" s="22">
        <f>IF(20&gt;Ncoup,"",EDATE(Ncd,(12/Freq)*(20-1)))</f>
        <v/>
      </c>
      <c r="C38" s="26">
        <f>IF(20&gt;Ncoup,"",IF(IsZero=1,0,CouponRate/Freq*Face))</f>
        <v/>
      </c>
      <c r="D38" s="26">
        <f>IF(20&gt;Ncoup,"",IF(20=Ncoup,Face,0))</f>
        <v/>
      </c>
      <c r="E38" s="26">
        <f>IF(20&gt;Ncoup,"",$C$38+$D$38)</f>
        <v/>
      </c>
      <c r="F38" s="27">
        <f>IF(20&gt;Ncoup,"",((20-1)+Wfrac)/Freq)</f>
        <v/>
      </c>
      <c r="G38" s="23">
        <f>IF(20&gt;Ncoup,"",1/(1+YTM/Freq)^((20-1)+Wfrac))</f>
        <v/>
      </c>
      <c r="H38" s="26">
        <f>IF(20&gt;Ncoup,"",$E$38*$G$38)</f>
        <v/>
      </c>
      <c r="I38" s="23">
        <f>IF(20&gt;Ncoup,"",$E$38*((20-1)+Wfrac)*((20-1)+Wfrac+1)/(1+YTM/Freq)^((20-1)+Wfrac+2))</f>
        <v/>
      </c>
      <c r="J38" s="23">
        <f>IF(20&gt;Ncoup,"",$F$38*$H$38)</f>
        <v/>
      </c>
    </row>
    <row r="39">
      <c r="A39" s="19">
        <f>IF(21&gt;Ncoup,"",21)</f>
        <v/>
      </c>
      <c r="B39" s="22">
        <f>IF(21&gt;Ncoup,"",EDATE(Ncd,(12/Freq)*(21-1)))</f>
        <v/>
      </c>
      <c r="C39" s="26">
        <f>IF(21&gt;Ncoup,"",IF(IsZero=1,0,CouponRate/Freq*Face))</f>
        <v/>
      </c>
      <c r="D39" s="26">
        <f>IF(21&gt;Ncoup,"",IF(21=Ncoup,Face,0))</f>
        <v/>
      </c>
      <c r="E39" s="26">
        <f>IF(21&gt;Ncoup,"",$C$39+$D$39)</f>
        <v/>
      </c>
      <c r="F39" s="27">
        <f>IF(21&gt;Ncoup,"",((21-1)+Wfrac)/Freq)</f>
        <v/>
      </c>
      <c r="G39" s="23">
        <f>IF(21&gt;Ncoup,"",1/(1+YTM/Freq)^((21-1)+Wfrac))</f>
        <v/>
      </c>
      <c r="H39" s="26">
        <f>IF(21&gt;Ncoup,"",$E$39*$G$39)</f>
        <v/>
      </c>
      <c r="I39" s="23">
        <f>IF(21&gt;Ncoup,"",$E$39*((21-1)+Wfrac)*((21-1)+Wfrac+1)/(1+YTM/Freq)^((21-1)+Wfrac+2))</f>
        <v/>
      </c>
      <c r="J39" s="23">
        <f>IF(21&gt;Ncoup,"",$F$39*$H$39)</f>
        <v/>
      </c>
    </row>
    <row r="40">
      <c r="A40" s="19">
        <f>IF(22&gt;Ncoup,"",22)</f>
        <v/>
      </c>
      <c r="B40" s="22">
        <f>IF(22&gt;Ncoup,"",EDATE(Ncd,(12/Freq)*(22-1)))</f>
        <v/>
      </c>
      <c r="C40" s="26">
        <f>IF(22&gt;Ncoup,"",IF(IsZero=1,0,CouponRate/Freq*Face))</f>
        <v/>
      </c>
      <c r="D40" s="26">
        <f>IF(22&gt;Ncoup,"",IF(22=Ncoup,Face,0))</f>
        <v/>
      </c>
      <c r="E40" s="26">
        <f>IF(22&gt;Ncoup,"",$C$40+$D$40)</f>
        <v/>
      </c>
      <c r="F40" s="27">
        <f>IF(22&gt;Ncoup,"",((22-1)+Wfrac)/Freq)</f>
        <v/>
      </c>
      <c r="G40" s="23">
        <f>IF(22&gt;Ncoup,"",1/(1+YTM/Freq)^((22-1)+Wfrac))</f>
        <v/>
      </c>
      <c r="H40" s="26">
        <f>IF(22&gt;Ncoup,"",$E$40*$G$40)</f>
        <v/>
      </c>
      <c r="I40" s="23">
        <f>IF(22&gt;Ncoup,"",$E$40*((22-1)+Wfrac)*((22-1)+Wfrac+1)/(1+YTM/Freq)^((22-1)+Wfrac+2))</f>
        <v/>
      </c>
      <c r="J40" s="23">
        <f>IF(22&gt;Ncoup,"",$F$40*$H$40)</f>
        <v/>
      </c>
    </row>
    <row r="41">
      <c r="A41" s="19">
        <f>IF(23&gt;Ncoup,"",23)</f>
        <v/>
      </c>
      <c r="B41" s="22">
        <f>IF(23&gt;Ncoup,"",EDATE(Ncd,(12/Freq)*(23-1)))</f>
        <v/>
      </c>
      <c r="C41" s="26">
        <f>IF(23&gt;Ncoup,"",IF(IsZero=1,0,CouponRate/Freq*Face))</f>
        <v/>
      </c>
      <c r="D41" s="26">
        <f>IF(23&gt;Ncoup,"",IF(23=Ncoup,Face,0))</f>
        <v/>
      </c>
      <c r="E41" s="26">
        <f>IF(23&gt;Ncoup,"",$C$41+$D$41)</f>
        <v/>
      </c>
      <c r="F41" s="27">
        <f>IF(23&gt;Ncoup,"",((23-1)+Wfrac)/Freq)</f>
        <v/>
      </c>
      <c r="G41" s="23">
        <f>IF(23&gt;Ncoup,"",1/(1+YTM/Freq)^((23-1)+Wfrac))</f>
        <v/>
      </c>
      <c r="H41" s="26">
        <f>IF(23&gt;Ncoup,"",$E$41*$G$41)</f>
        <v/>
      </c>
      <c r="I41" s="23">
        <f>IF(23&gt;Ncoup,"",$E$41*((23-1)+Wfrac)*((23-1)+Wfrac+1)/(1+YTM/Freq)^((23-1)+Wfrac+2))</f>
        <v/>
      </c>
      <c r="J41" s="23">
        <f>IF(23&gt;Ncoup,"",$F$41*$H$41)</f>
        <v/>
      </c>
    </row>
    <row r="42">
      <c r="A42" s="19">
        <f>IF(24&gt;Ncoup,"",24)</f>
        <v/>
      </c>
      <c r="B42" s="22">
        <f>IF(24&gt;Ncoup,"",EDATE(Ncd,(12/Freq)*(24-1)))</f>
        <v/>
      </c>
      <c r="C42" s="26">
        <f>IF(24&gt;Ncoup,"",IF(IsZero=1,0,CouponRate/Freq*Face))</f>
        <v/>
      </c>
      <c r="D42" s="26">
        <f>IF(24&gt;Ncoup,"",IF(24=Ncoup,Face,0))</f>
        <v/>
      </c>
      <c r="E42" s="26">
        <f>IF(24&gt;Ncoup,"",$C$42+$D$42)</f>
        <v/>
      </c>
      <c r="F42" s="27">
        <f>IF(24&gt;Ncoup,"",((24-1)+Wfrac)/Freq)</f>
        <v/>
      </c>
      <c r="G42" s="23">
        <f>IF(24&gt;Ncoup,"",1/(1+YTM/Freq)^((24-1)+Wfrac))</f>
        <v/>
      </c>
      <c r="H42" s="26">
        <f>IF(24&gt;Ncoup,"",$E$42*$G$42)</f>
        <v/>
      </c>
      <c r="I42" s="23">
        <f>IF(24&gt;Ncoup,"",$E$42*((24-1)+Wfrac)*((24-1)+Wfrac+1)/(1+YTM/Freq)^((24-1)+Wfrac+2))</f>
        <v/>
      </c>
      <c r="J42" s="23">
        <f>IF(24&gt;Ncoup,"",$F$42*$H$42)</f>
        <v/>
      </c>
    </row>
    <row r="43">
      <c r="A43" s="19">
        <f>IF(25&gt;Ncoup,"",25)</f>
        <v/>
      </c>
      <c r="B43" s="22">
        <f>IF(25&gt;Ncoup,"",EDATE(Ncd,(12/Freq)*(25-1)))</f>
        <v/>
      </c>
      <c r="C43" s="26">
        <f>IF(25&gt;Ncoup,"",IF(IsZero=1,0,CouponRate/Freq*Face))</f>
        <v/>
      </c>
      <c r="D43" s="26">
        <f>IF(25&gt;Ncoup,"",IF(25=Ncoup,Face,0))</f>
        <v/>
      </c>
      <c r="E43" s="26">
        <f>IF(25&gt;Ncoup,"",$C$43+$D$43)</f>
        <v/>
      </c>
      <c r="F43" s="27">
        <f>IF(25&gt;Ncoup,"",((25-1)+Wfrac)/Freq)</f>
        <v/>
      </c>
      <c r="G43" s="23">
        <f>IF(25&gt;Ncoup,"",1/(1+YTM/Freq)^((25-1)+Wfrac))</f>
        <v/>
      </c>
      <c r="H43" s="26">
        <f>IF(25&gt;Ncoup,"",$E$43*$G$43)</f>
        <v/>
      </c>
      <c r="I43" s="23">
        <f>IF(25&gt;Ncoup,"",$E$43*((25-1)+Wfrac)*((25-1)+Wfrac+1)/(1+YTM/Freq)^((25-1)+Wfrac+2))</f>
        <v/>
      </c>
      <c r="J43" s="23">
        <f>IF(25&gt;Ncoup,"",$F$43*$H$43)</f>
        <v/>
      </c>
    </row>
    <row r="44">
      <c r="A44" s="19">
        <f>IF(26&gt;Ncoup,"",26)</f>
        <v/>
      </c>
      <c r="B44" s="22">
        <f>IF(26&gt;Ncoup,"",EDATE(Ncd,(12/Freq)*(26-1)))</f>
        <v/>
      </c>
      <c r="C44" s="26">
        <f>IF(26&gt;Ncoup,"",IF(IsZero=1,0,CouponRate/Freq*Face))</f>
        <v/>
      </c>
      <c r="D44" s="26">
        <f>IF(26&gt;Ncoup,"",IF(26=Ncoup,Face,0))</f>
        <v/>
      </c>
      <c r="E44" s="26">
        <f>IF(26&gt;Ncoup,"",$C$44+$D$44)</f>
        <v/>
      </c>
      <c r="F44" s="27">
        <f>IF(26&gt;Ncoup,"",((26-1)+Wfrac)/Freq)</f>
        <v/>
      </c>
      <c r="G44" s="23">
        <f>IF(26&gt;Ncoup,"",1/(1+YTM/Freq)^((26-1)+Wfrac))</f>
        <v/>
      </c>
      <c r="H44" s="26">
        <f>IF(26&gt;Ncoup,"",$E$44*$G$44)</f>
        <v/>
      </c>
      <c r="I44" s="23">
        <f>IF(26&gt;Ncoup,"",$E$44*((26-1)+Wfrac)*((26-1)+Wfrac+1)/(1+YTM/Freq)^((26-1)+Wfrac+2))</f>
        <v/>
      </c>
      <c r="J44" s="23">
        <f>IF(26&gt;Ncoup,"",$F$44*$H$44)</f>
        <v/>
      </c>
    </row>
    <row r="45">
      <c r="A45" s="19">
        <f>IF(27&gt;Ncoup,"",27)</f>
        <v/>
      </c>
      <c r="B45" s="22">
        <f>IF(27&gt;Ncoup,"",EDATE(Ncd,(12/Freq)*(27-1)))</f>
        <v/>
      </c>
      <c r="C45" s="26">
        <f>IF(27&gt;Ncoup,"",IF(IsZero=1,0,CouponRate/Freq*Face))</f>
        <v/>
      </c>
      <c r="D45" s="26">
        <f>IF(27&gt;Ncoup,"",IF(27=Ncoup,Face,0))</f>
        <v/>
      </c>
      <c r="E45" s="26">
        <f>IF(27&gt;Ncoup,"",$C$45+$D$45)</f>
        <v/>
      </c>
      <c r="F45" s="27">
        <f>IF(27&gt;Ncoup,"",((27-1)+Wfrac)/Freq)</f>
        <v/>
      </c>
      <c r="G45" s="23">
        <f>IF(27&gt;Ncoup,"",1/(1+YTM/Freq)^((27-1)+Wfrac))</f>
        <v/>
      </c>
      <c r="H45" s="26">
        <f>IF(27&gt;Ncoup,"",$E$45*$G$45)</f>
        <v/>
      </c>
      <c r="I45" s="23">
        <f>IF(27&gt;Ncoup,"",$E$45*((27-1)+Wfrac)*((27-1)+Wfrac+1)/(1+YTM/Freq)^((27-1)+Wfrac+2))</f>
        <v/>
      </c>
      <c r="J45" s="23">
        <f>IF(27&gt;Ncoup,"",$F$45*$H$45)</f>
        <v/>
      </c>
    </row>
    <row r="46">
      <c r="A46" s="19">
        <f>IF(28&gt;Ncoup,"",28)</f>
        <v/>
      </c>
      <c r="B46" s="22">
        <f>IF(28&gt;Ncoup,"",EDATE(Ncd,(12/Freq)*(28-1)))</f>
        <v/>
      </c>
      <c r="C46" s="26">
        <f>IF(28&gt;Ncoup,"",IF(IsZero=1,0,CouponRate/Freq*Face))</f>
        <v/>
      </c>
      <c r="D46" s="26">
        <f>IF(28&gt;Ncoup,"",IF(28=Ncoup,Face,0))</f>
        <v/>
      </c>
      <c r="E46" s="26">
        <f>IF(28&gt;Ncoup,"",$C$46+$D$46)</f>
        <v/>
      </c>
      <c r="F46" s="27">
        <f>IF(28&gt;Ncoup,"",((28-1)+Wfrac)/Freq)</f>
        <v/>
      </c>
      <c r="G46" s="23">
        <f>IF(28&gt;Ncoup,"",1/(1+YTM/Freq)^((28-1)+Wfrac))</f>
        <v/>
      </c>
      <c r="H46" s="26">
        <f>IF(28&gt;Ncoup,"",$E$46*$G$46)</f>
        <v/>
      </c>
      <c r="I46" s="23">
        <f>IF(28&gt;Ncoup,"",$E$46*((28-1)+Wfrac)*((28-1)+Wfrac+1)/(1+YTM/Freq)^((28-1)+Wfrac+2))</f>
        <v/>
      </c>
      <c r="J46" s="23">
        <f>IF(28&gt;Ncoup,"",$F$46*$H$46)</f>
        <v/>
      </c>
    </row>
    <row r="47">
      <c r="A47" s="19">
        <f>IF(29&gt;Ncoup,"",29)</f>
        <v/>
      </c>
      <c r="B47" s="22">
        <f>IF(29&gt;Ncoup,"",EDATE(Ncd,(12/Freq)*(29-1)))</f>
        <v/>
      </c>
      <c r="C47" s="26">
        <f>IF(29&gt;Ncoup,"",IF(IsZero=1,0,CouponRate/Freq*Face))</f>
        <v/>
      </c>
      <c r="D47" s="26">
        <f>IF(29&gt;Ncoup,"",IF(29=Ncoup,Face,0))</f>
        <v/>
      </c>
      <c r="E47" s="26">
        <f>IF(29&gt;Ncoup,"",$C$47+$D$47)</f>
        <v/>
      </c>
      <c r="F47" s="27">
        <f>IF(29&gt;Ncoup,"",((29-1)+Wfrac)/Freq)</f>
        <v/>
      </c>
      <c r="G47" s="23">
        <f>IF(29&gt;Ncoup,"",1/(1+YTM/Freq)^((29-1)+Wfrac))</f>
        <v/>
      </c>
      <c r="H47" s="26">
        <f>IF(29&gt;Ncoup,"",$E$47*$G$47)</f>
        <v/>
      </c>
      <c r="I47" s="23">
        <f>IF(29&gt;Ncoup,"",$E$47*((29-1)+Wfrac)*((29-1)+Wfrac+1)/(1+YTM/Freq)^((29-1)+Wfrac+2))</f>
        <v/>
      </c>
      <c r="J47" s="23">
        <f>IF(29&gt;Ncoup,"",$F$47*$H$47)</f>
        <v/>
      </c>
    </row>
    <row r="48">
      <c r="A48" s="19">
        <f>IF(30&gt;Ncoup,"",30)</f>
        <v/>
      </c>
      <c r="B48" s="22">
        <f>IF(30&gt;Ncoup,"",EDATE(Ncd,(12/Freq)*(30-1)))</f>
        <v/>
      </c>
      <c r="C48" s="26">
        <f>IF(30&gt;Ncoup,"",IF(IsZero=1,0,CouponRate/Freq*Face))</f>
        <v/>
      </c>
      <c r="D48" s="26">
        <f>IF(30&gt;Ncoup,"",IF(30=Ncoup,Face,0))</f>
        <v/>
      </c>
      <c r="E48" s="26">
        <f>IF(30&gt;Ncoup,"",$C$48+$D$48)</f>
        <v/>
      </c>
      <c r="F48" s="27">
        <f>IF(30&gt;Ncoup,"",((30-1)+Wfrac)/Freq)</f>
        <v/>
      </c>
      <c r="G48" s="23">
        <f>IF(30&gt;Ncoup,"",1/(1+YTM/Freq)^((30-1)+Wfrac))</f>
        <v/>
      </c>
      <c r="H48" s="26">
        <f>IF(30&gt;Ncoup,"",$E$48*$G$48)</f>
        <v/>
      </c>
      <c r="I48" s="23">
        <f>IF(30&gt;Ncoup,"",$E$48*((30-1)+Wfrac)*((30-1)+Wfrac+1)/(1+YTM/Freq)^((30-1)+Wfrac+2))</f>
        <v/>
      </c>
      <c r="J48" s="23">
        <f>IF(30&gt;Ncoup,"",$F$48*$H$48)</f>
        <v/>
      </c>
    </row>
    <row r="49">
      <c r="A49" s="19">
        <f>IF(31&gt;Ncoup,"",31)</f>
        <v/>
      </c>
      <c r="B49" s="22">
        <f>IF(31&gt;Ncoup,"",EDATE(Ncd,(12/Freq)*(31-1)))</f>
        <v/>
      </c>
      <c r="C49" s="26">
        <f>IF(31&gt;Ncoup,"",IF(IsZero=1,0,CouponRate/Freq*Face))</f>
        <v/>
      </c>
      <c r="D49" s="26">
        <f>IF(31&gt;Ncoup,"",IF(31=Ncoup,Face,0))</f>
        <v/>
      </c>
      <c r="E49" s="26">
        <f>IF(31&gt;Ncoup,"",$C$49+$D$49)</f>
        <v/>
      </c>
      <c r="F49" s="27">
        <f>IF(31&gt;Ncoup,"",((31-1)+Wfrac)/Freq)</f>
        <v/>
      </c>
      <c r="G49" s="23">
        <f>IF(31&gt;Ncoup,"",1/(1+YTM/Freq)^((31-1)+Wfrac))</f>
        <v/>
      </c>
      <c r="H49" s="26">
        <f>IF(31&gt;Ncoup,"",$E$49*$G$49)</f>
        <v/>
      </c>
      <c r="I49" s="23">
        <f>IF(31&gt;Ncoup,"",$E$49*((31-1)+Wfrac)*((31-1)+Wfrac+1)/(1+YTM/Freq)^((31-1)+Wfrac+2))</f>
        <v/>
      </c>
      <c r="J49" s="23">
        <f>IF(31&gt;Ncoup,"",$F$49*$H$49)</f>
        <v/>
      </c>
    </row>
    <row r="50">
      <c r="A50" s="19">
        <f>IF(32&gt;Ncoup,"",32)</f>
        <v/>
      </c>
      <c r="B50" s="22">
        <f>IF(32&gt;Ncoup,"",EDATE(Ncd,(12/Freq)*(32-1)))</f>
        <v/>
      </c>
      <c r="C50" s="26">
        <f>IF(32&gt;Ncoup,"",IF(IsZero=1,0,CouponRate/Freq*Face))</f>
        <v/>
      </c>
      <c r="D50" s="26">
        <f>IF(32&gt;Ncoup,"",IF(32=Ncoup,Face,0))</f>
        <v/>
      </c>
      <c r="E50" s="26">
        <f>IF(32&gt;Ncoup,"",$C$50+$D$50)</f>
        <v/>
      </c>
      <c r="F50" s="27">
        <f>IF(32&gt;Ncoup,"",((32-1)+Wfrac)/Freq)</f>
        <v/>
      </c>
      <c r="G50" s="23">
        <f>IF(32&gt;Ncoup,"",1/(1+YTM/Freq)^((32-1)+Wfrac))</f>
        <v/>
      </c>
      <c r="H50" s="26">
        <f>IF(32&gt;Ncoup,"",$E$50*$G$50)</f>
        <v/>
      </c>
      <c r="I50" s="23">
        <f>IF(32&gt;Ncoup,"",$E$50*((32-1)+Wfrac)*((32-1)+Wfrac+1)/(1+YTM/Freq)^((32-1)+Wfrac+2))</f>
        <v/>
      </c>
      <c r="J50" s="23">
        <f>IF(32&gt;Ncoup,"",$F$50*$H$50)</f>
        <v/>
      </c>
    </row>
    <row r="51">
      <c r="A51" s="19">
        <f>IF(33&gt;Ncoup,"",33)</f>
        <v/>
      </c>
      <c r="B51" s="22">
        <f>IF(33&gt;Ncoup,"",EDATE(Ncd,(12/Freq)*(33-1)))</f>
        <v/>
      </c>
      <c r="C51" s="26">
        <f>IF(33&gt;Ncoup,"",IF(IsZero=1,0,CouponRate/Freq*Face))</f>
        <v/>
      </c>
      <c r="D51" s="26">
        <f>IF(33&gt;Ncoup,"",IF(33=Ncoup,Face,0))</f>
        <v/>
      </c>
      <c r="E51" s="26">
        <f>IF(33&gt;Ncoup,"",$C$51+$D$51)</f>
        <v/>
      </c>
      <c r="F51" s="27">
        <f>IF(33&gt;Ncoup,"",((33-1)+Wfrac)/Freq)</f>
        <v/>
      </c>
      <c r="G51" s="23">
        <f>IF(33&gt;Ncoup,"",1/(1+YTM/Freq)^((33-1)+Wfrac))</f>
        <v/>
      </c>
      <c r="H51" s="26">
        <f>IF(33&gt;Ncoup,"",$E$51*$G$51)</f>
        <v/>
      </c>
      <c r="I51" s="23">
        <f>IF(33&gt;Ncoup,"",$E$51*((33-1)+Wfrac)*((33-1)+Wfrac+1)/(1+YTM/Freq)^((33-1)+Wfrac+2))</f>
        <v/>
      </c>
      <c r="J51" s="23">
        <f>IF(33&gt;Ncoup,"",$F$51*$H$51)</f>
        <v/>
      </c>
    </row>
    <row r="52">
      <c r="A52" s="19">
        <f>IF(34&gt;Ncoup,"",34)</f>
        <v/>
      </c>
      <c r="B52" s="22">
        <f>IF(34&gt;Ncoup,"",EDATE(Ncd,(12/Freq)*(34-1)))</f>
        <v/>
      </c>
      <c r="C52" s="26">
        <f>IF(34&gt;Ncoup,"",IF(IsZero=1,0,CouponRate/Freq*Face))</f>
        <v/>
      </c>
      <c r="D52" s="26">
        <f>IF(34&gt;Ncoup,"",IF(34=Ncoup,Face,0))</f>
        <v/>
      </c>
      <c r="E52" s="26">
        <f>IF(34&gt;Ncoup,"",$C$52+$D$52)</f>
        <v/>
      </c>
      <c r="F52" s="27">
        <f>IF(34&gt;Ncoup,"",((34-1)+Wfrac)/Freq)</f>
        <v/>
      </c>
      <c r="G52" s="23">
        <f>IF(34&gt;Ncoup,"",1/(1+YTM/Freq)^((34-1)+Wfrac))</f>
        <v/>
      </c>
      <c r="H52" s="26">
        <f>IF(34&gt;Ncoup,"",$E$52*$G$52)</f>
        <v/>
      </c>
      <c r="I52" s="23">
        <f>IF(34&gt;Ncoup,"",$E$52*((34-1)+Wfrac)*((34-1)+Wfrac+1)/(1+YTM/Freq)^((34-1)+Wfrac+2))</f>
        <v/>
      </c>
      <c r="J52" s="23">
        <f>IF(34&gt;Ncoup,"",$F$52*$H$52)</f>
        <v/>
      </c>
    </row>
    <row r="53">
      <c r="A53" s="19">
        <f>IF(35&gt;Ncoup,"",35)</f>
        <v/>
      </c>
      <c r="B53" s="22">
        <f>IF(35&gt;Ncoup,"",EDATE(Ncd,(12/Freq)*(35-1)))</f>
        <v/>
      </c>
      <c r="C53" s="26">
        <f>IF(35&gt;Ncoup,"",IF(IsZero=1,0,CouponRate/Freq*Face))</f>
        <v/>
      </c>
      <c r="D53" s="26">
        <f>IF(35&gt;Ncoup,"",IF(35=Ncoup,Face,0))</f>
        <v/>
      </c>
      <c r="E53" s="26">
        <f>IF(35&gt;Ncoup,"",$C$53+$D$53)</f>
        <v/>
      </c>
      <c r="F53" s="27">
        <f>IF(35&gt;Ncoup,"",((35-1)+Wfrac)/Freq)</f>
        <v/>
      </c>
      <c r="G53" s="23">
        <f>IF(35&gt;Ncoup,"",1/(1+YTM/Freq)^((35-1)+Wfrac))</f>
        <v/>
      </c>
      <c r="H53" s="26">
        <f>IF(35&gt;Ncoup,"",$E$53*$G$53)</f>
        <v/>
      </c>
      <c r="I53" s="23">
        <f>IF(35&gt;Ncoup,"",$E$53*((35-1)+Wfrac)*((35-1)+Wfrac+1)/(1+YTM/Freq)^((35-1)+Wfrac+2))</f>
        <v/>
      </c>
      <c r="J53" s="23">
        <f>IF(35&gt;Ncoup,"",$F$53*$H$53)</f>
        <v/>
      </c>
    </row>
    <row r="54">
      <c r="A54" s="19">
        <f>IF(36&gt;Ncoup,"",36)</f>
        <v/>
      </c>
      <c r="B54" s="22">
        <f>IF(36&gt;Ncoup,"",EDATE(Ncd,(12/Freq)*(36-1)))</f>
        <v/>
      </c>
      <c r="C54" s="26">
        <f>IF(36&gt;Ncoup,"",IF(IsZero=1,0,CouponRate/Freq*Face))</f>
        <v/>
      </c>
      <c r="D54" s="26">
        <f>IF(36&gt;Ncoup,"",IF(36=Ncoup,Face,0))</f>
        <v/>
      </c>
      <c r="E54" s="26">
        <f>IF(36&gt;Ncoup,"",$C$54+$D$54)</f>
        <v/>
      </c>
      <c r="F54" s="27">
        <f>IF(36&gt;Ncoup,"",((36-1)+Wfrac)/Freq)</f>
        <v/>
      </c>
      <c r="G54" s="23">
        <f>IF(36&gt;Ncoup,"",1/(1+YTM/Freq)^((36-1)+Wfrac))</f>
        <v/>
      </c>
      <c r="H54" s="26">
        <f>IF(36&gt;Ncoup,"",$E$54*$G$54)</f>
        <v/>
      </c>
      <c r="I54" s="23">
        <f>IF(36&gt;Ncoup,"",$E$54*((36-1)+Wfrac)*((36-1)+Wfrac+1)/(1+YTM/Freq)^((36-1)+Wfrac+2))</f>
        <v/>
      </c>
      <c r="J54" s="23">
        <f>IF(36&gt;Ncoup,"",$F$54*$H$54)</f>
        <v/>
      </c>
    </row>
    <row r="55">
      <c r="A55" s="19">
        <f>IF(37&gt;Ncoup,"",37)</f>
        <v/>
      </c>
      <c r="B55" s="22">
        <f>IF(37&gt;Ncoup,"",EDATE(Ncd,(12/Freq)*(37-1)))</f>
        <v/>
      </c>
      <c r="C55" s="26">
        <f>IF(37&gt;Ncoup,"",IF(IsZero=1,0,CouponRate/Freq*Face))</f>
        <v/>
      </c>
      <c r="D55" s="26">
        <f>IF(37&gt;Ncoup,"",IF(37=Ncoup,Face,0))</f>
        <v/>
      </c>
      <c r="E55" s="26">
        <f>IF(37&gt;Ncoup,"",$C$55+$D$55)</f>
        <v/>
      </c>
      <c r="F55" s="27">
        <f>IF(37&gt;Ncoup,"",((37-1)+Wfrac)/Freq)</f>
        <v/>
      </c>
      <c r="G55" s="23">
        <f>IF(37&gt;Ncoup,"",1/(1+YTM/Freq)^((37-1)+Wfrac))</f>
        <v/>
      </c>
      <c r="H55" s="26">
        <f>IF(37&gt;Ncoup,"",$E$55*$G$55)</f>
        <v/>
      </c>
      <c r="I55" s="23">
        <f>IF(37&gt;Ncoup,"",$E$55*((37-1)+Wfrac)*((37-1)+Wfrac+1)/(1+YTM/Freq)^((37-1)+Wfrac+2))</f>
        <v/>
      </c>
      <c r="J55" s="23">
        <f>IF(37&gt;Ncoup,"",$F$55*$H$55)</f>
        <v/>
      </c>
    </row>
    <row r="56">
      <c r="A56" s="19">
        <f>IF(38&gt;Ncoup,"",38)</f>
        <v/>
      </c>
      <c r="B56" s="22">
        <f>IF(38&gt;Ncoup,"",EDATE(Ncd,(12/Freq)*(38-1)))</f>
        <v/>
      </c>
      <c r="C56" s="26">
        <f>IF(38&gt;Ncoup,"",IF(IsZero=1,0,CouponRate/Freq*Face))</f>
        <v/>
      </c>
      <c r="D56" s="26">
        <f>IF(38&gt;Ncoup,"",IF(38=Ncoup,Face,0))</f>
        <v/>
      </c>
      <c r="E56" s="26">
        <f>IF(38&gt;Ncoup,"",$C$56+$D$56)</f>
        <v/>
      </c>
      <c r="F56" s="27">
        <f>IF(38&gt;Ncoup,"",((38-1)+Wfrac)/Freq)</f>
        <v/>
      </c>
      <c r="G56" s="23">
        <f>IF(38&gt;Ncoup,"",1/(1+YTM/Freq)^((38-1)+Wfrac))</f>
        <v/>
      </c>
      <c r="H56" s="26">
        <f>IF(38&gt;Ncoup,"",$E$56*$G$56)</f>
        <v/>
      </c>
      <c r="I56" s="23">
        <f>IF(38&gt;Ncoup,"",$E$56*((38-1)+Wfrac)*((38-1)+Wfrac+1)/(1+YTM/Freq)^((38-1)+Wfrac+2))</f>
        <v/>
      </c>
      <c r="J56" s="23">
        <f>IF(38&gt;Ncoup,"",$F$56*$H$56)</f>
        <v/>
      </c>
    </row>
    <row r="57">
      <c r="A57" s="19">
        <f>IF(39&gt;Ncoup,"",39)</f>
        <v/>
      </c>
      <c r="B57" s="22">
        <f>IF(39&gt;Ncoup,"",EDATE(Ncd,(12/Freq)*(39-1)))</f>
        <v/>
      </c>
      <c r="C57" s="26">
        <f>IF(39&gt;Ncoup,"",IF(IsZero=1,0,CouponRate/Freq*Face))</f>
        <v/>
      </c>
      <c r="D57" s="26">
        <f>IF(39&gt;Ncoup,"",IF(39=Ncoup,Face,0))</f>
        <v/>
      </c>
      <c r="E57" s="26">
        <f>IF(39&gt;Ncoup,"",$C$57+$D$57)</f>
        <v/>
      </c>
      <c r="F57" s="27">
        <f>IF(39&gt;Ncoup,"",((39-1)+Wfrac)/Freq)</f>
        <v/>
      </c>
      <c r="G57" s="23">
        <f>IF(39&gt;Ncoup,"",1/(1+YTM/Freq)^((39-1)+Wfrac))</f>
        <v/>
      </c>
      <c r="H57" s="26">
        <f>IF(39&gt;Ncoup,"",$E$57*$G$57)</f>
        <v/>
      </c>
      <c r="I57" s="23">
        <f>IF(39&gt;Ncoup,"",$E$57*((39-1)+Wfrac)*((39-1)+Wfrac+1)/(1+YTM/Freq)^((39-1)+Wfrac+2))</f>
        <v/>
      </c>
      <c r="J57" s="23">
        <f>IF(39&gt;Ncoup,"",$F$57*$H$57)</f>
        <v/>
      </c>
    </row>
    <row r="58">
      <c r="A58" s="19">
        <f>IF(40&gt;Ncoup,"",40)</f>
        <v/>
      </c>
      <c r="B58" s="22">
        <f>IF(40&gt;Ncoup,"",EDATE(Ncd,(12/Freq)*(40-1)))</f>
        <v/>
      </c>
      <c r="C58" s="26">
        <f>IF(40&gt;Ncoup,"",IF(IsZero=1,0,CouponRate/Freq*Face))</f>
        <v/>
      </c>
      <c r="D58" s="26">
        <f>IF(40&gt;Ncoup,"",IF(40=Ncoup,Face,0))</f>
        <v/>
      </c>
      <c r="E58" s="26">
        <f>IF(40&gt;Ncoup,"",$C$58+$D$58)</f>
        <v/>
      </c>
      <c r="F58" s="27">
        <f>IF(40&gt;Ncoup,"",((40-1)+Wfrac)/Freq)</f>
        <v/>
      </c>
      <c r="G58" s="23">
        <f>IF(40&gt;Ncoup,"",1/(1+YTM/Freq)^((40-1)+Wfrac))</f>
        <v/>
      </c>
      <c r="H58" s="26">
        <f>IF(40&gt;Ncoup,"",$E$58*$G$58)</f>
        <v/>
      </c>
      <c r="I58" s="23">
        <f>IF(40&gt;Ncoup,"",$E$58*((40-1)+Wfrac)*((40-1)+Wfrac+1)/(1+YTM/Freq)^((40-1)+Wfrac+2))</f>
        <v/>
      </c>
      <c r="J58" s="23">
        <f>IF(40&gt;Ncoup,"",$F$58*$H$58)</f>
        <v/>
      </c>
    </row>
    <row r="59">
      <c r="A59" s="19">
        <f>IF(41&gt;Ncoup,"",41)</f>
        <v/>
      </c>
      <c r="B59" s="22">
        <f>IF(41&gt;Ncoup,"",EDATE(Ncd,(12/Freq)*(41-1)))</f>
        <v/>
      </c>
      <c r="C59" s="26">
        <f>IF(41&gt;Ncoup,"",IF(IsZero=1,0,CouponRate/Freq*Face))</f>
        <v/>
      </c>
      <c r="D59" s="26">
        <f>IF(41&gt;Ncoup,"",IF(41=Ncoup,Face,0))</f>
        <v/>
      </c>
      <c r="E59" s="26">
        <f>IF(41&gt;Ncoup,"",$C$59+$D$59)</f>
        <v/>
      </c>
      <c r="F59" s="27">
        <f>IF(41&gt;Ncoup,"",((41-1)+Wfrac)/Freq)</f>
        <v/>
      </c>
      <c r="G59" s="23">
        <f>IF(41&gt;Ncoup,"",1/(1+YTM/Freq)^((41-1)+Wfrac))</f>
        <v/>
      </c>
      <c r="H59" s="26">
        <f>IF(41&gt;Ncoup,"",$E$59*$G$59)</f>
        <v/>
      </c>
      <c r="I59" s="23">
        <f>IF(41&gt;Ncoup,"",$E$59*((41-1)+Wfrac)*((41-1)+Wfrac+1)/(1+YTM/Freq)^((41-1)+Wfrac+2))</f>
        <v/>
      </c>
      <c r="J59" s="23">
        <f>IF(41&gt;Ncoup,"",$F$59*$H$59)</f>
        <v/>
      </c>
    </row>
    <row r="60">
      <c r="A60" s="19">
        <f>IF(42&gt;Ncoup,"",42)</f>
        <v/>
      </c>
      <c r="B60" s="22">
        <f>IF(42&gt;Ncoup,"",EDATE(Ncd,(12/Freq)*(42-1)))</f>
        <v/>
      </c>
      <c r="C60" s="26">
        <f>IF(42&gt;Ncoup,"",IF(IsZero=1,0,CouponRate/Freq*Face))</f>
        <v/>
      </c>
      <c r="D60" s="26">
        <f>IF(42&gt;Ncoup,"",IF(42=Ncoup,Face,0))</f>
        <v/>
      </c>
      <c r="E60" s="26">
        <f>IF(42&gt;Ncoup,"",$C$60+$D$60)</f>
        <v/>
      </c>
      <c r="F60" s="27">
        <f>IF(42&gt;Ncoup,"",((42-1)+Wfrac)/Freq)</f>
        <v/>
      </c>
      <c r="G60" s="23">
        <f>IF(42&gt;Ncoup,"",1/(1+YTM/Freq)^((42-1)+Wfrac))</f>
        <v/>
      </c>
      <c r="H60" s="26">
        <f>IF(42&gt;Ncoup,"",$E$60*$G$60)</f>
        <v/>
      </c>
      <c r="I60" s="23">
        <f>IF(42&gt;Ncoup,"",$E$60*((42-1)+Wfrac)*((42-1)+Wfrac+1)/(1+YTM/Freq)^((42-1)+Wfrac+2))</f>
        <v/>
      </c>
      <c r="J60" s="23">
        <f>IF(42&gt;Ncoup,"",$F$60*$H$60)</f>
        <v/>
      </c>
    </row>
    <row r="61">
      <c r="A61" s="19">
        <f>IF(43&gt;Ncoup,"",43)</f>
        <v/>
      </c>
      <c r="B61" s="22">
        <f>IF(43&gt;Ncoup,"",EDATE(Ncd,(12/Freq)*(43-1)))</f>
        <v/>
      </c>
      <c r="C61" s="26">
        <f>IF(43&gt;Ncoup,"",IF(IsZero=1,0,CouponRate/Freq*Face))</f>
        <v/>
      </c>
      <c r="D61" s="26">
        <f>IF(43&gt;Ncoup,"",IF(43=Ncoup,Face,0))</f>
        <v/>
      </c>
      <c r="E61" s="26">
        <f>IF(43&gt;Ncoup,"",$C$61+$D$61)</f>
        <v/>
      </c>
      <c r="F61" s="27">
        <f>IF(43&gt;Ncoup,"",((43-1)+Wfrac)/Freq)</f>
        <v/>
      </c>
      <c r="G61" s="23">
        <f>IF(43&gt;Ncoup,"",1/(1+YTM/Freq)^((43-1)+Wfrac))</f>
        <v/>
      </c>
      <c r="H61" s="26">
        <f>IF(43&gt;Ncoup,"",$E$61*$G$61)</f>
        <v/>
      </c>
      <c r="I61" s="23">
        <f>IF(43&gt;Ncoup,"",$E$61*((43-1)+Wfrac)*((43-1)+Wfrac+1)/(1+YTM/Freq)^((43-1)+Wfrac+2))</f>
        <v/>
      </c>
      <c r="J61" s="23">
        <f>IF(43&gt;Ncoup,"",$F$61*$H$61)</f>
        <v/>
      </c>
    </row>
    <row r="62">
      <c r="A62" s="19">
        <f>IF(44&gt;Ncoup,"",44)</f>
        <v/>
      </c>
      <c r="B62" s="22">
        <f>IF(44&gt;Ncoup,"",EDATE(Ncd,(12/Freq)*(44-1)))</f>
        <v/>
      </c>
      <c r="C62" s="26">
        <f>IF(44&gt;Ncoup,"",IF(IsZero=1,0,CouponRate/Freq*Face))</f>
        <v/>
      </c>
      <c r="D62" s="26">
        <f>IF(44&gt;Ncoup,"",IF(44=Ncoup,Face,0))</f>
        <v/>
      </c>
      <c r="E62" s="26">
        <f>IF(44&gt;Ncoup,"",$C$62+$D$62)</f>
        <v/>
      </c>
      <c r="F62" s="27">
        <f>IF(44&gt;Ncoup,"",((44-1)+Wfrac)/Freq)</f>
        <v/>
      </c>
      <c r="G62" s="23">
        <f>IF(44&gt;Ncoup,"",1/(1+YTM/Freq)^((44-1)+Wfrac))</f>
        <v/>
      </c>
      <c r="H62" s="26">
        <f>IF(44&gt;Ncoup,"",$E$62*$G$62)</f>
        <v/>
      </c>
      <c r="I62" s="23">
        <f>IF(44&gt;Ncoup,"",$E$62*((44-1)+Wfrac)*((44-1)+Wfrac+1)/(1+YTM/Freq)^((44-1)+Wfrac+2))</f>
        <v/>
      </c>
      <c r="J62" s="23">
        <f>IF(44&gt;Ncoup,"",$F$62*$H$62)</f>
        <v/>
      </c>
    </row>
    <row r="63">
      <c r="A63" s="19">
        <f>IF(45&gt;Ncoup,"",45)</f>
        <v/>
      </c>
      <c r="B63" s="22">
        <f>IF(45&gt;Ncoup,"",EDATE(Ncd,(12/Freq)*(45-1)))</f>
        <v/>
      </c>
      <c r="C63" s="26">
        <f>IF(45&gt;Ncoup,"",IF(IsZero=1,0,CouponRate/Freq*Face))</f>
        <v/>
      </c>
      <c r="D63" s="26">
        <f>IF(45&gt;Ncoup,"",IF(45=Ncoup,Face,0))</f>
        <v/>
      </c>
      <c r="E63" s="26">
        <f>IF(45&gt;Ncoup,"",$C$63+$D$63)</f>
        <v/>
      </c>
      <c r="F63" s="27">
        <f>IF(45&gt;Ncoup,"",((45-1)+Wfrac)/Freq)</f>
        <v/>
      </c>
      <c r="G63" s="23">
        <f>IF(45&gt;Ncoup,"",1/(1+YTM/Freq)^((45-1)+Wfrac))</f>
        <v/>
      </c>
      <c r="H63" s="26">
        <f>IF(45&gt;Ncoup,"",$E$63*$G$63)</f>
        <v/>
      </c>
      <c r="I63" s="23">
        <f>IF(45&gt;Ncoup,"",$E$63*((45-1)+Wfrac)*((45-1)+Wfrac+1)/(1+YTM/Freq)^((45-1)+Wfrac+2))</f>
        <v/>
      </c>
      <c r="J63" s="23">
        <f>IF(45&gt;Ncoup,"",$F$63*$H$63)</f>
        <v/>
      </c>
    </row>
    <row r="64">
      <c r="A64" s="19">
        <f>IF(46&gt;Ncoup,"",46)</f>
        <v/>
      </c>
      <c r="B64" s="22">
        <f>IF(46&gt;Ncoup,"",EDATE(Ncd,(12/Freq)*(46-1)))</f>
        <v/>
      </c>
      <c r="C64" s="26">
        <f>IF(46&gt;Ncoup,"",IF(IsZero=1,0,CouponRate/Freq*Face))</f>
        <v/>
      </c>
      <c r="D64" s="26">
        <f>IF(46&gt;Ncoup,"",IF(46=Ncoup,Face,0))</f>
        <v/>
      </c>
      <c r="E64" s="26">
        <f>IF(46&gt;Ncoup,"",$C$64+$D$64)</f>
        <v/>
      </c>
      <c r="F64" s="27">
        <f>IF(46&gt;Ncoup,"",((46-1)+Wfrac)/Freq)</f>
        <v/>
      </c>
      <c r="G64" s="23">
        <f>IF(46&gt;Ncoup,"",1/(1+YTM/Freq)^((46-1)+Wfrac))</f>
        <v/>
      </c>
      <c r="H64" s="26">
        <f>IF(46&gt;Ncoup,"",$E$64*$G$64)</f>
        <v/>
      </c>
      <c r="I64" s="23">
        <f>IF(46&gt;Ncoup,"",$E$64*((46-1)+Wfrac)*((46-1)+Wfrac+1)/(1+YTM/Freq)^((46-1)+Wfrac+2))</f>
        <v/>
      </c>
      <c r="J64" s="23">
        <f>IF(46&gt;Ncoup,"",$F$64*$H$64)</f>
        <v/>
      </c>
    </row>
    <row r="65">
      <c r="A65" s="19">
        <f>IF(47&gt;Ncoup,"",47)</f>
        <v/>
      </c>
      <c r="B65" s="22">
        <f>IF(47&gt;Ncoup,"",EDATE(Ncd,(12/Freq)*(47-1)))</f>
        <v/>
      </c>
      <c r="C65" s="26">
        <f>IF(47&gt;Ncoup,"",IF(IsZero=1,0,CouponRate/Freq*Face))</f>
        <v/>
      </c>
      <c r="D65" s="26">
        <f>IF(47&gt;Ncoup,"",IF(47=Ncoup,Face,0))</f>
        <v/>
      </c>
      <c r="E65" s="26">
        <f>IF(47&gt;Ncoup,"",$C$65+$D$65)</f>
        <v/>
      </c>
      <c r="F65" s="27">
        <f>IF(47&gt;Ncoup,"",((47-1)+Wfrac)/Freq)</f>
        <v/>
      </c>
      <c r="G65" s="23">
        <f>IF(47&gt;Ncoup,"",1/(1+YTM/Freq)^((47-1)+Wfrac))</f>
        <v/>
      </c>
      <c r="H65" s="26">
        <f>IF(47&gt;Ncoup,"",$E$65*$G$65)</f>
        <v/>
      </c>
      <c r="I65" s="23">
        <f>IF(47&gt;Ncoup,"",$E$65*((47-1)+Wfrac)*((47-1)+Wfrac+1)/(1+YTM/Freq)^((47-1)+Wfrac+2))</f>
        <v/>
      </c>
      <c r="J65" s="23">
        <f>IF(47&gt;Ncoup,"",$F$65*$H$65)</f>
        <v/>
      </c>
    </row>
    <row r="66">
      <c r="A66" s="19">
        <f>IF(48&gt;Ncoup,"",48)</f>
        <v/>
      </c>
      <c r="B66" s="22">
        <f>IF(48&gt;Ncoup,"",EDATE(Ncd,(12/Freq)*(48-1)))</f>
        <v/>
      </c>
      <c r="C66" s="26">
        <f>IF(48&gt;Ncoup,"",IF(IsZero=1,0,CouponRate/Freq*Face))</f>
        <v/>
      </c>
      <c r="D66" s="26">
        <f>IF(48&gt;Ncoup,"",IF(48=Ncoup,Face,0))</f>
        <v/>
      </c>
      <c r="E66" s="26">
        <f>IF(48&gt;Ncoup,"",$C$66+$D$66)</f>
        <v/>
      </c>
      <c r="F66" s="27">
        <f>IF(48&gt;Ncoup,"",((48-1)+Wfrac)/Freq)</f>
        <v/>
      </c>
      <c r="G66" s="23">
        <f>IF(48&gt;Ncoup,"",1/(1+YTM/Freq)^((48-1)+Wfrac))</f>
        <v/>
      </c>
      <c r="H66" s="26">
        <f>IF(48&gt;Ncoup,"",$E$66*$G$66)</f>
        <v/>
      </c>
      <c r="I66" s="23">
        <f>IF(48&gt;Ncoup,"",$E$66*((48-1)+Wfrac)*((48-1)+Wfrac+1)/(1+YTM/Freq)^((48-1)+Wfrac+2))</f>
        <v/>
      </c>
      <c r="J66" s="23">
        <f>IF(48&gt;Ncoup,"",$F$66*$H$66)</f>
        <v/>
      </c>
    </row>
    <row r="67">
      <c r="A67" s="19">
        <f>IF(49&gt;Ncoup,"",49)</f>
        <v/>
      </c>
      <c r="B67" s="22">
        <f>IF(49&gt;Ncoup,"",EDATE(Ncd,(12/Freq)*(49-1)))</f>
        <v/>
      </c>
      <c r="C67" s="26">
        <f>IF(49&gt;Ncoup,"",IF(IsZero=1,0,CouponRate/Freq*Face))</f>
        <v/>
      </c>
      <c r="D67" s="26">
        <f>IF(49&gt;Ncoup,"",IF(49=Ncoup,Face,0))</f>
        <v/>
      </c>
      <c r="E67" s="26">
        <f>IF(49&gt;Ncoup,"",$C$67+$D$67)</f>
        <v/>
      </c>
      <c r="F67" s="27">
        <f>IF(49&gt;Ncoup,"",((49-1)+Wfrac)/Freq)</f>
        <v/>
      </c>
      <c r="G67" s="23">
        <f>IF(49&gt;Ncoup,"",1/(1+YTM/Freq)^((49-1)+Wfrac))</f>
        <v/>
      </c>
      <c r="H67" s="26">
        <f>IF(49&gt;Ncoup,"",$E$67*$G$67)</f>
        <v/>
      </c>
      <c r="I67" s="23">
        <f>IF(49&gt;Ncoup,"",$E$67*((49-1)+Wfrac)*((49-1)+Wfrac+1)/(1+YTM/Freq)^((49-1)+Wfrac+2))</f>
        <v/>
      </c>
      <c r="J67" s="23">
        <f>IF(49&gt;Ncoup,"",$F$67*$H$67)</f>
        <v/>
      </c>
    </row>
    <row r="68">
      <c r="A68" s="19">
        <f>IF(50&gt;Ncoup,"",50)</f>
        <v/>
      </c>
      <c r="B68" s="22">
        <f>IF(50&gt;Ncoup,"",EDATE(Ncd,(12/Freq)*(50-1)))</f>
        <v/>
      </c>
      <c r="C68" s="26">
        <f>IF(50&gt;Ncoup,"",IF(IsZero=1,0,CouponRate/Freq*Face))</f>
        <v/>
      </c>
      <c r="D68" s="26">
        <f>IF(50&gt;Ncoup,"",IF(50=Ncoup,Face,0))</f>
        <v/>
      </c>
      <c r="E68" s="26">
        <f>IF(50&gt;Ncoup,"",$C$68+$D$68)</f>
        <v/>
      </c>
      <c r="F68" s="27">
        <f>IF(50&gt;Ncoup,"",((50-1)+Wfrac)/Freq)</f>
        <v/>
      </c>
      <c r="G68" s="23">
        <f>IF(50&gt;Ncoup,"",1/(1+YTM/Freq)^((50-1)+Wfrac))</f>
        <v/>
      </c>
      <c r="H68" s="26">
        <f>IF(50&gt;Ncoup,"",$E$68*$G$68)</f>
        <v/>
      </c>
      <c r="I68" s="23">
        <f>IF(50&gt;Ncoup,"",$E$68*((50-1)+Wfrac)*((50-1)+Wfrac+1)/(1+YTM/Freq)^((50-1)+Wfrac+2))</f>
        <v/>
      </c>
      <c r="J68" s="23">
        <f>IF(50&gt;Ncoup,"",$F$68*$H$68)</f>
        <v/>
      </c>
    </row>
    <row r="69">
      <c r="A69" s="19">
        <f>IF(51&gt;Ncoup,"",51)</f>
        <v/>
      </c>
      <c r="B69" s="22">
        <f>IF(51&gt;Ncoup,"",EDATE(Ncd,(12/Freq)*(51-1)))</f>
        <v/>
      </c>
      <c r="C69" s="26">
        <f>IF(51&gt;Ncoup,"",IF(IsZero=1,0,CouponRate/Freq*Face))</f>
        <v/>
      </c>
      <c r="D69" s="26">
        <f>IF(51&gt;Ncoup,"",IF(51=Ncoup,Face,0))</f>
        <v/>
      </c>
      <c r="E69" s="26">
        <f>IF(51&gt;Ncoup,"",$C$69+$D$69)</f>
        <v/>
      </c>
      <c r="F69" s="27">
        <f>IF(51&gt;Ncoup,"",((51-1)+Wfrac)/Freq)</f>
        <v/>
      </c>
      <c r="G69" s="23">
        <f>IF(51&gt;Ncoup,"",1/(1+YTM/Freq)^((51-1)+Wfrac))</f>
        <v/>
      </c>
      <c r="H69" s="26">
        <f>IF(51&gt;Ncoup,"",$E$69*$G$69)</f>
        <v/>
      </c>
      <c r="I69" s="23">
        <f>IF(51&gt;Ncoup,"",$E$69*((51-1)+Wfrac)*((51-1)+Wfrac+1)/(1+YTM/Freq)^((51-1)+Wfrac+2))</f>
        <v/>
      </c>
      <c r="J69" s="23">
        <f>IF(51&gt;Ncoup,"",$F$69*$H$69)</f>
        <v/>
      </c>
    </row>
    <row r="70">
      <c r="A70" s="19">
        <f>IF(52&gt;Ncoup,"",52)</f>
        <v/>
      </c>
      <c r="B70" s="22">
        <f>IF(52&gt;Ncoup,"",EDATE(Ncd,(12/Freq)*(52-1)))</f>
        <v/>
      </c>
      <c r="C70" s="26">
        <f>IF(52&gt;Ncoup,"",IF(IsZero=1,0,CouponRate/Freq*Face))</f>
        <v/>
      </c>
      <c r="D70" s="26">
        <f>IF(52&gt;Ncoup,"",IF(52=Ncoup,Face,0))</f>
        <v/>
      </c>
      <c r="E70" s="26">
        <f>IF(52&gt;Ncoup,"",$C$70+$D$70)</f>
        <v/>
      </c>
      <c r="F70" s="27">
        <f>IF(52&gt;Ncoup,"",((52-1)+Wfrac)/Freq)</f>
        <v/>
      </c>
      <c r="G70" s="23">
        <f>IF(52&gt;Ncoup,"",1/(1+YTM/Freq)^((52-1)+Wfrac))</f>
        <v/>
      </c>
      <c r="H70" s="26">
        <f>IF(52&gt;Ncoup,"",$E$70*$G$70)</f>
        <v/>
      </c>
      <c r="I70" s="23">
        <f>IF(52&gt;Ncoup,"",$E$70*((52-1)+Wfrac)*((52-1)+Wfrac+1)/(1+YTM/Freq)^((52-1)+Wfrac+2))</f>
        <v/>
      </c>
      <c r="J70" s="23">
        <f>IF(52&gt;Ncoup,"",$F$70*$H$70)</f>
        <v/>
      </c>
    </row>
    <row r="71">
      <c r="A71" s="19">
        <f>IF(53&gt;Ncoup,"",53)</f>
        <v/>
      </c>
      <c r="B71" s="22">
        <f>IF(53&gt;Ncoup,"",EDATE(Ncd,(12/Freq)*(53-1)))</f>
        <v/>
      </c>
      <c r="C71" s="26">
        <f>IF(53&gt;Ncoup,"",IF(IsZero=1,0,CouponRate/Freq*Face))</f>
        <v/>
      </c>
      <c r="D71" s="26">
        <f>IF(53&gt;Ncoup,"",IF(53=Ncoup,Face,0))</f>
        <v/>
      </c>
      <c r="E71" s="26">
        <f>IF(53&gt;Ncoup,"",$C$71+$D$71)</f>
        <v/>
      </c>
      <c r="F71" s="27">
        <f>IF(53&gt;Ncoup,"",((53-1)+Wfrac)/Freq)</f>
        <v/>
      </c>
      <c r="G71" s="23">
        <f>IF(53&gt;Ncoup,"",1/(1+YTM/Freq)^((53-1)+Wfrac))</f>
        <v/>
      </c>
      <c r="H71" s="26">
        <f>IF(53&gt;Ncoup,"",$E$71*$G$71)</f>
        <v/>
      </c>
      <c r="I71" s="23">
        <f>IF(53&gt;Ncoup,"",$E$71*((53-1)+Wfrac)*((53-1)+Wfrac+1)/(1+YTM/Freq)^((53-1)+Wfrac+2))</f>
        <v/>
      </c>
      <c r="J71" s="23">
        <f>IF(53&gt;Ncoup,"",$F$71*$H$71)</f>
        <v/>
      </c>
    </row>
    <row r="72">
      <c r="A72" s="19">
        <f>IF(54&gt;Ncoup,"",54)</f>
        <v/>
      </c>
      <c r="B72" s="22">
        <f>IF(54&gt;Ncoup,"",EDATE(Ncd,(12/Freq)*(54-1)))</f>
        <v/>
      </c>
      <c r="C72" s="26">
        <f>IF(54&gt;Ncoup,"",IF(IsZero=1,0,CouponRate/Freq*Face))</f>
        <v/>
      </c>
      <c r="D72" s="26">
        <f>IF(54&gt;Ncoup,"",IF(54=Ncoup,Face,0))</f>
        <v/>
      </c>
      <c r="E72" s="26">
        <f>IF(54&gt;Ncoup,"",$C$72+$D$72)</f>
        <v/>
      </c>
      <c r="F72" s="27">
        <f>IF(54&gt;Ncoup,"",((54-1)+Wfrac)/Freq)</f>
        <v/>
      </c>
      <c r="G72" s="23">
        <f>IF(54&gt;Ncoup,"",1/(1+YTM/Freq)^((54-1)+Wfrac))</f>
        <v/>
      </c>
      <c r="H72" s="26">
        <f>IF(54&gt;Ncoup,"",$E$72*$G$72)</f>
        <v/>
      </c>
      <c r="I72" s="23">
        <f>IF(54&gt;Ncoup,"",$E$72*((54-1)+Wfrac)*((54-1)+Wfrac+1)/(1+YTM/Freq)^((54-1)+Wfrac+2))</f>
        <v/>
      </c>
      <c r="J72" s="23">
        <f>IF(54&gt;Ncoup,"",$F$72*$H$72)</f>
        <v/>
      </c>
    </row>
    <row r="73">
      <c r="A73" s="19">
        <f>IF(55&gt;Ncoup,"",55)</f>
        <v/>
      </c>
      <c r="B73" s="22">
        <f>IF(55&gt;Ncoup,"",EDATE(Ncd,(12/Freq)*(55-1)))</f>
        <v/>
      </c>
      <c r="C73" s="26">
        <f>IF(55&gt;Ncoup,"",IF(IsZero=1,0,CouponRate/Freq*Face))</f>
        <v/>
      </c>
      <c r="D73" s="26">
        <f>IF(55&gt;Ncoup,"",IF(55=Ncoup,Face,0))</f>
        <v/>
      </c>
      <c r="E73" s="26">
        <f>IF(55&gt;Ncoup,"",$C$73+$D$73)</f>
        <v/>
      </c>
      <c r="F73" s="27">
        <f>IF(55&gt;Ncoup,"",((55-1)+Wfrac)/Freq)</f>
        <v/>
      </c>
      <c r="G73" s="23">
        <f>IF(55&gt;Ncoup,"",1/(1+YTM/Freq)^((55-1)+Wfrac))</f>
        <v/>
      </c>
      <c r="H73" s="26">
        <f>IF(55&gt;Ncoup,"",$E$73*$G$73)</f>
        <v/>
      </c>
      <c r="I73" s="23">
        <f>IF(55&gt;Ncoup,"",$E$73*((55-1)+Wfrac)*((55-1)+Wfrac+1)/(1+YTM/Freq)^((55-1)+Wfrac+2))</f>
        <v/>
      </c>
      <c r="J73" s="23">
        <f>IF(55&gt;Ncoup,"",$F$73*$H$73)</f>
        <v/>
      </c>
    </row>
    <row r="74">
      <c r="A74" s="19">
        <f>IF(56&gt;Ncoup,"",56)</f>
        <v/>
      </c>
      <c r="B74" s="22">
        <f>IF(56&gt;Ncoup,"",EDATE(Ncd,(12/Freq)*(56-1)))</f>
        <v/>
      </c>
      <c r="C74" s="26">
        <f>IF(56&gt;Ncoup,"",IF(IsZero=1,0,CouponRate/Freq*Face))</f>
        <v/>
      </c>
      <c r="D74" s="26">
        <f>IF(56&gt;Ncoup,"",IF(56=Ncoup,Face,0))</f>
        <v/>
      </c>
      <c r="E74" s="26">
        <f>IF(56&gt;Ncoup,"",$C$74+$D$74)</f>
        <v/>
      </c>
      <c r="F74" s="27">
        <f>IF(56&gt;Ncoup,"",((56-1)+Wfrac)/Freq)</f>
        <v/>
      </c>
      <c r="G74" s="23">
        <f>IF(56&gt;Ncoup,"",1/(1+YTM/Freq)^((56-1)+Wfrac))</f>
        <v/>
      </c>
      <c r="H74" s="26">
        <f>IF(56&gt;Ncoup,"",$E$74*$G$74)</f>
        <v/>
      </c>
      <c r="I74" s="23">
        <f>IF(56&gt;Ncoup,"",$E$74*((56-1)+Wfrac)*((56-1)+Wfrac+1)/(1+YTM/Freq)^((56-1)+Wfrac+2))</f>
        <v/>
      </c>
      <c r="J74" s="23">
        <f>IF(56&gt;Ncoup,"",$F$74*$H$74)</f>
        <v/>
      </c>
    </row>
    <row r="75">
      <c r="A75" s="19">
        <f>IF(57&gt;Ncoup,"",57)</f>
        <v/>
      </c>
      <c r="B75" s="22">
        <f>IF(57&gt;Ncoup,"",EDATE(Ncd,(12/Freq)*(57-1)))</f>
        <v/>
      </c>
      <c r="C75" s="26">
        <f>IF(57&gt;Ncoup,"",IF(IsZero=1,0,CouponRate/Freq*Face))</f>
        <v/>
      </c>
      <c r="D75" s="26">
        <f>IF(57&gt;Ncoup,"",IF(57=Ncoup,Face,0))</f>
        <v/>
      </c>
      <c r="E75" s="26">
        <f>IF(57&gt;Ncoup,"",$C$75+$D$75)</f>
        <v/>
      </c>
      <c r="F75" s="27">
        <f>IF(57&gt;Ncoup,"",((57-1)+Wfrac)/Freq)</f>
        <v/>
      </c>
      <c r="G75" s="23">
        <f>IF(57&gt;Ncoup,"",1/(1+YTM/Freq)^((57-1)+Wfrac))</f>
        <v/>
      </c>
      <c r="H75" s="26">
        <f>IF(57&gt;Ncoup,"",$E$75*$G$75)</f>
        <v/>
      </c>
      <c r="I75" s="23">
        <f>IF(57&gt;Ncoup,"",$E$75*((57-1)+Wfrac)*((57-1)+Wfrac+1)/(1+YTM/Freq)^((57-1)+Wfrac+2))</f>
        <v/>
      </c>
      <c r="J75" s="23">
        <f>IF(57&gt;Ncoup,"",$F$75*$H$75)</f>
        <v/>
      </c>
    </row>
    <row r="76">
      <c r="A76" s="19">
        <f>IF(58&gt;Ncoup,"",58)</f>
        <v/>
      </c>
      <c r="B76" s="22">
        <f>IF(58&gt;Ncoup,"",EDATE(Ncd,(12/Freq)*(58-1)))</f>
        <v/>
      </c>
      <c r="C76" s="26">
        <f>IF(58&gt;Ncoup,"",IF(IsZero=1,0,CouponRate/Freq*Face))</f>
        <v/>
      </c>
      <c r="D76" s="26">
        <f>IF(58&gt;Ncoup,"",IF(58=Ncoup,Face,0))</f>
        <v/>
      </c>
      <c r="E76" s="26">
        <f>IF(58&gt;Ncoup,"",$C$76+$D$76)</f>
        <v/>
      </c>
      <c r="F76" s="27">
        <f>IF(58&gt;Ncoup,"",((58-1)+Wfrac)/Freq)</f>
        <v/>
      </c>
      <c r="G76" s="23">
        <f>IF(58&gt;Ncoup,"",1/(1+YTM/Freq)^((58-1)+Wfrac))</f>
        <v/>
      </c>
      <c r="H76" s="26">
        <f>IF(58&gt;Ncoup,"",$E$76*$G$76)</f>
        <v/>
      </c>
      <c r="I76" s="23">
        <f>IF(58&gt;Ncoup,"",$E$76*((58-1)+Wfrac)*((58-1)+Wfrac+1)/(1+YTM/Freq)^((58-1)+Wfrac+2))</f>
        <v/>
      </c>
      <c r="J76" s="23">
        <f>IF(58&gt;Ncoup,"",$F$76*$H$76)</f>
        <v/>
      </c>
    </row>
    <row r="77">
      <c r="A77" s="19">
        <f>IF(59&gt;Ncoup,"",59)</f>
        <v/>
      </c>
      <c r="B77" s="22">
        <f>IF(59&gt;Ncoup,"",EDATE(Ncd,(12/Freq)*(59-1)))</f>
        <v/>
      </c>
      <c r="C77" s="26">
        <f>IF(59&gt;Ncoup,"",IF(IsZero=1,0,CouponRate/Freq*Face))</f>
        <v/>
      </c>
      <c r="D77" s="26">
        <f>IF(59&gt;Ncoup,"",IF(59=Ncoup,Face,0))</f>
        <v/>
      </c>
      <c r="E77" s="26">
        <f>IF(59&gt;Ncoup,"",$C$77+$D$77)</f>
        <v/>
      </c>
      <c r="F77" s="27">
        <f>IF(59&gt;Ncoup,"",((59-1)+Wfrac)/Freq)</f>
        <v/>
      </c>
      <c r="G77" s="23">
        <f>IF(59&gt;Ncoup,"",1/(1+YTM/Freq)^((59-1)+Wfrac))</f>
        <v/>
      </c>
      <c r="H77" s="26">
        <f>IF(59&gt;Ncoup,"",$E$77*$G$77)</f>
        <v/>
      </c>
      <c r="I77" s="23">
        <f>IF(59&gt;Ncoup,"",$E$77*((59-1)+Wfrac)*((59-1)+Wfrac+1)/(1+YTM/Freq)^((59-1)+Wfrac+2))</f>
        <v/>
      </c>
      <c r="J77" s="23">
        <f>IF(59&gt;Ncoup,"",$F$77*$H$77)</f>
        <v/>
      </c>
    </row>
    <row r="78">
      <c r="A78" s="19">
        <f>IF(60&gt;Ncoup,"",60)</f>
        <v/>
      </c>
      <c r="B78" s="22">
        <f>IF(60&gt;Ncoup,"",EDATE(Ncd,(12/Freq)*(60-1)))</f>
        <v/>
      </c>
      <c r="C78" s="26">
        <f>IF(60&gt;Ncoup,"",IF(IsZero=1,0,CouponRate/Freq*Face))</f>
        <v/>
      </c>
      <c r="D78" s="26">
        <f>IF(60&gt;Ncoup,"",IF(60=Ncoup,Face,0))</f>
        <v/>
      </c>
      <c r="E78" s="26">
        <f>IF(60&gt;Ncoup,"",$C$78+$D$78)</f>
        <v/>
      </c>
      <c r="F78" s="27">
        <f>IF(60&gt;Ncoup,"",((60-1)+Wfrac)/Freq)</f>
        <v/>
      </c>
      <c r="G78" s="23">
        <f>IF(60&gt;Ncoup,"",1/(1+YTM/Freq)^((60-1)+Wfrac))</f>
        <v/>
      </c>
      <c r="H78" s="26">
        <f>IF(60&gt;Ncoup,"",$E$78*$G$78)</f>
        <v/>
      </c>
      <c r="I78" s="23">
        <f>IF(60&gt;Ncoup,"",$E$78*((60-1)+Wfrac)*((60-1)+Wfrac+1)/(1+YTM/Freq)^((60-1)+Wfrac+2))</f>
        <v/>
      </c>
      <c r="J78" s="23">
        <f>IF(60&gt;Ncoup,"",$F$78*$H$78)</f>
        <v/>
      </c>
    </row>
    <row r="79">
      <c r="A79" s="19">
        <f>IF(61&gt;Ncoup,"",61)</f>
        <v/>
      </c>
      <c r="B79" s="22">
        <f>IF(61&gt;Ncoup,"",EDATE(Ncd,(12/Freq)*(61-1)))</f>
        <v/>
      </c>
      <c r="C79" s="26">
        <f>IF(61&gt;Ncoup,"",IF(IsZero=1,0,CouponRate/Freq*Face))</f>
        <v/>
      </c>
      <c r="D79" s="26">
        <f>IF(61&gt;Ncoup,"",IF(61=Ncoup,Face,0))</f>
        <v/>
      </c>
      <c r="E79" s="26">
        <f>IF(61&gt;Ncoup,"",$C$79+$D$79)</f>
        <v/>
      </c>
      <c r="F79" s="27">
        <f>IF(61&gt;Ncoup,"",((61-1)+Wfrac)/Freq)</f>
        <v/>
      </c>
      <c r="G79" s="23">
        <f>IF(61&gt;Ncoup,"",1/(1+YTM/Freq)^((61-1)+Wfrac))</f>
        <v/>
      </c>
      <c r="H79" s="26">
        <f>IF(61&gt;Ncoup,"",$E$79*$G$79)</f>
        <v/>
      </c>
      <c r="I79" s="23">
        <f>IF(61&gt;Ncoup,"",$E$79*((61-1)+Wfrac)*((61-1)+Wfrac+1)/(1+YTM/Freq)^((61-1)+Wfrac+2))</f>
        <v/>
      </c>
      <c r="J79" s="23">
        <f>IF(61&gt;Ncoup,"",$F$79*$H$79)</f>
        <v/>
      </c>
    </row>
    <row r="80">
      <c r="A80" s="19">
        <f>IF(62&gt;Ncoup,"",62)</f>
        <v/>
      </c>
      <c r="B80" s="22">
        <f>IF(62&gt;Ncoup,"",EDATE(Ncd,(12/Freq)*(62-1)))</f>
        <v/>
      </c>
      <c r="C80" s="26">
        <f>IF(62&gt;Ncoup,"",IF(IsZero=1,0,CouponRate/Freq*Face))</f>
        <v/>
      </c>
      <c r="D80" s="26">
        <f>IF(62&gt;Ncoup,"",IF(62=Ncoup,Face,0))</f>
        <v/>
      </c>
      <c r="E80" s="26">
        <f>IF(62&gt;Ncoup,"",$C$80+$D$80)</f>
        <v/>
      </c>
      <c r="F80" s="27">
        <f>IF(62&gt;Ncoup,"",((62-1)+Wfrac)/Freq)</f>
        <v/>
      </c>
      <c r="G80" s="23">
        <f>IF(62&gt;Ncoup,"",1/(1+YTM/Freq)^((62-1)+Wfrac))</f>
        <v/>
      </c>
      <c r="H80" s="26">
        <f>IF(62&gt;Ncoup,"",$E$80*$G$80)</f>
        <v/>
      </c>
      <c r="I80" s="23">
        <f>IF(62&gt;Ncoup,"",$E$80*((62-1)+Wfrac)*((62-1)+Wfrac+1)/(1+YTM/Freq)^((62-1)+Wfrac+2))</f>
        <v/>
      </c>
      <c r="J80" s="23">
        <f>IF(62&gt;Ncoup,"",$F$80*$H$80)</f>
        <v/>
      </c>
    </row>
    <row r="81">
      <c r="A81" s="19">
        <f>IF(63&gt;Ncoup,"",63)</f>
        <v/>
      </c>
      <c r="B81" s="22">
        <f>IF(63&gt;Ncoup,"",EDATE(Ncd,(12/Freq)*(63-1)))</f>
        <v/>
      </c>
      <c r="C81" s="26">
        <f>IF(63&gt;Ncoup,"",IF(IsZero=1,0,CouponRate/Freq*Face))</f>
        <v/>
      </c>
      <c r="D81" s="26">
        <f>IF(63&gt;Ncoup,"",IF(63=Ncoup,Face,0))</f>
        <v/>
      </c>
      <c r="E81" s="26">
        <f>IF(63&gt;Ncoup,"",$C$81+$D$81)</f>
        <v/>
      </c>
      <c r="F81" s="27">
        <f>IF(63&gt;Ncoup,"",((63-1)+Wfrac)/Freq)</f>
        <v/>
      </c>
      <c r="G81" s="23">
        <f>IF(63&gt;Ncoup,"",1/(1+YTM/Freq)^((63-1)+Wfrac))</f>
        <v/>
      </c>
      <c r="H81" s="26">
        <f>IF(63&gt;Ncoup,"",$E$81*$G$81)</f>
        <v/>
      </c>
      <c r="I81" s="23">
        <f>IF(63&gt;Ncoup,"",$E$81*((63-1)+Wfrac)*((63-1)+Wfrac+1)/(1+YTM/Freq)^((63-1)+Wfrac+2))</f>
        <v/>
      </c>
      <c r="J81" s="23">
        <f>IF(63&gt;Ncoup,"",$F$81*$H$81)</f>
        <v/>
      </c>
    </row>
    <row r="82">
      <c r="A82" s="19">
        <f>IF(64&gt;Ncoup,"",64)</f>
        <v/>
      </c>
      <c r="B82" s="22">
        <f>IF(64&gt;Ncoup,"",EDATE(Ncd,(12/Freq)*(64-1)))</f>
        <v/>
      </c>
      <c r="C82" s="26">
        <f>IF(64&gt;Ncoup,"",IF(IsZero=1,0,CouponRate/Freq*Face))</f>
        <v/>
      </c>
      <c r="D82" s="26">
        <f>IF(64&gt;Ncoup,"",IF(64=Ncoup,Face,0))</f>
        <v/>
      </c>
      <c r="E82" s="26">
        <f>IF(64&gt;Ncoup,"",$C$82+$D$82)</f>
        <v/>
      </c>
      <c r="F82" s="27">
        <f>IF(64&gt;Ncoup,"",((64-1)+Wfrac)/Freq)</f>
        <v/>
      </c>
      <c r="G82" s="23">
        <f>IF(64&gt;Ncoup,"",1/(1+YTM/Freq)^((64-1)+Wfrac))</f>
        <v/>
      </c>
      <c r="H82" s="26">
        <f>IF(64&gt;Ncoup,"",$E$82*$G$82)</f>
        <v/>
      </c>
      <c r="I82" s="23">
        <f>IF(64&gt;Ncoup,"",$E$82*((64-1)+Wfrac)*((64-1)+Wfrac+1)/(1+YTM/Freq)^((64-1)+Wfrac+2))</f>
        <v/>
      </c>
      <c r="J82" s="23">
        <f>IF(64&gt;Ncoup,"",$F$82*$H$82)</f>
        <v/>
      </c>
    </row>
    <row r="83">
      <c r="A83" s="19">
        <f>IF(65&gt;Ncoup,"",65)</f>
        <v/>
      </c>
      <c r="B83" s="22">
        <f>IF(65&gt;Ncoup,"",EDATE(Ncd,(12/Freq)*(65-1)))</f>
        <v/>
      </c>
      <c r="C83" s="26">
        <f>IF(65&gt;Ncoup,"",IF(IsZero=1,0,CouponRate/Freq*Face))</f>
        <v/>
      </c>
      <c r="D83" s="26">
        <f>IF(65&gt;Ncoup,"",IF(65=Ncoup,Face,0))</f>
        <v/>
      </c>
      <c r="E83" s="26">
        <f>IF(65&gt;Ncoup,"",$C$83+$D$83)</f>
        <v/>
      </c>
      <c r="F83" s="27">
        <f>IF(65&gt;Ncoup,"",((65-1)+Wfrac)/Freq)</f>
        <v/>
      </c>
      <c r="G83" s="23">
        <f>IF(65&gt;Ncoup,"",1/(1+YTM/Freq)^((65-1)+Wfrac))</f>
        <v/>
      </c>
      <c r="H83" s="26">
        <f>IF(65&gt;Ncoup,"",$E$83*$G$83)</f>
        <v/>
      </c>
      <c r="I83" s="23">
        <f>IF(65&gt;Ncoup,"",$E$83*((65-1)+Wfrac)*((65-1)+Wfrac+1)/(1+YTM/Freq)^((65-1)+Wfrac+2))</f>
        <v/>
      </c>
      <c r="J83" s="23">
        <f>IF(65&gt;Ncoup,"",$F$83*$H$83)</f>
        <v/>
      </c>
    </row>
    <row r="84">
      <c r="A84" s="19">
        <f>IF(66&gt;Ncoup,"",66)</f>
        <v/>
      </c>
      <c r="B84" s="22">
        <f>IF(66&gt;Ncoup,"",EDATE(Ncd,(12/Freq)*(66-1)))</f>
        <v/>
      </c>
      <c r="C84" s="26">
        <f>IF(66&gt;Ncoup,"",IF(IsZero=1,0,CouponRate/Freq*Face))</f>
        <v/>
      </c>
      <c r="D84" s="26">
        <f>IF(66&gt;Ncoup,"",IF(66=Ncoup,Face,0))</f>
        <v/>
      </c>
      <c r="E84" s="26">
        <f>IF(66&gt;Ncoup,"",$C$84+$D$84)</f>
        <v/>
      </c>
      <c r="F84" s="27">
        <f>IF(66&gt;Ncoup,"",((66-1)+Wfrac)/Freq)</f>
        <v/>
      </c>
      <c r="G84" s="23">
        <f>IF(66&gt;Ncoup,"",1/(1+YTM/Freq)^((66-1)+Wfrac))</f>
        <v/>
      </c>
      <c r="H84" s="26">
        <f>IF(66&gt;Ncoup,"",$E$84*$G$84)</f>
        <v/>
      </c>
      <c r="I84" s="23">
        <f>IF(66&gt;Ncoup,"",$E$84*((66-1)+Wfrac)*((66-1)+Wfrac+1)/(1+YTM/Freq)^((66-1)+Wfrac+2))</f>
        <v/>
      </c>
      <c r="J84" s="23">
        <f>IF(66&gt;Ncoup,"",$F$84*$H$84)</f>
        <v/>
      </c>
    </row>
    <row r="85">
      <c r="A85" s="19">
        <f>IF(67&gt;Ncoup,"",67)</f>
        <v/>
      </c>
      <c r="B85" s="22">
        <f>IF(67&gt;Ncoup,"",EDATE(Ncd,(12/Freq)*(67-1)))</f>
        <v/>
      </c>
      <c r="C85" s="26">
        <f>IF(67&gt;Ncoup,"",IF(IsZero=1,0,CouponRate/Freq*Face))</f>
        <v/>
      </c>
      <c r="D85" s="26">
        <f>IF(67&gt;Ncoup,"",IF(67=Ncoup,Face,0))</f>
        <v/>
      </c>
      <c r="E85" s="26">
        <f>IF(67&gt;Ncoup,"",$C$85+$D$85)</f>
        <v/>
      </c>
      <c r="F85" s="27">
        <f>IF(67&gt;Ncoup,"",((67-1)+Wfrac)/Freq)</f>
        <v/>
      </c>
      <c r="G85" s="23">
        <f>IF(67&gt;Ncoup,"",1/(1+YTM/Freq)^((67-1)+Wfrac))</f>
        <v/>
      </c>
      <c r="H85" s="26">
        <f>IF(67&gt;Ncoup,"",$E$85*$G$85)</f>
        <v/>
      </c>
      <c r="I85" s="23">
        <f>IF(67&gt;Ncoup,"",$E$85*((67-1)+Wfrac)*((67-1)+Wfrac+1)/(1+YTM/Freq)^((67-1)+Wfrac+2))</f>
        <v/>
      </c>
      <c r="J85" s="23">
        <f>IF(67&gt;Ncoup,"",$F$85*$H$85)</f>
        <v/>
      </c>
    </row>
    <row r="86">
      <c r="A86" s="19">
        <f>IF(68&gt;Ncoup,"",68)</f>
        <v/>
      </c>
      <c r="B86" s="22">
        <f>IF(68&gt;Ncoup,"",EDATE(Ncd,(12/Freq)*(68-1)))</f>
        <v/>
      </c>
      <c r="C86" s="26">
        <f>IF(68&gt;Ncoup,"",IF(IsZero=1,0,CouponRate/Freq*Face))</f>
        <v/>
      </c>
      <c r="D86" s="26">
        <f>IF(68&gt;Ncoup,"",IF(68=Ncoup,Face,0))</f>
        <v/>
      </c>
      <c r="E86" s="26">
        <f>IF(68&gt;Ncoup,"",$C$86+$D$86)</f>
        <v/>
      </c>
      <c r="F86" s="27">
        <f>IF(68&gt;Ncoup,"",((68-1)+Wfrac)/Freq)</f>
        <v/>
      </c>
      <c r="G86" s="23">
        <f>IF(68&gt;Ncoup,"",1/(1+YTM/Freq)^((68-1)+Wfrac))</f>
        <v/>
      </c>
      <c r="H86" s="26">
        <f>IF(68&gt;Ncoup,"",$E$86*$G$86)</f>
        <v/>
      </c>
      <c r="I86" s="23">
        <f>IF(68&gt;Ncoup,"",$E$86*((68-1)+Wfrac)*((68-1)+Wfrac+1)/(1+YTM/Freq)^((68-1)+Wfrac+2))</f>
        <v/>
      </c>
      <c r="J86" s="23">
        <f>IF(68&gt;Ncoup,"",$F$86*$H$86)</f>
        <v/>
      </c>
    </row>
    <row r="87">
      <c r="A87" s="19">
        <f>IF(69&gt;Ncoup,"",69)</f>
        <v/>
      </c>
      <c r="B87" s="22">
        <f>IF(69&gt;Ncoup,"",EDATE(Ncd,(12/Freq)*(69-1)))</f>
        <v/>
      </c>
      <c r="C87" s="26">
        <f>IF(69&gt;Ncoup,"",IF(IsZero=1,0,CouponRate/Freq*Face))</f>
        <v/>
      </c>
      <c r="D87" s="26">
        <f>IF(69&gt;Ncoup,"",IF(69=Ncoup,Face,0))</f>
        <v/>
      </c>
      <c r="E87" s="26">
        <f>IF(69&gt;Ncoup,"",$C$87+$D$87)</f>
        <v/>
      </c>
      <c r="F87" s="27">
        <f>IF(69&gt;Ncoup,"",((69-1)+Wfrac)/Freq)</f>
        <v/>
      </c>
      <c r="G87" s="23">
        <f>IF(69&gt;Ncoup,"",1/(1+YTM/Freq)^((69-1)+Wfrac))</f>
        <v/>
      </c>
      <c r="H87" s="26">
        <f>IF(69&gt;Ncoup,"",$E$87*$G$87)</f>
        <v/>
      </c>
      <c r="I87" s="23">
        <f>IF(69&gt;Ncoup,"",$E$87*((69-1)+Wfrac)*((69-1)+Wfrac+1)/(1+YTM/Freq)^((69-1)+Wfrac+2))</f>
        <v/>
      </c>
      <c r="J87" s="23">
        <f>IF(69&gt;Ncoup,"",$F$87*$H$87)</f>
        <v/>
      </c>
    </row>
    <row r="88">
      <c r="A88" s="19">
        <f>IF(70&gt;Ncoup,"",70)</f>
        <v/>
      </c>
      <c r="B88" s="22">
        <f>IF(70&gt;Ncoup,"",EDATE(Ncd,(12/Freq)*(70-1)))</f>
        <v/>
      </c>
      <c r="C88" s="26">
        <f>IF(70&gt;Ncoup,"",IF(IsZero=1,0,CouponRate/Freq*Face))</f>
        <v/>
      </c>
      <c r="D88" s="26">
        <f>IF(70&gt;Ncoup,"",IF(70=Ncoup,Face,0))</f>
        <v/>
      </c>
      <c r="E88" s="26">
        <f>IF(70&gt;Ncoup,"",$C$88+$D$88)</f>
        <v/>
      </c>
      <c r="F88" s="27">
        <f>IF(70&gt;Ncoup,"",((70-1)+Wfrac)/Freq)</f>
        <v/>
      </c>
      <c r="G88" s="23">
        <f>IF(70&gt;Ncoup,"",1/(1+YTM/Freq)^((70-1)+Wfrac))</f>
        <v/>
      </c>
      <c r="H88" s="26">
        <f>IF(70&gt;Ncoup,"",$E$88*$G$88)</f>
        <v/>
      </c>
      <c r="I88" s="23">
        <f>IF(70&gt;Ncoup,"",$E$88*((70-1)+Wfrac)*((70-1)+Wfrac+1)/(1+YTM/Freq)^((70-1)+Wfrac+2))</f>
        <v/>
      </c>
      <c r="J88" s="23">
        <f>IF(70&gt;Ncoup,"",$F$88*$H$88)</f>
        <v/>
      </c>
    </row>
    <row r="89">
      <c r="A89" s="19">
        <f>IF(71&gt;Ncoup,"",71)</f>
        <v/>
      </c>
      <c r="B89" s="22">
        <f>IF(71&gt;Ncoup,"",EDATE(Ncd,(12/Freq)*(71-1)))</f>
        <v/>
      </c>
      <c r="C89" s="26">
        <f>IF(71&gt;Ncoup,"",IF(IsZero=1,0,CouponRate/Freq*Face))</f>
        <v/>
      </c>
      <c r="D89" s="26">
        <f>IF(71&gt;Ncoup,"",IF(71=Ncoup,Face,0))</f>
        <v/>
      </c>
      <c r="E89" s="26">
        <f>IF(71&gt;Ncoup,"",$C$89+$D$89)</f>
        <v/>
      </c>
      <c r="F89" s="27">
        <f>IF(71&gt;Ncoup,"",((71-1)+Wfrac)/Freq)</f>
        <v/>
      </c>
      <c r="G89" s="23">
        <f>IF(71&gt;Ncoup,"",1/(1+YTM/Freq)^((71-1)+Wfrac))</f>
        <v/>
      </c>
      <c r="H89" s="26">
        <f>IF(71&gt;Ncoup,"",$E$89*$G$89)</f>
        <v/>
      </c>
      <c r="I89" s="23">
        <f>IF(71&gt;Ncoup,"",$E$89*((71-1)+Wfrac)*((71-1)+Wfrac+1)/(1+YTM/Freq)^((71-1)+Wfrac+2))</f>
        <v/>
      </c>
      <c r="J89" s="23">
        <f>IF(71&gt;Ncoup,"",$F$89*$H$89)</f>
        <v/>
      </c>
    </row>
    <row r="90">
      <c r="A90" s="19">
        <f>IF(72&gt;Ncoup,"",72)</f>
        <v/>
      </c>
      <c r="B90" s="22">
        <f>IF(72&gt;Ncoup,"",EDATE(Ncd,(12/Freq)*(72-1)))</f>
        <v/>
      </c>
      <c r="C90" s="26">
        <f>IF(72&gt;Ncoup,"",IF(IsZero=1,0,CouponRate/Freq*Face))</f>
        <v/>
      </c>
      <c r="D90" s="26">
        <f>IF(72&gt;Ncoup,"",IF(72=Ncoup,Face,0))</f>
        <v/>
      </c>
      <c r="E90" s="26">
        <f>IF(72&gt;Ncoup,"",$C$90+$D$90)</f>
        <v/>
      </c>
      <c r="F90" s="27">
        <f>IF(72&gt;Ncoup,"",((72-1)+Wfrac)/Freq)</f>
        <v/>
      </c>
      <c r="G90" s="23">
        <f>IF(72&gt;Ncoup,"",1/(1+YTM/Freq)^((72-1)+Wfrac))</f>
        <v/>
      </c>
      <c r="H90" s="26">
        <f>IF(72&gt;Ncoup,"",$E$90*$G$90)</f>
        <v/>
      </c>
      <c r="I90" s="23">
        <f>IF(72&gt;Ncoup,"",$E$90*((72-1)+Wfrac)*((72-1)+Wfrac+1)/(1+YTM/Freq)^((72-1)+Wfrac+2))</f>
        <v/>
      </c>
      <c r="J90" s="23">
        <f>IF(72&gt;Ncoup,"",$F$90*$H$90)</f>
        <v/>
      </c>
    </row>
    <row r="91">
      <c r="A91" s="19">
        <f>IF(73&gt;Ncoup,"",73)</f>
        <v/>
      </c>
      <c r="B91" s="22">
        <f>IF(73&gt;Ncoup,"",EDATE(Ncd,(12/Freq)*(73-1)))</f>
        <v/>
      </c>
      <c r="C91" s="26">
        <f>IF(73&gt;Ncoup,"",IF(IsZero=1,0,CouponRate/Freq*Face))</f>
        <v/>
      </c>
      <c r="D91" s="26">
        <f>IF(73&gt;Ncoup,"",IF(73=Ncoup,Face,0))</f>
        <v/>
      </c>
      <c r="E91" s="26">
        <f>IF(73&gt;Ncoup,"",$C$91+$D$91)</f>
        <v/>
      </c>
      <c r="F91" s="27">
        <f>IF(73&gt;Ncoup,"",((73-1)+Wfrac)/Freq)</f>
        <v/>
      </c>
      <c r="G91" s="23">
        <f>IF(73&gt;Ncoup,"",1/(1+YTM/Freq)^((73-1)+Wfrac))</f>
        <v/>
      </c>
      <c r="H91" s="26">
        <f>IF(73&gt;Ncoup,"",$E$91*$G$91)</f>
        <v/>
      </c>
      <c r="I91" s="23">
        <f>IF(73&gt;Ncoup,"",$E$91*((73-1)+Wfrac)*((73-1)+Wfrac+1)/(1+YTM/Freq)^((73-1)+Wfrac+2))</f>
        <v/>
      </c>
      <c r="J91" s="23">
        <f>IF(73&gt;Ncoup,"",$F$91*$H$91)</f>
        <v/>
      </c>
    </row>
    <row r="92">
      <c r="A92" s="19">
        <f>IF(74&gt;Ncoup,"",74)</f>
        <v/>
      </c>
      <c r="B92" s="22">
        <f>IF(74&gt;Ncoup,"",EDATE(Ncd,(12/Freq)*(74-1)))</f>
        <v/>
      </c>
      <c r="C92" s="26">
        <f>IF(74&gt;Ncoup,"",IF(IsZero=1,0,CouponRate/Freq*Face))</f>
        <v/>
      </c>
      <c r="D92" s="26">
        <f>IF(74&gt;Ncoup,"",IF(74=Ncoup,Face,0))</f>
        <v/>
      </c>
      <c r="E92" s="26">
        <f>IF(74&gt;Ncoup,"",$C$92+$D$92)</f>
        <v/>
      </c>
      <c r="F92" s="27">
        <f>IF(74&gt;Ncoup,"",((74-1)+Wfrac)/Freq)</f>
        <v/>
      </c>
      <c r="G92" s="23">
        <f>IF(74&gt;Ncoup,"",1/(1+YTM/Freq)^((74-1)+Wfrac))</f>
        <v/>
      </c>
      <c r="H92" s="26">
        <f>IF(74&gt;Ncoup,"",$E$92*$G$92)</f>
        <v/>
      </c>
      <c r="I92" s="23">
        <f>IF(74&gt;Ncoup,"",$E$92*((74-1)+Wfrac)*((74-1)+Wfrac+1)/(1+YTM/Freq)^((74-1)+Wfrac+2))</f>
        <v/>
      </c>
      <c r="J92" s="23">
        <f>IF(74&gt;Ncoup,"",$F$92*$H$92)</f>
        <v/>
      </c>
    </row>
    <row r="93">
      <c r="A93" s="19">
        <f>IF(75&gt;Ncoup,"",75)</f>
        <v/>
      </c>
      <c r="B93" s="22">
        <f>IF(75&gt;Ncoup,"",EDATE(Ncd,(12/Freq)*(75-1)))</f>
        <v/>
      </c>
      <c r="C93" s="26">
        <f>IF(75&gt;Ncoup,"",IF(IsZero=1,0,CouponRate/Freq*Face))</f>
        <v/>
      </c>
      <c r="D93" s="26">
        <f>IF(75&gt;Ncoup,"",IF(75=Ncoup,Face,0))</f>
        <v/>
      </c>
      <c r="E93" s="26">
        <f>IF(75&gt;Ncoup,"",$C$93+$D$93)</f>
        <v/>
      </c>
      <c r="F93" s="27">
        <f>IF(75&gt;Ncoup,"",((75-1)+Wfrac)/Freq)</f>
        <v/>
      </c>
      <c r="G93" s="23">
        <f>IF(75&gt;Ncoup,"",1/(1+YTM/Freq)^((75-1)+Wfrac))</f>
        <v/>
      </c>
      <c r="H93" s="26">
        <f>IF(75&gt;Ncoup,"",$E$93*$G$93)</f>
        <v/>
      </c>
      <c r="I93" s="23">
        <f>IF(75&gt;Ncoup,"",$E$93*((75-1)+Wfrac)*((75-1)+Wfrac+1)/(1+YTM/Freq)^((75-1)+Wfrac+2))</f>
        <v/>
      </c>
      <c r="J93" s="23">
        <f>IF(75&gt;Ncoup,"",$F$93*$H$93)</f>
        <v/>
      </c>
    </row>
    <row r="94">
      <c r="A94" s="19">
        <f>IF(76&gt;Ncoup,"",76)</f>
        <v/>
      </c>
      <c r="B94" s="22">
        <f>IF(76&gt;Ncoup,"",EDATE(Ncd,(12/Freq)*(76-1)))</f>
        <v/>
      </c>
      <c r="C94" s="26">
        <f>IF(76&gt;Ncoup,"",IF(IsZero=1,0,CouponRate/Freq*Face))</f>
        <v/>
      </c>
      <c r="D94" s="26">
        <f>IF(76&gt;Ncoup,"",IF(76=Ncoup,Face,0))</f>
        <v/>
      </c>
      <c r="E94" s="26">
        <f>IF(76&gt;Ncoup,"",$C$94+$D$94)</f>
        <v/>
      </c>
      <c r="F94" s="27">
        <f>IF(76&gt;Ncoup,"",((76-1)+Wfrac)/Freq)</f>
        <v/>
      </c>
      <c r="G94" s="23">
        <f>IF(76&gt;Ncoup,"",1/(1+YTM/Freq)^((76-1)+Wfrac))</f>
        <v/>
      </c>
      <c r="H94" s="26">
        <f>IF(76&gt;Ncoup,"",$E$94*$G$94)</f>
        <v/>
      </c>
      <c r="I94" s="23">
        <f>IF(76&gt;Ncoup,"",$E$94*((76-1)+Wfrac)*((76-1)+Wfrac+1)/(1+YTM/Freq)^((76-1)+Wfrac+2))</f>
        <v/>
      </c>
      <c r="J94" s="23">
        <f>IF(76&gt;Ncoup,"",$F$94*$H$94)</f>
        <v/>
      </c>
    </row>
    <row r="95">
      <c r="A95" s="19">
        <f>IF(77&gt;Ncoup,"",77)</f>
        <v/>
      </c>
      <c r="B95" s="22">
        <f>IF(77&gt;Ncoup,"",EDATE(Ncd,(12/Freq)*(77-1)))</f>
        <v/>
      </c>
      <c r="C95" s="26">
        <f>IF(77&gt;Ncoup,"",IF(IsZero=1,0,CouponRate/Freq*Face))</f>
        <v/>
      </c>
      <c r="D95" s="26">
        <f>IF(77&gt;Ncoup,"",IF(77=Ncoup,Face,0))</f>
        <v/>
      </c>
      <c r="E95" s="26">
        <f>IF(77&gt;Ncoup,"",$C$95+$D$95)</f>
        <v/>
      </c>
      <c r="F95" s="27">
        <f>IF(77&gt;Ncoup,"",((77-1)+Wfrac)/Freq)</f>
        <v/>
      </c>
      <c r="G95" s="23">
        <f>IF(77&gt;Ncoup,"",1/(1+YTM/Freq)^((77-1)+Wfrac))</f>
        <v/>
      </c>
      <c r="H95" s="26">
        <f>IF(77&gt;Ncoup,"",$E$95*$G$95)</f>
        <v/>
      </c>
      <c r="I95" s="23">
        <f>IF(77&gt;Ncoup,"",$E$95*((77-1)+Wfrac)*((77-1)+Wfrac+1)/(1+YTM/Freq)^((77-1)+Wfrac+2))</f>
        <v/>
      </c>
      <c r="J95" s="23">
        <f>IF(77&gt;Ncoup,"",$F$95*$H$95)</f>
        <v/>
      </c>
    </row>
    <row r="96">
      <c r="A96" s="19">
        <f>IF(78&gt;Ncoup,"",78)</f>
        <v/>
      </c>
      <c r="B96" s="22">
        <f>IF(78&gt;Ncoup,"",EDATE(Ncd,(12/Freq)*(78-1)))</f>
        <v/>
      </c>
      <c r="C96" s="26">
        <f>IF(78&gt;Ncoup,"",IF(IsZero=1,0,CouponRate/Freq*Face))</f>
        <v/>
      </c>
      <c r="D96" s="26">
        <f>IF(78&gt;Ncoup,"",IF(78=Ncoup,Face,0))</f>
        <v/>
      </c>
      <c r="E96" s="26">
        <f>IF(78&gt;Ncoup,"",$C$96+$D$96)</f>
        <v/>
      </c>
      <c r="F96" s="27">
        <f>IF(78&gt;Ncoup,"",((78-1)+Wfrac)/Freq)</f>
        <v/>
      </c>
      <c r="G96" s="23">
        <f>IF(78&gt;Ncoup,"",1/(1+YTM/Freq)^((78-1)+Wfrac))</f>
        <v/>
      </c>
      <c r="H96" s="26">
        <f>IF(78&gt;Ncoup,"",$E$96*$G$96)</f>
        <v/>
      </c>
      <c r="I96" s="23">
        <f>IF(78&gt;Ncoup,"",$E$96*((78-1)+Wfrac)*((78-1)+Wfrac+1)/(1+YTM/Freq)^((78-1)+Wfrac+2))</f>
        <v/>
      </c>
      <c r="J96" s="23">
        <f>IF(78&gt;Ncoup,"",$F$96*$H$96)</f>
        <v/>
      </c>
    </row>
    <row r="97">
      <c r="A97" s="19">
        <f>IF(79&gt;Ncoup,"",79)</f>
        <v/>
      </c>
      <c r="B97" s="22">
        <f>IF(79&gt;Ncoup,"",EDATE(Ncd,(12/Freq)*(79-1)))</f>
        <v/>
      </c>
      <c r="C97" s="26">
        <f>IF(79&gt;Ncoup,"",IF(IsZero=1,0,CouponRate/Freq*Face))</f>
        <v/>
      </c>
      <c r="D97" s="26">
        <f>IF(79&gt;Ncoup,"",IF(79=Ncoup,Face,0))</f>
        <v/>
      </c>
      <c r="E97" s="26">
        <f>IF(79&gt;Ncoup,"",$C$97+$D$97)</f>
        <v/>
      </c>
      <c r="F97" s="27">
        <f>IF(79&gt;Ncoup,"",((79-1)+Wfrac)/Freq)</f>
        <v/>
      </c>
      <c r="G97" s="23">
        <f>IF(79&gt;Ncoup,"",1/(1+YTM/Freq)^((79-1)+Wfrac))</f>
        <v/>
      </c>
      <c r="H97" s="26">
        <f>IF(79&gt;Ncoup,"",$E$97*$G$97)</f>
        <v/>
      </c>
      <c r="I97" s="23">
        <f>IF(79&gt;Ncoup,"",$E$97*((79-1)+Wfrac)*((79-1)+Wfrac+1)/(1+YTM/Freq)^((79-1)+Wfrac+2))</f>
        <v/>
      </c>
      <c r="J97" s="23">
        <f>IF(79&gt;Ncoup,"",$F$97*$H$97)</f>
        <v/>
      </c>
    </row>
    <row r="98">
      <c r="A98" s="19">
        <f>IF(80&gt;Ncoup,"",80)</f>
        <v/>
      </c>
      <c r="B98" s="22">
        <f>IF(80&gt;Ncoup,"",EDATE(Ncd,(12/Freq)*(80-1)))</f>
        <v/>
      </c>
      <c r="C98" s="26">
        <f>IF(80&gt;Ncoup,"",IF(IsZero=1,0,CouponRate/Freq*Face))</f>
        <v/>
      </c>
      <c r="D98" s="26">
        <f>IF(80&gt;Ncoup,"",IF(80=Ncoup,Face,0))</f>
        <v/>
      </c>
      <c r="E98" s="26">
        <f>IF(80&gt;Ncoup,"",$C$98+$D$98)</f>
        <v/>
      </c>
      <c r="F98" s="27">
        <f>IF(80&gt;Ncoup,"",((80-1)+Wfrac)/Freq)</f>
        <v/>
      </c>
      <c r="G98" s="23">
        <f>IF(80&gt;Ncoup,"",1/(1+YTM/Freq)^((80-1)+Wfrac))</f>
        <v/>
      </c>
      <c r="H98" s="26">
        <f>IF(80&gt;Ncoup,"",$E$98*$G$98)</f>
        <v/>
      </c>
      <c r="I98" s="23">
        <f>IF(80&gt;Ncoup,"",$E$98*((80-1)+Wfrac)*((80-1)+Wfrac+1)/(1+YTM/Freq)^((80-1)+Wfrac+2))</f>
        <v/>
      </c>
      <c r="J98" s="23">
        <f>IF(80&gt;Ncoup,"",$F$98*$H$98)</f>
        <v/>
      </c>
    </row>
    <row r="99">
      <c r="A99" s="28" t="inlineStr">
        <is>
          <t>Totals</t>
        </is>
      </c>
      <c r="C99" s="29">
        <f>SUM(C19:C98)</f>
        <v/>
      </c>
      <c r="D99" s="29">
        <f>SUM(D19:D98)</f>
        <v/>
      </c>
      <c r="E99" s="29">
        <f>SUM(E19:E98)</f>
        <v/>
      </c>
      <c r="H99" s="29">
        <f>SUM(H19:H98)</f>
        <v/>
      </c>
    </row>
    <row r="101" ht="18" customHeight="1">
      <c r="A101" s="5" t="inlineStr">
        <is>
          <t>From the schedule (auto)</t>
        </is>
      </c>
    </row>
    <row r="102">
      <c r="A102" s="8" t="inlineStr">
        <is>
          <t>Sum of PV  =  Dirty price</t>
        </is>
      </c>
      <c r="B102" s="30">
        <f>SUM(H19:H98)</f>
        <v/>
      </c>
      <c r="D102" s="12" t="inlineStr">
        <is>
          <t>Should equal the Dirty price on the Valuation sheet (checked in Audit).</t>
        </is>
      </c>
    </row>
    <row r="103">
      <c r="A103" s="8" t="inlineStr">
        <is>
          <t>Macaulay duration (schedule)</t>
        </is>
      </c>
      <c r="B103" s="31">
        <f>SUM(J19:J98)/SUM(H19:H98)</f>
        <v/>
      </c>
    </row>
    <row r="104">
      <c r="A104" s="8" t="inlineStr">
        <is>
          <t>Convexity (schedule)</t>
        </is>
      </c>
      <c r="B104" s="32">
        <f>SUM(I19:I98)/(SUM(H19:H98)*Freq^2)</f>
        <v/>
      </c>
      <c r="D104" s="12" t="inlineStr">
        <is>
          <t>Excel has no convexity function, so it is computed here from the schedule.</t>
        </is>
      </c>
    </row>
  </sheetData>
  <mergeCells count="13">
    <mergeCell ref="D14:J14"/>
    <mergeCell ref="A1:J1"/>
    <mergeCell ref="A8:J8"/>
    <mergeCell ref="D102:J102"/>
    <mergeCell ref="A9:J9"/>
    <mergeCell ref="A3:J3"/>
    <mergeCell ref="D104:J104"/>
    <mergeCell ref="D16:J16"/>
    <mergeCell ref="A7:J7"/>
    <mergeCell ref="A101:J101"/>
    <mergeCell ref="A2:J2"/>
    <mergeCell ref="A10:J10"/>
    <mergeCell ref="A13:J13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PRICE / VALUATION</t>
        </is>
      </c>
    </row>
    <row r="2">
      <c r="A2" s="2" t="inlineStr">
        <is>
          <t>Accrued interest, clean vs dirty price, yield and spread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CLEAN PRICE is the quoted price (what you see on a screen). DIRTY PRICE is what you actually pay = clean price + accrued interest (the coupon that has built up since the last payment).</t>
        </is>
      </c>
    </row>
    <row r="9" ht="25" customHeight="1">
      <c r="A9" s="7" t="inlineStr">
        <is>
          <t>YTM (yield to maturity) is the single discount rate that makes the bond's future cash flows equal its price - the return you earn if you hold to maturity and reinvest coupons at the same rate.</t>
        </is>
      </c>
    </row>
    <row r="10" ht="14" customHeight="1">
      <c r="A10" s="7" t="inlineStr">
        <is>
          <t>SPREAD = YTM - benchmark government yield: the extra yield you earn for taking this issuer's risk.</t>
        </is>
      </c>
    </row>
    <row r="13" ht="18" customHeight="1">
      <c r="A13" s="5" t="inlineStr">
        <is>
          <t>Results</t>
        </is>
      </c>
    </row>
    <row r="14">
      <c r="A14" s="8" t="inlineStr">
        <is>
          <t>Accrued interest (per 100)</t>
        </is>
      </c>
      <c r="B14" s="30">
        <f>IF(IsZero=1,0,COUPDAYBS(Settle,Maturity,Freq,Basis)/COUPDAYS(Settle,Maturity,Freq,Basis)*CouponRate/Freq*Face)</f>
        <v/>
      </c>
      <c r="C14" s="33" t="n"/>
      <c r="D14" s="12" t="inlineStr">
        <is>
          <t>Coupon built up since the last payment. Zero for a zero-coupon bond.</t>
        </is>
      </c>
    </row>
    <row r="15">
      <c r="A15" s="8" t="inlineStr">
        <is>
          <t>Market clean price</t>
        </is>
      </c>
      <c r="B15" s="34">
        <f>MktClean</f>
        <v/>
      </c>
      <c r="D15" s="12" t="inlineStr">
        <is>
          <t>As entered on Bond Terms.</t>
        </is>
      </c>
    </row>
    <row r="16">
      <c r="A16" s="8" t="inlineStr">
        <is>
          <t>Dirty price (invoice price)</t>
        </is>
      </c>
      <c r="B16" s="30">
        <f>MktClean+Accrued</f>
        <v/>
      </c>
      <c r="C16" s="33" t="n"/>
      <c r="D16" s="12" t="inlineStr">
        <is>
          <t>What you actually pay = clean + accrued.</t>
        </is>
      </c>
    </row>
    <row r="17">
      <c r="A17" s="8" t="inlineStr">
        <is>
          <t>Yield to maturity (YTM)</t>
        </is>
      </c>
      <c r="B17" s="35">
        <f>IF(IsZero=1,(Face/MktClean)^(1/YearsToMat)-1,YIELD(Settle,Maturity,CouponRate,MktClean,Face,Freq,Basis))</f>
        <v/>
      </c>
      <c r="C17" s="33" t="n"/>
      <c r="D17" s="12" t="inlineStr">
        <is>
          <t>Return if held to maturity. Zero-coupon: (Face/Price)^(1/Years)-1.</t>
        </is>
      </c>
    </row>
    <row r="18">
      <c r="A18" s="8" t="inlineStr">
        <is>
          <t>Current yield</t>
        </is>
      </c>
      <c r="B18" s="36">
        <f>IF(IsZero=1,"N/A",(CouponRate*Face)/MktClean)</f>
        <v/>
      </c>
      <c r="C18" s="33" t="n"/>
      <c r="D18" s="12" t="inlineStr">
        <is>
          <t>Annual coupon / clean price. Ignores capital gain/loss and timing. N/A for zero-coupon.</t>
        </is>
      </c>
    </row>
    <row r="19">
      <c r="A19" s="8" t="inlineStr">
        <is>
          <t>Premium / discount to par</t>
        </is>
      </c>
      <c r="B19" s="30">
        <f>MktClean-Face</f>
        <v/>
      </c>
      <c r="C19" s="33" t="n"/>
      <c r="D19" s="12" t="inlineStr">
        <is>
          <t>Positive = premium (above par); negative = discount (below par).</t>
        </is>
      </c>
    </row>
    <row r="20">
      <c r="A20" s="8" t="inlineStr">
        <is>
          <t>Spread over benchmark</t>
        </is>
      </c>
      <c r="B20" s="35">
        <f>YTM-BenchYield</f>
        <v/>
      </c>
      <c r="C20" s="33" t="n"/>
      <c r="D20" s="12" t="inlineStr">
        <is>
          <t>Extra yield vs a similar-maturity government bond.</t>
        </is>
      </c>
    </row>
    <row r="21">
      <c r="A21" s="8" t="inlineStr">
        <is>
          <t>Spread (basis points)</t>
        </is>
      </c>
      <c r="B21" s="37">
        <f>Spread*10000</f>
        <v/>
      </c>
    </row>
    <row r="22">
      <c r="A22" s="8" t="inlineStr">
        <is>
          <t>Model clean price (reprice at YTM)</t>
        </is>
      </c>
      <c r="B22" s="26">
        <f>IF(IsZero=1,Face/(1+YTM)^YearsToMat,PRICE(Settle,Maturity,CouponRate,YTM,Face,Freq,Basis))</f>
        <v/>
      </c>
      <c r="D22" s="12" t="inlineStr">
        <is>
          <t>Should equal the market clean price (checked on the Audit sheet).</t>
        </is>
      </c>
    </row>
    <row r="24" ht="18" customHeight="1">
      <c r="A24" s="5" t="inlineStr">
        <is>
          <t>Interpretation</t>
        </is>
      </c>
    </row>
    <row r="25">
      <c r="A25" s="8" t="inlineStr">
        <is>
          <t>Price vs par</t>
        </is>
      </c>
      <c r="B25" s="10">
        <f>IF(MktClean&gt;Face+0.5,"Premium - trades above par (coupon &gt; yield)",IF(MktClean&lt;Face-0.5,"Discount - trades below par (coupon &lt; yield)","Near par"))</f>
        <v/>
      </c>
    </row>
    <row r="26">
      <c r="A26" s="8" t="inlineStr">
        <is>
          <t>Spread read</t>
        </is>
      </c>
      <c r="B26" s="10">
        <f>IF(Spread&gt;=0.02,"Wide spread - potentially cheap, but only if the credit risk is acceptable",IF(Spread&lt;=0.005,"Tight spread - limited extra compensation for credit risk","Moderate spread"))</f>
        <v/>
      </c>
    </row>
    <row r="27">
      <c r="A27" s="8" t="inlineStr">
        <is>
          <t>Yield vs coupon</t>
        </is>
      </c>
      <c r="B27" s="10">
        <f>IF(IsZero=1,"Zero-coupon: all return comes from the discount to face",IF(YTM&gt;CouponRate,"Yield above coupon - consistent with a discount price",IF(YTM&lt;CouponRate,"Yield below coupon - consistent with a premium price","Yield ~ coupon - priced near par")))</f>
        <v/>
      </c>
    </row>
  </sheetData>
  <mergeCells count="29">
    <mergeCell ref="B16:C16"/>
    <mergeCell ref="B25:F25"/>
    <mergeCell ref="B22:C22"/>
    <mergeCell ref="D17:F17"/>
    <mergeCell ref="A3:F3"/>
    <mergeCell ref="B18:C18"/>
    <mergeCell ref="D16:F16"/>
    <mergeCell ref="B27:F27"/>
    <mergeCell ref="A2:F2"/>
    <mergeCell ref="B21:C21"/>
    <mergeCell ref="A8:F8"/>
    <mergeCell ref="D18:F18"/>
    <mergeCell ref="B14:C14"/>
    <mergeCell ref="B17:C17"/>
    <mergeCell ref="D15:F15"/>
    <mergeCell ref="A10:F10"/>
    <mergeCell ref="D14:F14"/>
    <mergeCell ref="A13:F13"/>
    <mergeCell ref="B19:C19"/>
    <mergeCell ref="A9:F9"/>
    <mergeCell ref="D20:F20"/>
    <mergeCell ref="A24:F24"/>
    <mergeCell ref="D19:F19"/>
    <mergeCell ref="B15:C15"/>
    <mergeCell ref="A1:F1"/>
    <mergeCell ref="B20:C20"/>
    <mergeCell ref="D22:F22"/>
    <mergeCell ref="B26:F26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DURATION &amp; CONVEXITY</t>
        </is>
      </c>
    </row>
    <row r="2">
      <c r="A2" s="2" t="inlineStr">
        <is>
          <t>Interest-rate sensitivity and a simple stress table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14" customHeight="1">
      <c r="A8" s="7" t="inlineStr">
        <is>
          <t>MACAULAY DURATION = the weighted-average time (in years) to receive the bond's cash flows.</t>
        </is>
      </c>
    </row>
    <row r="9" ht="25" customHeight="1">
      <c r="A9" s="7" t="inlineStr">
        <is>
          <t>MODIFIED DURATION = the approximate % change in price for a 1% (100 bps) change in yield. Bigger = more sensitive to rates.  DV01 = the price change for a 1 basis-point move (a dollar/price risk measure).</t>
        </is>
      </c>
    </row>
    <row r="10" ht="25" customHeight="1">
      <c r="A10" s="7" t="inlineStr">
        <is>
          <t>CONVEXITY improves the estimate for larger yield moves (the price/yield line is actually a curve). Price change is approximately:  - Modified duration x (yield change)  +  0.5 x convexity x (yield change)^2.</t>
        </is>
      </c>
    </row>
    <row r="13" ht="18" customHeight="1">
      <c r="A13" s="5" t="inlineStr">
        <is>
          <t>Sensitivity measures</t>
        </is>
      </c>
    </row>
    <row r="14">
      <c r="A14" s="8" t="inlineStr">
        <is>
          <t>Macaulay duration</t>
        </is>
      </c>
      <c r="B14" s="31">
        <f>IF(IsZero=1,YearsToMat,DURATION(Settle,Maturity,CouponRate,YTM,Freq,Basis))</f>
        <v/>
      </c>
      <c r="C14" s="33" t="n"/>
      <c r="D14" s="12" t="inlineStr">
        <is>
          <t>For a zero-coupon bond this equals the time to maturity.</t>
        </is>
      </c>
    </row>
    <row r="15">
      <c r="A15" s="8" t="inlineStr">
        <is>
          <t>Modified duration</t>
        </is>
      </c>
      <c r="B15" s="32">
        <f>IF(IsZero=1,YearsToMat/(1+YTM),MDURATION(Settle,Maturity,CouponRate,YTM,Freq,Basis))</f>
        <v/>
      </c>
      <c r="C15" s="33" t="n"/>
      <c r="D15" s="12" t="inlineStr">
        <is>
          <t>Approx % price fall if yield rises by 1% (100 bps).</t>
        </is>
      </c>
    </row>
    <row r="16">
      <c r="A16" s="8" t="inlineStr">
        <is>
          <t>Convexity</t>
        </is>
      </c>
      <c r="B16" s="38">
        <f>Convexity</f>
        <v/>
      </c>
      <c r="D16" s="12" t="inlineStr">
        <is>
          <t>Computed on the Cash Flows sheet (Excel has no convexity function).</t>
        </is>
      </c>
    </row>
    <row r="17">
      <c r="A17" s="8" t="inlineStr">
        <is>
          <t>DV01 (per 100 face)</t>
        </is>
      </c>
      <c r="B17" s="39">
        <f>ModDur*Dirty*0.0001</f>
        <v/>
      </c>
      <c r="C17" s="33" t="n"/>
      <c r="D17" s="12" t="inlineStr">
        <is>
          <t>Price change for a 1 basis-point yield move. Positive = the size of the risk.</t>
        </is>
      </c>
    </row>
    <row r="19" ht="18" customHeight="1">
      <c r="A19" s="5" t="inlineStr">
        <is>
          <t>Yield-shock stress table  (estimated impact on the dirty price)</t>
        </is>
      </c>
    </row>
    <row r="20">
      <c r="A20" s="24" t="inlineStr">
        <is>
          <t>Yield change</t>
        </is>
      </c>
      <c r="B20" s="25" t="inlineStr">
        <is>
          <t>Change (decimal)</t>
        </is>
      </c>
      <c r="C20" s="25" t="inlineStr">
        <is>
          <t>Est. % price change</t>
        </is>
      </c>
      <c r="D20" s="25" t="inlineStr">
        <is>
          <t>Est. new dirty price</t>
        </is>
      </c>
      <c r="E20" s="25" t="inlineStr">
        <is>
          <t>Est. change (per 100)</t>
        </is>
      </c>
    </row>
    <row r="21">
      <c r="A21" s="8" t="inlineStr">
        <is>
          <t>+100 bps</t>
        </is>
      </c>
      <c r="B21" s="20" t="n">
        <v>0.01</v>
      </c>
      <c r="C21" s="20">
        <f>-ModDur*$B$21+0.5*Convexity*$B$21^2</f>
        <v/>
      </c>
      <c r="D21" s="30">
        <f>Dirty*(1+$C$21)</f>
        <v/>
      </c>
      <c r="E21" s="26">
        <f>Dirty*$C$21</f>
        <v/>
      </c>
    </row>
    <row r="22">
      <c r="A22" s="8" t="inlineStr">
        <is>
          <t>+50 bps</t>
        </is>
      </c>
      <c r="B22" s="20" t="n">
        <v>0.005</v>
      </c>
      <c r="C22" s="20">
        <f>-ModDur*$B$22+0.5*Convexity*$B$22^2</f>
        <v/>
      </c>
      <c r="D22" s="30">
        <f>Dirty*(1+$C$22)</f>
        <v/>
      </c>
      <c r="E22" s="26">
        <f>Dirty*$C$22</f>
        <v/>
      </c>
    </row>
    <row r="23">
      <c r="A23" s="8" t="inlineStr">
        <is>
          <t>+25 bps</t>
        </is>
      </c>
      <c r="B23" s="20" t="n">
        <v>0.0025</v>
      </c>
      <c r="C23" s="20">
        <f>-ModDur*$B$23+0.5*Convexity*$B$23^2</f>
        <v/>
      </c>
      <c r="D23" s="30">
        <f>Dirty*(1+$C$23)</f>
        <v/>
      </c>
      <c r="E23" s="26">
        <f>Dirty*$C$23</f>
        <v/>
      </c>
    </row>
    <row r="24">
      <c r="A24" s="8" t="inlineStr">
        <is>
          <t>-25 bps</t>
        </is>
      </c>
      <c r="B24" s="20" t="n">
        <v>-0.0025</v>
      </c>
      <c r="C24" s="20">
        <f>-ModDur*$B$24+0.5*Convexity*$B$24^2</f>
        <v/>
      </c>
      <c r="D24" s="30">
        <f>Dirty*(1+$C$24)</f>
        <v/>
      </c>
      <c r="E24" s="26">
        <f>Dirty*$C$24</f>
        <v/>
      </c>
    </row>
    <row r="25">
      <c r="A25" s="8" t="inlineStr">
        <is>
          <t>-50 bps</t>
        </is>
      </c>
      <c r="B25" s="20" t="n">
        <v>-0.005</v>
      </c>
      <c r="C25" s="20">
        <f>-ModDur*$B$25+0.5*Convexity*$B$25^2</f>
        <v/>
      </c>
      <c r="D25" s="30">
        <f>Dirty*(1+$C$25)</f>
        <v/>
      </c>
      <c r="E25" s="26">
        <f>Dirty*$C$25</f>
        <v/>
      </c>
    </row>
    <row r="26">
      <c r="A26" s="8" t="inlineStr">
        <is>
          <t>-100 bps</t>
        </is>
      </c>
      <c r="B26" s="20" t="n">
        <v>-0.01</v>
      </c>
      <c r="C26" s="20">
        <f>-ModDur*$B$26+0.5*Convexity*$B$26^2</f>
        <v/>
      </c>
      <c r="D26" s="30">
        <f>Dirty*(1+$C$26)</f>
        <v/>
      </c>
      <c r="E26" s="26">
        <f>Dirty*$C$26</f>
        <v/>
      </c>
    </row>
    <row r="27">
      <c r="A27" s="3" t="inlineStr">
        <is>
          <t>Note: yields UP -&gt; price DOWN (and vice versa). Convexity makes the price gain on a big rally a bit larger than the loss on an equal sell-off.</t>
        </is>
      </c>
    </row>
  </sheetData>
  <mergeCells count="25">
    <mergeCell ref="B16:C16"/>
    <mergeCell ref="E24:F24"/>
    <mergeCell ref="A27:F27"/>
    <mergeCell ref="E23:F23"/>
    <mergeCell ref="D17:F17"/>
    <mergeCell ref="A3:F3"/>
    <mergeCell ref="D16:F16"/>
    <mergeCell ref="A2:F2"/>
    <mergeCell ref="E20:F20"/>
    <mergeCell ref="A8:F8"/>
    <mergeCell ref="B14:C14"/>
    <mergeCell ref="B17:C17"/>
    <mergeCell ref="D15:F15"/>
    <mergeCell ref="A10:F10"/>
    <mergeCell ref="D14:F14"/>
    <mergeCell ref="A13:F13"/>
    <mergeCell ref="A19:F19"/>
    <mergeCell ref="A9:F9"/>
    <mergeCell ref="E26:F26"/>
    <mergeCell ref="B15:C15"/>
    <mergeCell ref="E25:F25"/>
    <mergeCell ref="A1:F1"/>
    <mergeCell ref="E22:F22"/>
    <mergeCell ref="A7:F7"/>
    <mergeCell ref="E21:F2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0641F"/>
    <outlinePr summaryBelow="1" summaryRight="1"/>
    <pageSetUpPr fitToPage="1"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CALL &amp; YIELD TO WORST</t>
        </is>
      </c>
    </row>
    <row r="2">
      <c r="A2" s="2" t="inlineStr">
        <is>
          <t>What you earn if held to maturity vs called early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14" customHeight="1">
      <c r="A8" s="7" t="inlineStr">
        <is>
          <t>A CALLABLE bond can be repaid early by the issuer (usually when rates fall, which is bad for you).</t>
        </is>
      </c>
    </row>
    <row r="9" ht="14" customHeight="1">
      <c r="A9" s="7" t="inlineStr">
        <is>
          <t>YIELD TO CALL (YTC) uses only the cash flows up to the call date, plus the call price you receive then.</t>
        </is>
      </c>
    </row>
    <row r="10" ht="25" customHeight="1">
      <c r="A10" s="7" t="inlineStr">
        <is>
          <t>YIELD TO WORST (YTW) = the lower of YTM and YTC. It is the most conservative yield you should plan on - always judge a callable bond on its YTW, not its YTM.</t>
        </is>
      </c>
    </row>
    <row r="13" ht="18" customHeight="1">
      <c r="A13" s="5" t="inlineStr">
        <is>
          <t>Yields</t>
        </is>
      </c>
    </row>
    <row r="14">
      <c r="A14" s="8" t="inlineStr">
        <is>
          <t>Callable?</t>
        </is>
      </c>
      <c r="B14" s="40">
        <f>CallableFlag</f>
        <v/>
      </c>
    </row>
    <row r="15">
      <c r="A15" s="8" t="inlineStr">
        <is>
          <t>Yield to maturity (YTM)</t>
        </is>
      </c>
      <c r="B15" s="41">
        <f>YTM</f>
        <v/>
      </c>
      <c r="D15" s="12" t="inlineStr">
        <is>
          <t>Return if held all the way to maturity.</t>
        </is>
      </c>
    </row>
    <row r="16">
      <c r="A16" s="8" t="inlineStr">
        <is>
          <t>Yield to call (YTC)</t>
        </is>
      </c>
      <c r="B16" s="35">
        <f>IF(CallableFlag&lt;&gt;"Yes","Not callable",IF(IsZero=1,(CallPrice/MktClean)^(1/YearsToCall)-1,YIELD(Settle,CallDate,CouponRate,MktClean,CallPrice,Freq,Basis)))</f>
        <v/>
      </c>
      <c r="C16" s="33" t="n"/>
      <c r="D16" s="12" t="inlineStr">
        <is>
          <t>Return if the bond is called on the call date at the call price.</t>
        </is>
      </c>
    </row>
    <row r="17">
      <c r="A17" s="8" t="inlineStr">
        <is>
          <t>Yield to worst (YTW)</t>
        </is>
      </c>
      <c r="B17" s="35">
        <f>IF(CallableFlag&lt;&gt;"Yes",YTM,MIN(YTM,YTC))</f>
        <v/>
      </c>
      <c r="C17" s="33" t="n"/>
      <c r="D17" s="12" t="inlineStr">
        <is>
          <t>The lower of YTM and YTC. Plan on this.</t>
        </is>
      </c>
    </row>
    <row r="19" ht="18" customHeight="1">
      <c r="A19" s="5" t="inlineStr">
        <is>
          <t>Call details &amp; interpretation</t>
        </is>
      </c>
    </row>
    <row r="20">
      <c r="A20" s="8" t="inlineStr">
        <is>
          <t>Years to call</t>
        </is>
      </c>
      <c r="B20" s="42">
        <f>YearsToCall</f>
        <v/>
      </c>
    </row>
    <row r="21">
      <c r="A21" s="8" t="inlineStr">
        <is>
          <t>Call price</t>
        </is>
      </c>
      <c r="B21" s="34">
        <f>IF(CallableFlag&lt;&gt;"Yes","n/a",CallPrice)</f>
        <v/>
      </c>
    </row>
    <row r="22">
      <c r="A22" s="8" t="inlineStr">
        <is>
          <t>What this means</t>
        </is>
      </c>
      <c r="B22" s="10">
        <f>IF(CallableFlag&lt;&gt;"Yes","Not callable - you should receive coupons through to maturity.",IF(YTC&lt;YTM,"Call risk: if called, your yield drops to the YTC - this limits your upside.","If called you would actually earn more than to maturity, so call risk is not a concern here."))</f>
        <v/>
      </c>
    </row>
  </sheetData>
  <mergeCells count="19">
    <mergeCell ref="B16:C16"/>
    <mergeCell ref="D17:F17"/>
    <mergeCell ref="B22:F22"/>
    <mergeCell ref="A3:F3"/>
    <mergeCell ref="D16:F16"/>
    <mergeCell ref="A2:F2"/>
    <mergeCell ref="B21:C21"/>
    <mergeCell ref="A8:F8"/>
    <mergeCell ref="B14:C14"/>
    <mergeCell ref="B17:C17"/>
    <mergeCell ref="D15:F15"/>
    <mergeCell ref="A10:F10"/>
    <mergeCell ref="A13:F13"/>
    <mergeCell ref="A19:F19"/>
    <mergeCell ref="A9:F9"/>
    <mergeCell ref="B15:C15"/>
    <mergeCell ref="A1:F1"/>
    <mergeCell ref="B20:C20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" customWidth="1" min="3" max="3"/>
    <col width="15" customWidth="1" min="4" max="4"/>
    <col width="15" customWidth="1" min="5" max="5"/>
    <col width="15" customWidth="1" min="6" max="6"/>
  </cols>
  <sheetData>
    <row r="1" ht="28" customHeight="1">
      <c r="A1" s="1" t="inlineStr">
        <is>
          <t>ISSUER FINANCIAL STRENGTH</t>
        </is>
      </c>
    </row>
    <row r="2">
      <c r="A2" s="2" t="inlineStr">
        <is>
          <t>A few simple credit ratios (optional) - not a full model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OPTIONAL:  fill these to gauge the issuer's ability to pay. Leave blank if you only want bond math. Enter figures in the same currency units (e.g. millions).</t>
        </is>
      </c>
    </row>
    <row r="9" ht="25" customHeight="1">
      <c r="A9" s="7" t="inlineStr">
        <is>
          <t>The ratios below tell you: how much debt vs earnings (leverage), whether earnings cover interest, and whether there is enough liquidity for near-term maturities.</t>
        </is>
      </c>
    </row>
    <row r="10" ht="14" customHeight="1">
      <c r="A10" s="7" t="inlineStr">
        <is>
          <t>Guards:  if EBITDA or interest expense is zero/negative, ratios show N/A instead of breaking.</t>
        </is>
      </c>
    </row>
    <row r="13" ht="18" customHeight="1">
      <c r="A13" s="5" t="inlineStr">
        <is>
          <t>Inputs  (issuer financials, e.g. $ millions)</t>
        </is>
      </c>
    </row>
    <row r="14">
      <c r="A14" s="8" t="inlineStr">
        <is>
          <t>Revenue</t>
        </is>
      </c>
      <c r="B14" s="43" t="n"/>
    </row>
    <row r="15">
      <c r="A15" s="8" t="inlineStr">
        <is>
          <t>EBITDA</t>
        </is>
      </c>
      <c r="B15" s="43" t="n"/>
    </row>
    <row r="16">
      <c r="A16" s="8" t="inlineStr">
        <is>
          <t>EBIT</t>
        </is>
      </c>
      <c r="B16" s="43" t="n"/>
    </row>
    <row r="17">
      <c r="A17" s="8" t="inlineStr">
        <is>
          <t>Cash &amp; equivalents</t>
        </is>
      </c>
      <c r="B17" s="43" t="n"/>
    </row>
    <row r="18">
      <c r="A18" s="8" t="inlineStr">
        <is>
          <t>Total debt</t>
        </is>
      </c>
      <c r="B18" s="43" t="n"/>
    </row>
    <row r="19">
      <c r="A19" s="8" t="inlineStr">
        <is>
          <t>Short-term debt</t>
        </is>
      </c>
      <c r="B19" s="43" t="n"/>
    </row>
    <row r="20">
      <c r="A20" s="8" t="inlineStr">
        <is>
          <t>Long-term debt</t>
        </is>
      </c>
      <c r="B20" s="43" t="n"/>
    </row>
    <row r="21">
      <c r="A21" s="8" t="inlineStr">
        <is>
          <t>Interest expense</t>
        </is>
      </c>
      <c r="B21" s="43" t="n"/>
    </row>
    <row r="22">
      <c r="A22" s="8" t="inlineStr">
        <is>
          <t>Operating cash flow</t>
        </is>
      </c>
      <c r="B22" s="43" t="n"/>
    </row>
    <row r="23">
      <c r="A23" s="8" t="inlineStr">
        <is>
          <t>Capex</t>
        </is>
      </c>
      <c r="B23" s="43" t="n"/>
    </row>
    <row r="24">
      <c r="A24" s="8" t="inlineStr">
        <is>
          <t>Available credit lines</t>
        </is>
      </c>
      <c r="B24" s="43" t="n"/>
    </row>
    <row r="25">
      <c r="A25" s="8" t="inlineStr">
        <is>
          <t>Debt due next 12 months</t>
        </is>
      </c>
      <c r="B25" s="43" t="n"/>
    </row>
    <row r="27" ht="18" customHeight="1">
      <c r="A27" s="5" t="inlineStr">
        <is>
          <t>Ratios (auto)</t>
        </is>
      </c>
    </row>
    <row r="28">
      <c r="A28" s="8" t="inlineStr">
        <is>
          <t>Net debt</t>
        </is>
      </c>
      <c r="B28" s="44">
        <f>TotalDebt-CashEq</f>
        <v/>
      </c>
      <c r="D28" s="12" t="inlineStr">
        <is>
          <t>Total debt minus cash.</t>
        </is>
      </c>
    </row>
    <row r="29">
      <c r="A29" s="8" t="inlineStr">
        <is>
          <t>Net debt / EBITDA</t>
        </is>
      </c>
      <c r="B29" s="45">
        <f>IF(EBITDA&lt;=0,"N/A",NetDebt/EBITDA)</f>
        <v/>
      </c>
      <c r="D29" s="12" t="inlineStr">
        <is>
          <t>Leverage. Lower is safer; very high is a red flag.</t>
        </is>
      </c>
    </row>
    <row r="30">
      <c r="A30" s="8" t="inlineStr">
        <is>
          <t>EBITDA / interest</t>
        </is>
      </c>
      <c r="B30" s="45">
        <f>IF(IntExp&lt;=0,"N/A",EBITDA/IntExp)</f>
        <v/>
      </c>
      <c r="D30" s="12" t="inlineStr">
        <is>
          <t>Interest coverage - ability to pay interest. Higher is safer.</t>
        </is>
      </c>
    </row>
    <row r="31">
      <c r="A31" s="8" t="inlineStr">
        <is>
          <t>EBIT / interest</t>
        </is>
      </c>
      <c r="B31" s="45">
        <f>IF(IntExp&lt;=0,"N/A",EBIT/IntExp)</f>
        <v/>
      </c>
      <c r="D31" s="12" t="inlineStr">
        <is>
          <t>A more conservative interest-coverage measure.</t>
        </is>
      </c>
    </row>
    <row r="32">
      <c r="A32" s="8" t="inlineStr">
        <is>
          <t>Free cash flow (FCF)</t>
        </is>
      </c>
      <c r="B32" s="44">
        <f>OpCF-Capex</f>
        <v/>
      </c>
      <c r="D32" s="12" t="inlineStr">
        <is>
          <t>Cash left after capital spending - real cash to service debt.</t>
        </is>
      </c>
    </row>
    <row r="33">
      <c r="A33" s="8" t="inlineStr">
        <is>
          <t>Liquidity</t>
        </is>
      </c>
      <c r="B33" s="44">
        <f>CashEq+CreditLines</f>
        <v/>
      </c>
      <c r="D33" s="12" t="inlineStr">
        <is>
          <t>Cash plus committed credit lines.</t>
        </is>
      </c>
    </row>
    <row r="34">
      <c r="A34" s="8" t="inlineStr">
        <is>
          <t>Liquidity coverage</t>
        </is>
      </c>
      <c r="B34" s="45">
        <f>IF(DebtDue12m&lt;=0,"No near-term debt maturities",Liquidity/DebtDue12m)</f>
        <v/>
      </c>
      <c r="D34" s="12" t="inlineStr">
        <is>
          <t>Liquidity vs debt due in the next 12 months. Below 1.0x is a concern.</t>
        </is>
      </c>
    </row>
    <row r="36" ht="18" customHeight="1">
      <c r="A36" s="5" t="inlineStr">
        <is>
          <t>Quick read</t>
        </is>
      </c>
    </row>
    <row r="37">
      <c r="A37" s="8" t="inlineStr">
        <is>
          <t>Leverage</t>
        </is>
      </c>
      <c r="B37" s="10">
        <f>IF(EBITDA&lt;=0,"N/A - EBITDA not positive",IF(NetDebtEBITDA&gt;4,"High leverage",IF(NetDebtEBITDA&gt;2.5,"Moderate leverage","Low leverage")))</f>
        <v/>
      </c>
    </row>
    <row r="38">
      <c r="A38" s="8" t="inlineStr">
        <is>
          <t>Interest coverage</t>
        </is>
      </c>
      <c r="B38" s="10">
        <f>IF(IntExp&lt;=0,"N/A - no interest expense",IF(EBITDACover&lt;1.5,"Weak coverage",IF(EBITDACover&lt;3,"Adequate coverage","Strong coverage")))</f>
        <v/>
      </c>
    </row>
    <row r="39">
      <c r="A39" s="8" t="inlineStr">
        <is>
          <t>Liquidity</t>
        </is>
      </c>
      <c r="B39" s="10">
        <f>IF(DebtDue12m&lt;=0,"No near-term maturities",IF(LiqCoverage&lt;1,"Weak - liquidity below near-term debt","Adequate near-term liquidity"))</f>
        <v/>
      </c>
    </row>
  </sheetData>
  <mergeCells count="20">
    <mergeCell ref="D32:F32"/>
    <mergeCell ref="A27:F27"/>
    <mergeCell ref="A3:F3"/>
    <mergeCell ref="A2:F2"/>
    <mergeCell ref="D28:F28"/>
    <mergeCell ref="B39:F39"/>
    <mergeCell ref="A8:F8"/>
    <mergeCell ref="D30:F30"/>
    <mergeCell ref="D33:F33"/>
    <mergeCell ref="A10:F10"/>
    <mergeCell ref="D29:F29"/>
    <mergeCell ref="B38:F38"/>
    <mergeCell ref="A13:F13"/>
    <mergeCell ref="A9:F9"/>
    <mergeCell ref="B37:F37"/>
    <mergeCell ref="D34:F34"/>
    <mergeCell ref="A36:F36"/>
    <mergeCell ref="D31:F31"/>
    <mergeCell ref="A1:F1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MATURITY WALL</t>
        </is>
      </c>
    </row>
    <row r="2">
      <c r="A2" s="2" t="inlineStr">
        <is>
          <t>When the issuer's debt comes due, and near-term refinancing risk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THIS SHOWS:  how much of the issuer's total debt matures each year. A big 'wall' in the near term means the issuer must refinance a lot soon - riskier if markets are tight or liquidity is low.</t>
        </is>
      </c>
    </row>
    <row r="9" ht="14" customHeight="1">
      <c r="A9" s="7" t="inlineStr">
        <is>
          <t>Enter debt maturing in each bucket (same units as the Issuer sheet). The chart and the risk read update.</t>
        </is>
      </c>
    </row>
    <row r="12" ht="18" customHeight="1">
      <c r="A12" s="5" t="inlineStr">
        <is>
          <t>Debt maturities</t>
        </is>
      </c>
    </row>
    <row r="13">
      <c r="A13" s="24" t="inlineStr">
        <is>
          <t>Bucket</t>
        </is>
      </c>
      <c r="B13" s="25" t="inlineStr">
        <is>
          <t>Debt maturing</t>
        </is>
      </c>
    </row>
    <row r="14">
      <c r="A14" s="8" t="inlineStr">
        <is>
          <t>Year 1</t>
        </is>
      </c>
      <c r="B14" s="43" t="n"/>
    </row>
    <row r="15">
      <c r="A15" s="8" t="inlineStr">
        <is>
          <t>Year 2</t>
        </is>
      </c>
      <c r="B15" s="43" t="n"/>
    </row>
    <row r="16">
      <c r="A16" s="8" t="inlineStr">
        <is>
          <t>Year 3</t>
        </is>
      </c>
      <c r="B16" s="43" t="n"/>
    </row>
    <row r="17">
      <c r="A17" s="8" t="inlineStr">
        <is>
          <t>Year 4</t>
        </is>
      </c>
      <c r="B17" s="43" t="n"/>
    </row>
    <row r="18">
      <c r="A18" s="8" t="inlineStr">
        <is>
          <t>Year 5</t>
        </is>
      </c>
      <c r="B18" s="43" t="n"/>
    </row>
    <row r="19">
      <c r="A19" s="8" t="inlineStr">
        <is>
          <t>After Year 5</t>
        </is>
      </c>
      <c r="B19" s="43" t="n"/>
    </row>
    <row r="20">
      <c r="A20" s="28" t="inlineStr">
        <is>
          <t>Total</t>
        </is>
      </c>
      <c r="B20" s="46">
        <f>SUM(B14:B19)</f>
        <v/>
      </c>
    </row>
    <row r="22" ht="18" customHeight="1">
      <c r="A22" s="5" t="inlineStr">
        <is>
          <t>Near-term refinancing risk</t>
        </is>
      </c>
    </row>
    <row r="23">
      <c r="A23" s="8" t="inlineStr">
        <is>
          <t>Year 1 vs liquidity</t>
        </is>
      </c>
      <c r="B23" s="10">
        <f>IF(N(Liquidity)&lt;=0,"Enter liquidity on the Issuer sheet to assess this",IF(MW1&gt;Liquidity,"High near-term refinancing risk (Year 1 maturities exceed liquidity)",IF(MW1&gt;0.5*Liquidity,"Medium near-term refinancing risk","Lower refinancing risk - well covered")))</f>
        <v/>
      </c>
    </row>
    <row r="24">
      <c r="A24" s="47" t="inlineStr">
        <is>
          <t>Rule used</t>
        </is>
      </c>
      <c r="B24" s="12" t="inlineStr">
        <is>
          <t>High if Year 1 &gt; liquidity; Medium if Year 1 &gt; half of liquidity; otherwise Lower.</t>
        </is>
      </c>
    </row>
  </sheetData>
  <mergeCells count="10">
    <mergeCell ref="A2:F2"/>
    <mergeCell ref="B24:F24"/>
    <mergeCell ref="A1:F1"/>
    <mergeCell ref="A9:F9"/>
    <mergeCell ref="A8:F8"/>
    <mergeCell ref="A22:F22"/>
    <mergeCell ref="B23:F23"/>
    <mergeCell ref="A12:F12"/>
    <mergeCell ref="A3:F3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drawing xmlns:r="http://schemas.openxmlformats.org/officeDocument/2006/relationships" r:id="rId13"/>
</worksheet>
</file>

<file path=xl/worksheets/sheet9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34" customWidth="1" min="4" max="4"/>
    <col width="34" customWidth="1" min="5" max="5"/>
  </cols>
  <sheetData>
    <row r="1" ht="28" customHeight="1">
      <c r="A1" s="1" t="inlineStr">
        <is>
          <t>RISKS</t>
        </is>
      </c>
    </row>
    <row r="2">
      <c r="A2" s="2" t="inlineStr">
        <is>
          <t>A simple risk checklist - set each to Low / Medium / High and add your view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For each risk, pick Low / Medium / High (drop-down), then add a short comment and a mitigating factor. The sample text is a starting point - edit it for your bond.</t>
        </is>
      </c>
    </row>
    <row r="9" ht="14" customHeight="1">
      <c r="A9" s="7" t="inlineStr">
        <is>
          <t>The colour of the assessment updates automatically (green = Low, amber = Medium, red = High).</t>
        </is>
      </c>
    </row>
    <row r="12" ht="18" customHeight="1">
      <c r="A12" s="25" t="inlineStr">
        <is>
          <t>Risk</t>
        </is>
      </c>
      <c r="B12" s="24" t="inlineStr">
        <is>
          <t>Description</t>
        </is>
      </c>
      <c r="C12" s="25" t="inlineStr">
        <is>
          <t>Assessment</t>
        </is>
      </c>
      <c r="D12" s="25" t="inlineStr">
        <is>
          <t>Analyst comment</t>
        </is>
      </c>
      <c r="E12" s="25" t="inlineStr">
        <is>
          <t>Mitigating factor</t>
        </is>
      </c>
    </row>
    <row r="13" ht="30" customHeight="1">
      <c r="A13" s="8" t="inlineStr">
        <is>
          <t>Interest-rate risk</t>
        </is>
      </c>
      <c r="B13" s="12" t="inlineStr">
        <is>
          <t>Price falls when market yields rise (see Modified duration &amp; the stress table).</t>
        </is>
      </c>
      <c r="C13" s="9" t="inlineStr">
        <is>
          <t>Medium</t>
        </is>
      </c>
      <c r="D13" s="13" t="inlineStr">
        <is>
          <t>Modified duration ~4.2 - a 1% rate rise cuts the price ~4%.</t>
        </is>
      </c>
      <c r="E13" s="13" t="inlineStr">
        <is>
          <t>Hold to maturity to recover price.</t>
        </is>
      </c>
    </row>
    <row r="14" ht="30" customHeight="1">
      <c r="A14" s="8" t="inlineStr">
        <is>
          <t>Credit risk</t>
        </is>
      </c>
      <c r="B14" s="12" t="inlineStr">
        <is>
          <t>The issuer may fail to pay coupons or principal.</t>
        </is>
      </c>
      <c r="C14" s="9" t="inlineStr">
        <is>
          <t>Medium</t>
        </is>
      </c>
      <c r="D14" s="13" t="inlineStr">
        <is>
          <t>BBB issuer; leverage and coverage look acceptable.</t>
        </is>
      </c>
      <c r="E14" s="13" t="inlineStr">
        <is>
          <t>Investment-grade rating; senior ranking.</t>
        </is>
      </c>
    </row>
    <row r="15" ht="30" customHeight="1">
      <c r="A15" s="8" t="inlineStr">
        <is>
          <t>Liquidity risk</t>
        </is>
      </c>
      <c r="B15" s="12" t="inlineStr">
        <is>
          <t>You may not be able to sell quickly at a fair price.</t>
        </is>
      </c>
      <c r="C15" s="9" t="inlineStr">
        <is>
          <t>Medium</t>
        </is>
      </c>
      <c r="D15" s="13" t="inlineStr">
        <is>
          <t>Single corporate bond; check trading volume.</t>
        </is>
      </c>
      <c r="E15" s="13" t="inlineStr">
        <is>
          <t>Size position so you can hold to maturity.</t>
        </is>
      </c>
    </row>
    <row r="16" ht="30" customHeight="1">
      <c r="A16" s="8" t="inlineStr">
        <is>
          <t>Refinancing risk</t>
        </is>
      </c>
      <c r="B16" s="12" t="inlineStr">
        <is>
          <t>The issuer may struggle to refinance maturing debt.</t>
        </is>
      </c>
      <c r="C16" s="9" t="inlineStr">
        <is>
          <t>Low</t>
        </is>
      </c>
      <c r="D16" s="13" t="inlineStr">
        <is>
          <t>See the Maturity Wall vs liquidity.</t>
        </is>
      </c>
      <c r="E16" s="13" t="inlineStr">
        <is>
          <t>Debt maturities are spread out.</t>
        </is>
      </c>
    </row>
    <row r="17" ht="30" customHeight="1">
      <c r="A17" s="8" t="inlineStr">
        <is>
          <t>Call risk</t>
        </is>
      </c>
      <c r="B17" s="12" t="inlineStr">
        <is>
          <t>The issuer can repay early, capping your upside (see YTC/YTW).</t>
        </is>
      </c>
      <c r="C17" s="9" t="inlineStr">
        <is>
          <t>Medium</t>
        </is>
      </c>
      <c r="D17" s="13" t="inlineStr">
        <is>
          <t>Callable in 2028 at 102; YTW governs.</t>
        </is>
      </c>
      <c r="E17" s="13" t="inlineStr">
        <is>
          <t>Call price above par gives some compensation.</t>
        </is>
      </c>
    </row>
    <row r="18" ht="30" customHeight="1">
      <c r="A18" s="8" t="inlineStr">
        <is>
          <t>Currency risk</t>
        </is>
      </c>
      <c r="B18" s="12" t="inlineStr">
        <is>
          <t>FX moves affect value if the bond is not in your currency.</t>
        </is>
      </c>
      <c r="C18" s="9" t="inlineStr">
        <is>
          <t>Low</t>
        </is>
      </c>
      <c r="D18" s="13" t="inlineStr">
        <is>
          <t>USD bond; only relevant for non-USD investors.</t>
        </is>
      </c>
      <c r="E18" s="13" t="inlineStr">
        <is>
          <t>Hedge FX or match to USD liabilities.</t>
        </is>
      </c>
    </row>
    <row r="19" ht="30" customHeight="1">
      <c r="A19" s="8" t="inlineStr">
        <is>
          <t>Sector risk</t>
        </is>
      </c>
      <c r="B19" s="12" t="inlineStr">
        <is>
          <t>Sector-specific pressures (demand, input costs, regulation).</t>
        </is>
      </c>
      <c r="C19" s="9" t="inlineStr">
        <is>
          <t>Medium</t>
        </is>
      </c>
      <c r="D19" s="13" t="inlineStr">
        <is>
          <t>Industrials - cyclical demand.</t>
        </is>
      </c>
      <c r="E19" s="13" t="inlineStr">
        <is>
          <t>Diversify across sectors.</t>
        </is>
      </c>
    </row>
    <row r="20" ht="30" customHeight="1">
      <c r="A20" s="8" t="inlineStr">
        <is>
          <t>Covenant risk</t>
        </is>
      </c>
      <c r="B20" s="12" t="inlineStr">
        <is>
          <t>Weak bondholder protections in the bond documents.</t>
        </is>
      </c>
      <c r="C20" s="9" t="inlineStr">
        <is>
          <t>Medium</t>
        </is>
      </c>
      <c r="D20" s="13" t="inlineStr">
        <is>
          <t>Review the offering memorandum.</t>
        </is>
      </c>
      <c r="E20" s="13" t="inlineStr">
        <is>
          <t>Senior unsecured ranking.</t>
        </is>
      </c>
    </row>
    <row r="21" ht="30" customHeight="1">
      <c r="A21" s="8" t="inlineStr">
        <is>
          <t>Downgrade risk</t>
        </is>
      </c>
      <c r="B21" s="12" t="inlineStr">
        <is>
          <t>A rating cut would widen the spread and lower the price.</t>
        </is>
      </c>
      <c r="C21" s="9" t="inlineStr">
        <is>
          <t>Medium</t>
        </is>
      </c>
      <c r="D21" s="13" t="inlineStr">
        <is>
          <t>BBB is one notch above high yield - watch the trend.</t>
        </is>
      </c>
      <c r="E21" s="13" t="inlineStr">
        <is>
          <t>Monitor the credit ratios each quarter.</t>
        </is>
      </c>
    </row>
  </sheetData>
  <mergeCells count="6">
    <mergeCell ref="A2:E2"/>
    <mergeCell ref="A7:E7"/>
    <mergeCell ref="A1:E1"/>
    <mergeCell ref="A8:E8"/>
    <mergeCell ref="A9:E9"/>
    <mergeCell ref="A3:E3"/>
  </mergeCells>
  <conditionalFormatting sqref="C13:C21">
    <cfRule type="expression" priority="1" dxfId="0" stopIfTrue="1">
      <formula>OR(ISNUMBER(SEARCH("PASS",C13)),ISNUMBER(SEARCH("OK",C13)),ISNUMBER(SEARCH("Low",C13)),ISNUMBER(SEARCH("Lower",C13)),ISNUMBER(SEARCH("Buy",C13)),ISNUMBER(SEARCH("Strong",C13)),ISNUMBER(SEARCH("Adequate",C13)),ISNUMBER(SEARCH("Within",C13)),ISNUMBER(SEARCH("Yes",C13)))</formula>
    </cfRule>
    <cfRule type="expression" priority="2" dxfId="1" stopIfTrue="1">
      <formula>OR(ISNUMBER(SEARCH("WARNING",C13)),ISNUMBER(SEARCH("WARN",C13)),ISNUMBER(SEARCH("Medium",C13)),ISNUMBER(SEARCH("Caution",C13)),ISNUMBER(SEARCH("Watch",C13)),ISNUMBER(SEARCH("Review",C13)),ISNUMBER(SEARCH("Hold",C13)),ISNUMBER(SEARCH("Near",C13)))</formula>
    </cfRule>
    <cfRule type="expression" priority="3" dxfId="2" stopIfTrue="1">
      <formula>OR(ISNUMBER(SEARCH("FAIL",C13)),ISNUMBER(SEARCH("High",C13)),ISNUMBER(SEARCH("Weak",C13)),ISNUMBER(SEARCH("Sell",C13)),ISNUMBER(SEARCH("Avoid",C13)),ISNUMBER(SEARCH("Breach",C13)),ISNUMBER(SEARCH("Negative",C13)),ISNUMBER(SEARCH("No near",C13)))</formula>
    </cfRule>
  </conditionalFormatting>
  <dataValidations count="9">
    <dataValidation sqref="C13" showDropDown="0" showInputMessage="0" showErrorMessage="1" allowBlank="1" type="list">
      <formula1>"Low,Medium,High"</formula1>
    </dataValidation>
    <dataValidation sqref="C14" showDropDown="0" showInputMessage="0" showErrorMessage="1" allowBlank="1" type="list">
      <formula1>"Low,Medium,High"</formula1>
    </dataValidation>
    <dataValidation sqref="C15" showDropDown="0" showInputMessage="0" showErrorMessage="1" allowBlank="1" type="list">
      <formula1>"Low,Medium,High"</formula1>
    </dataValidation>
    <dataValidation sqref="C16" showDropDown="0" showInputMessage="0" showErrorMessage="1" allowBlank="1" type="list">
      <formula1>"Low,Medium,High"</formula1>
    </dataValidation>
    <dataValidation sqref="C17" showDropDown="0" showInputMessage="0" showErrorMessage="1" allowBlank="1" type="list">
      <formula1>"Low,Medium,High"</formula1>
    </dataValidation>
    <dataValidation sqref="C18" showDropDown="0" showInputMessage="0" showErrorMessage="1" allowBlank="1" type="list">
      <formula1>"Low,Medium,High"</formula1>
    </dataValidation>
    <dataValidation sqref="C19" showDropDown="0" showInputMessage="0" showErrorMessage="1" allowBlank="1" type="list">
      <formula1>"Low,Medium,High"</formula1>
    </dataValidation>
    <dataValidation sqref="C20" showDropDown="0" showInputMessage="0" showErrorMessage="1" allowBlank="1" type="list">
      <formula1>"Low,Medium,High"</formula1>
    </dataValidation>
    <dataValidation sqref="C21" showDropDown="0" showInputMessage="0" showErrorMessage="1" allowBlank="1" type="list">
      <formula1>"Low,Medium,High"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" customWidth="1" min="3" max="3"/>
    <col width="20" customWidth="1" min="4" max="4"/>
    <col width="14" customWidth="1" min="5" max="5"/>
    <col width="10" customWidth="1" min="6" max="6"/>
  </cols>
  <sheetData>
    <row r="1" ht="28" customHeight="1">
      <c r="A1" s="1" t="inlineStr">
        <is>
          <t>RECOMMENDATION</t>
        </is>
      </c>
    </row>
    <row r="2">
      <c r="A2" s="2" t="inlineStr">
        <is>
          <t>One-page bond summary and analyst view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A one-page summary that pulls together price, yield, risk and credit. The interpretation lines below are automatic hints - the final Buy / Hold / Sell / Avoid call is yours to make (it is a manual input).</t>
        </is>
      </c>
    </row>
    <row r="11">
      <c r="A11" s="8" t="inlineStr">
        <is>
          <t>Recommendation</t>
        </is>
      </c>
      <c r="B11" s="9" t="inlineStr">
        <is>
          <t>Hold</t>
        </is>
      </c>
      <c r="C11" s="14" t="n"/>
      <c r="D11" s="12" t="inlineStr">
        <is>
          <t>Your call. Use the summary and hints below to justify it.</t>
        </is>
      </c>
    </row>
    <row r="13" ht="18" customHeight="1">
      <c r="A13" s="5" t="inlineStr">
        <is>
          <t>Bond &amp; pricing</t>
        </is>
      </c>
      <c r="D13" s="5" t="inlineStr">
        <is>
          <t>Risk &amp; credit</t>
        </is>
      </c>
    </row>
    <row r="14">
      <c r="A14" s="8" t="inlineStr">
        <is>
          <t>Issuer</t>
        </is>
      </c>
      <c r="B14" s="40">
        <f>Issuer</f>
        <v/>
      </c>
      <c r="D14" s="8" t="inlineStr">
        <is>
          <t>Macaulay duration</t>
        </is>
      </c>
      <c r="E14" s="42">
        <f>MacDur</f>
        <v/>
      </c>
    </row>
    <row r="15">
      <c r="A15" s="8" t="inlineStr">
        <is>
          <t>Bond</t>
        </is>
      </c>
      <c r="B15" s="40">
        <f>BondName</f>
        <v/>
      </c>
      <c r="D15" s="8" t="inlineStr">
        <is>
          <t>Modified duration</t>
        </is>
      </c>
      <c r="E15" s="38">
        <f>ModDur</f>
        <v/>
      </c>
    </row>
    <row r="16">
      <c r="A16" s="8" t="inlineStr">
        <is>
          <t>Rating</t>
        </is>
      </c>
      <c r="B16" s="40">
        <f>Rating</f>
        <v/>
      </c>
      <c r="D16" s="8" t="inlineStr">
        <is>
          <t>Convexity</t>
        </is>
      </c>
      <c r="E16" s="38">
        <f>Convexity</f>
        <v/>
      </c>
    </row>
    <row r="17">
      <c r="A17" s="8" t="inlineStr">
        <is>
          <t>Clean price</t>
        </is>
      </c>
      <c r="B17" s="34">
        <f>MktClean</f>
        <v/>
      </c>
      <c r="D17" s="8" t="inlineStr">
        <is>
          <t>DV01 (per 100)</t>
        </is>
      </c>
      <c r="E17" s="48">
        <f>DV01</f>
        <v/>
      </c>
    </row>
    <row r="18">
      <c r="A18" s="8" t="inlineStr">
        <is>
          <t>Dirty price</t>
        </is>
      </c>
      <c r="B18" s="34">
        <f>Dirty</f>
        <v/>
      </c>
      <c r="D18" s="8" t="inlineStr">
        <is>
          <t>Net debt / EBITDA</t>
        </is>
      </c>
      <c r="E18" s="49">
        <f>NetDebtEBITDA</f>
        <v/>
      </c>
    </row>
    <row r="19">
      <c r="A19" s="8" t="inlineStr">
        <is>
          <t>YTM</t>
        </is>
      </c>
      <c r="B19" s="41">
        <f>YTM</f>
        <v/>
      </c>
      <c r="D19" s="8" t="inlineStr">
        <is>
          <t>EBITDA / interest</t>
        </is>
      </c>
      <c r="E19" s="49">
        <f>EBITDACover</f>
        <v/>
      </c>
    </row>
    <row r="20">
      <c r="A20" s="8" t="inlineStr">
        <is>
          <t>Yield to call</t>
        </is>
      </c>
      <c r="B20" s="41">
        <f>IF(CallableFlag&lt;&gt;"Yes","Not callable",YTC)</f>
        <v/>
      </c>
      <c r="D20" s="8" t="inlineStr">
        <is>
          <t>Liquidity coverage</t>
        </is>
      </c>
      <c r="E20" s="49">
        <f>LiqCoverage</f>
        <v/>
      </c>
    </row>
    <row r="21">
      <c r="A21" s="8" t="inlineStr">
        <is>
          <t>Yield to worst</t>
        </is>
      </c>
      <c r="B21" s="41">
        <f>YTW</f>
        <v/>
      </c>
      <c r="D21" s="8" t="inlineStr">
        <is>
          <t>Year-1 maturities</t>
        </is>
      </c>
      <c r="E21" s="50">
        <f>MW1</f>
        <v/>
      </c>
    </row>
    <row r="22">
      <c r="A22" s="8" t="inlineStr">
        <is>
          <t>Spread (bps)</t>
        </is>
      </c>
      <c r="B22" s="51">
        <f>SpreadBps</f>
        <v/>
      </c>
      <c r="D22" s="8" t="inlineStr">
        <is>
          <t>Total debt maturities</t>
        </is>
      </c>
      <c r="E22" s="50">
        <f>TotalMaturities</f>
        <v/>
      </c>
    </row>
    <row r="23">
      <c r="A23" s="8" t="inlineStr">
        <is>
          <t>Current yield</t>
        </is>
      </c>
      <c r="B23" s="52">
        <f>CurrentYield</f>
        <v/>
      </c>
      <c r="D23" s="8" t="inlineStr">
        <is>
          <t>Sector</t>
        </is>
      </c>
      <c r="E23" s="40">
        <f>Sector</f>
        <v/>
      </c>
    </row>
    <row r="25" ht="18" customHeight="1">
      <c r="A25" s="5" t="inlineStr">
        <is>
          <t>Automatic interpretation (hints)</t>
        </is>
      </c>
    </row>
    <row r="26">
      <c r="A26" s="10">
        <f>IF(AND(ISNUMBER(NetDebtEBITDA),NetDebtEBITDA&lt;=4,Spread&gt;=0.015),"Valuation: decent spread and acceptable leverage - potentially attractive.",IF(OR(AND(ISNUMBER(NetDebtEBITDA),NetDebtEBITDA&gt;4),AND(ISNUMBER(LiqCoverage),LiqCoverage&lt;1)),"Valuation: high leverage or weak liquidity - caution.","Valuation: mixed - weigh the spread against the credit quality."))</f>
        <v/>
      </c>
    </row>
    <row r="27">
      <c r="A27" s="10">
        <f>IF(Spread&lt;0.005,"Compensation: thin spread - may not pay you enough for the risk.","Compensation: the spread gives some extra yield for the credit risk.")</f>
        <v/>
      </c>
    </row>
    <row r="28">
      <c r="A28" s="10">
        <f>IF(AND(CallableFlag="Yes",ISNUMBER(YTC),YTC&lt;YTM-0.0025),"Call risk: YTC is below YTM - early call would cap your upside; judge on YTW.","Call risk: limited - YTW is at or near YTM.")</f>
        <v/>
      </c>
    </row>
    <row r="29">
      <c r="A29" s="10">
        <f>IF(ModDur&gt;7,"Rate risk: long duration - quite sensitive to rate moves.",IF(ModDur&gt;3,"Rate risk: moderate duration.","Rate risk: short duration - less rate sensitive."))</f>
        <v/>
      </c>
    </row>
    <row r="31" ht="18" customHeight="1">
      <c r="A31" s="5" t="inlineStr">
        <is>
          <t>Analyst view (manual)</t>
        </is>
      </c>
    </row>
    <row r="32" ht="28" customHeight="1">
      <c r="A32" s="8" t="inlineStr">
        <is>
          <t>Main positive factors</t>
        </is>
      </c>
      <c r="B32" s="13" t="inlineStr"/>
      <c r="C32" s="53" t="n"/>
      <c r="D32" s="53" t="n"/>
      <c r="E32" s="53" t="n"/>
      <c r="F32" s="14" t="n"/>
    </row>
    <row r="33" ht="28" customHeight="1">
      <c r="A33" s="8" t="inlineStr">
        <is>
          <t>Main risks</t>
        </is>
      </c>
      <c r="B33" s="13" t="inlineStr"/>
      <c r="C33" s="53" t="n"/>
      <c r="D33" s="53" t="n"/>
      <c r="E33" s="53" t="n"/>
      <c r="F33" s="14" t="n"/>
    </row>
    <row r="34" ht="28" customHeight="1">
      <c r="A34" s="8" t="inlineStr">
        <is>
          <t>Final analyst comment</t>
        </is>
      </c>
      <c r="B34" s="13" t="inlineStr"/>
      <c r="C34" s="53" t="n"/>
      <c r="D34" s="53" t="n"/>
      <c r="E34" s="53" t="n"/>
      <c r="F34" s="14" t="n"/>
    </row>
    <row r="36">
      <c r="A36" s="3" t="inlineStr">
        <is>
          <t>Reminder: this is a decision-support summary, not investment advice.</t>
        </is>
      </c>
    </row>
  </sheetData>
  <mergeCells count="19">
    <mergeCell ref="D11:F11"/>
    <mergeCell ref="D13:F13"/>
    <mergeCell ref="A27:F27"/>
    <mergeCell ref="A26:F26"/>
    <mergeCell ref="A3:F3"/>
    <mergeCell ref="A2:F2"/>
    <mergeCell ref="B11:C11"/>
    <mergeCell ref="A8:F8"/>
    <mergeCell ref="A29:F29"/>
    <mergeCell ref="A13:C13"/>
    <mergeCell ref="A28:F28"/>
    <mergeCell ref="B34:F34"/>
    <mergeCell ref="A31:F31"/>
    <mergeCell ref="A36:F36"/>
    <mergeCell ref="B33:F33"/>
    <mergeCell ref="A1:F1"/>
    <mergeCell ref="B32:F32"/>
    <mergeCell ref="A7:F7"/>
    <mergeCell ref="A25:F25"/>
  </mergeCells>
  <dataValidations count="1">
    <dataValidation sqref="B11" showDropDown="0" showInputMessage="0" showErrorMessage="1" allowBlank="1" type="list">
      <formula1>"Buy,Hold,Sell,Avoid"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FORMULA EXPLANATIONS</t>
        </is>
      </c>
    </row>
    <row r="2">
      <c r="A2" s="2" t="inlineStr">
        <is>
          <t>Every key calculation in plain English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Read this once and you can audit any number in the workbook. Each row gives the formula, what it means, and how to read it.</t>
        </is>
      </c>
    </row>
    <row r="11">
      <c r="A11" s="24" t="inlineStr">
        <is>
          <t>Concept</t>
        </is>
      </c>
      <c r="C11" s="24" t="inlineStr">
        <is>
          <t>Formula</t>
        </is>
      </c>
      <c r="F11" s="24" t="inlineStr">
        <is>
          <t>What it means</t>
        </is>
      </c>
      <c r="H11" s="24" t="inlineStr">
        <is>
          <t>How to read it</t>
        </is>
      </c>
    </row>
    <row r="12" ht="40" customHeight="1">
      <c r="A12" s="8" t="inlineStr">
        <is>
          <t>Clean price</t>
        </is>
      </c>
      <c r="C12" s="10" t="inlineStr">
        <is>
          <t>Quoted price, excludes accrued interest</t>
        </is>
      </c>
      <c r="F12" s="12" t="inlineStr">
        <is>
          <t>The price you see quoted. It does not include the coupon that has built up since the last payment.</t>
        </is>
      </c>
      <c r="H12" s="12" t="inlineStr">
        <is>
          <t>It is what you compare across bonds; the extra you actually pay (accrued) is added separately.</t>
        </is>
      </c>
    </row>
    <row r="13" ht="40" customHeight="1">
      <c r="A13" s="8" t="inlineStr">
        <is>
          <t>Dirty price</t>
        </is>
      </c>
      <c r="C13" s="10" t="inlineStr">
        <is>
          <t>Clean price + accrued interest</t>
        </is>
      </c>
      <c r="F13" s="12" t="inlineStr">
        <is>
          <t>The actual cash you pay (also called the invoice or settlement price).</t>
        </is>
      </c>
      <c r="H13" s="12" t="inlineStr">
        <is>
          <t>This is the true cost of the bond and what the cash flows discount back to.</t>
        </is>
      </c>
    </row>
    <row r="14" ht="40" customHeight="1">
      <c r="A14" s="8" t="inlineStr">
        <is>
          <t>Accrued interest</t>
        </is>
      </c>
      <c r="C14" s="10" t="inlineStr">
        <is>
          <t>(days since last coupon / days in period) x periodic coupon</t>
        </is>
      </c>
      <c r="F14" s="12" t="inlineStr">
        <is>
          <t>The slice of the next coupon that the seller has earned and you reimburse.</t>
        </is>
      </c>
      <c r="H14" s="12" t="inlineStr">
        <is>
          <t>Zero for a zero-coupon bond. Uses the chosen day-count basis.</t>
        </is>
      </c>
    </row>
    <row r="15" ht="40" customHeight="1">
      <c r="A15" s="8" t="inlineStr">
        <is>
          <t>Yield to maturity (YTM)</t>
        </is>
      </c>
      <c r="C15" s="10" t="inlineStr">
        <is>
          <t>The rate that makes PV of all cash flows = price</t>
        </is>
      </c>
      <c r="F15" s="12" t="inlineStr">
        <is>
          <t>The single annual return you earn if you hold to maturity and reinvest coupons at that rate.</t>
        </is>
      </c>
      <c r="H15" s="12" t="inlineStr">
        <is>
          <t>The headline yield. Higher price -&gt; lower yield, and vice versa.</t>
        </is>
      </c>
    </row>
    <row r="16" ht="40" customHeight="1">
      <c r="A16" s="8" t="inlineStr">
        <is>
          <t>Current yield</t>
        </is>
      </c>
      <c r="C16" s="10" t="inlineStr">
        <is>
          <t>Annual coupon / clean price</t>
        </is>
      </c>
      <c r="F16" s="12" t="inlineStr">
        <is>
          <t>A quick income measure - just coupon versus price.</t>
        </is>
      </c>
      <c r="H16" s="12" t="inlineStr">
        <is>
          <t>Ignores capital gain/loss and timing, so it is only a rough guide. N/A for zero-coupon.</t>
        </is>
      </c>
    </row>
    <row r="17" ht="40" customHeight="1">
      <c r="A17" s="8" t="inlineStr">
        <is>
          <t>Spread</t>
        </is>
      </c>
      <c r="C17" s="10" t="inlineStr">
        <is>
          <t>YTM - benchmark government yield</t>
        </is>
      </c>
      <c r="F17" s="12" t="inlineStr">
        <is>
          <t>The extra yield over a safe government bond of similar maturity.</t>
        </is>
      </c>
      <c r="H17" s="12" t="inlineStr">
        <is>
          <t>Your pay for credit risk. Wider can mean cheaper - but only if the risk is acceptable.</t>
        </is>
      </c>
    </row>
    <row r="18" ht="40" customHeight="1">
      <c r="A18" s="8" t="inlineStr">
        <is>
          <t>Macaulay duration</t>
        </is>
      </c>
      <c r="C18" s="10" t="inlineStr">
        <is>
          <t>sum(time x PV) / sum(PV)</t>
        </is>
      </c>
      <c r="F18" s="12" t="inlineStr">
        <is>
          <t>The weighted-average time (years) to receive the bond's cash flows.</t>
        </is>
      </c>
      <c r="H18" s="12" t="inlineStr">
        <is>
          <t>Roughly how long your money is tied up. For a zero-coupon bond it equals time to maturity.</t>
        </is>
      </c>
    </row>
    <row r="19" ht="40" customHeight="1">
      <c r="A19" s="8" t="inlineStr">
        <is>
          <t>Modified duration</t>
        </is>
      </c>
      <c r="C19" s="10" t="inlineStr">
        <is>
          <t>Macaulay duration / (1 + YTM/frequency)</t>
        </is>
      </c>
      <c r="F19" s="12" t="inlineStr">
        <is>
          <t>The approximate % price change for a 1% (100 bps) move in yield.</t>
        </is>
      </c>
      <c r="H19" s="12" t="inlineStr">
        <is>
          <t>The main interest-rate risk number. 5 means a ~5% price fall if yields rise 1%.</t>
        </is>
      </c>
    </row>
    <row r="20" ht="40" customHeight="1">
      <c r="A20" s="8" t="inlineStr">
        <is>
          <t>Convexity</t>
        </is>
      </c>
      <c r="C20" s="10" t="inlineStr">
        <is>
          <t>sum(CF x t x (t+1) / (1+y/f)^(t+2)) / (price x f^2)</t>
        </is>
      </c>
      <c r="F20" s="12" t="inlineStr">
        <is>
          <t>Corrects the duration estimate because the price/yield relationship is curved.</t>
        </is>
      </c>
      <c r="H20" s="12" t="inlineStr">
        <is>
          <t>Positive for plain bonds; it helps you on big rallies and cushions big sell-offs.</t>
        </is>
      </c>
    </row>
    <row r="21" ht="40" customHeight="1">
      <c r="A21" s="8" t="inlineStr">
        <is>
          <t>DV01</t>
        </is>
      </c>
      <c r="C21" s="10" t="inlineStr">
        <is>
          <t>Modified duration x dirty price x 0.0001</t>
        </is>
      </c>
      <c r="F21" s="12" t="inlineStr">
        <is>
          <t>The price change for a 1 basis-point (0.01%) move in yield.</t>
        </is>
      </c>
      <c r="H21" s="12" t="inlineStr">
        <is>
          <t>A dollar/price risk measure; useful for sizing and hedging. Quoted as a positive number.</t>
        </is>
      </c>
    </row>
    <row r="22" ht="40" customHeight="1">
      <c r="A22" s="8" t="inlineStr">
        <is>
          <t>Yield to call (YTC)</t>
        </is>
      </c>
      <c r="C22" s="10" t="inlineStr">
        <is>
          <t>Yield using cash flows only to the call date + call price</t>
        </is>
      </c>
      <c r="F22" s="12" t="inlineStr">
        <is>
          <t>The return if the issuer calls the bond on the call date.</t>
        </is>
      </c>
      <c r="H22" s="12" t="inlineStr">
        <is>
          <t>Matters for callable bonds - the issuer calls when it suits them, not you.</t>
        </is>
      </c>
    </row>
    <row r="23" ht="30" customHeight="1">
      <c r="A23" s="8" t="inlineStr">
        <is>
          <t>Yield to worst (YTW)</t>
        </is>
      </c>
      <c r="C23" s="10" t="inlineStr">
        <is>
          <t>Lower of YTM and YTC</t>
        </is>
      </c>
      <c r="F23" s="12" t="inlineStr">
        <is>
          <t>The most conservative yield across the maturity and call scenarios.</t>
        </is>
      </c>
      <c r="H23" s="12" t="inlineStr">
        <is>
          <t>Always evaluate a callable bond on YTW, not YTM.</t>
        </is>
      </c>
    </row>
    <row r="24" ht="40" customHeight="1">
      <c r="A24" s="8" t="inlineStr">
        <is>
          <t>Net debt / EBITDA</t>
        </is>
      </c>
      <c r="C24" s="10" t="inlineStr">
        <is>
          <t>(total debt - cash) / EBITDA</t>
        </is>
      </c>
      <c r="F24" s="12" t="inlineStr">
        <is>
          <t>How many years of earnings it would take to repay net debt (leverage).</t>
        </is>
      </c>
      <c r="H24" s="12" t="inlineStr">
        <is>
          <t>Lower is safer. Very high is a red flag for credit risk.</t>
        </is>
      </c>
    </row>
    <row r="25" ht="30" customHeight="1">
      <c r="A25" s="8" t="inlineStr">
        <is>
          <t>Interest coverage</t>
        </is>
      </c>
      <c r="C25" s="10" t="inlineStr">
        <is>
          <t>EBITDA / interest expense (or EBIT / interest)</t>
        </is>
      </c>
      <c r="F25" s="12" t="inlineStr">
        <is>
          <t>How many times earnings cover the interest bill.</t>
        </is>
      </c>
      <c r="H25" s="12" t="inlineStr">
        <is>
          <t>Higher is safer. Near or below ~1.5x is a warning sign.</t>
        </is>
      </c>
    </row>
    <row r="26" ht="40" customHeight="1">
      <c r="A26" s="8" t="inlineStr">
        <is>
          <t>Liquidity coverage</t>
        </is>
      </c>
      <c r="C26" s="10" t="inlineStr">
        <is>
          <t>(cash + credit lines) / debt due in next 12 months</t>
        </is>
      </c>
      <c r="F26" s="12" t="inlineStr">
        <is>
          <t>Whether the issuer can cover near-term maturities without new borrowing.</t>
        </is>
      </c>
      <c r="H26" s="12" t="inlineStr">
        <is>
          <t>Below 1.0x means near-term debt exceeds available liquidity - a concern.</t>
        </is>
      </c>
    </row>
  </sheetData>
  <mergeCells count="69">
    <mergeCell ref="C16:E16"/>
    <mergeCell ref="F11:G11"/>
    <mergeCell ref="A24:B24"/>
    <mergeCell ref="A8:J8"/>
    <mergeCell ref="A15:B15"/>
    <mergeCell ref="F16:G16"/>
    <mergeCell ref="A11:B11"/>
    <mergeCell ref="F19:G19"/>
    <mergeCell ref="C22:E22"/>
    <mergeCell ref="F25:G25"/>
    <mergeCell ref="C25:E25"/>
    <mergeCell ref="H17:J17"/>
    <mergeCell ref="C21:E21"/>
    <mergeCell ref="H11:J11"/>
    <mergeCell ref="C12:E12"/>
    <mergeCell ref="H16:J16"/>
    <mergeCell ref="F21:G21"/>
    <mergeCell ref="C11:E11"/>
    <mergeCell ref="F12:G12"/>
    <mergeCell ref="A16:B16"/>
    <mergeCell ref="F24:G24"/>
    <mergeCell ref="F15:G15"/>
    <mergeCell ref="H22:J22"/>
    <mergeCell ref="A25:B25"/>
    <mergeCell ref="H13:J13"/>
    <mergeCell ref="H19:J19"/>
    <mergeCell ref="F20:G20"/>
    <mergeCell ref="F18:G18"/>
    <mergeCell ref="C23:E23"/>
    <mergeCell ref="C17:E17"/>
    <mergeCell ref="H12:J12"/>
    <mergeCell ref="A18:B18"/>
    <mergeCell ref="F26:G26"/>
    <mergeCell ref="F17:G17"/>
    <mergeCell ref="A12:B12"/>
    <mergeCell ref="H15:J15"/>
    <mergeCell ref="A1:J1"/>
    <mergeCell ref="A21:B21"/>
    <mergeCell ref="H24:J24"/>
    <mergeCell ref="A26:B26"/>
    <mergeCell ref="C13:E13"/>
    <mergeCell ref="H18:J18"/>
    <mergeCell ref="H14:J14"/>
    <mergeCell ref="C19:E19"/>
    <mergeCell ref="H23:J23"/>
    <mergeCell ref="F23:G23"/>
    <mergeCell ref="C18:E18"/>
    <mergeCell ref="A7:J7"/>
    <mergeCell ref="A14:B14"/>
    <mergeCell ref="F22:G22"/>
    <mergeCell ref="F13:G13"/>
    <mergeCell ref="A17:B17"/>
    <mergeCell ref="A23:B23"/>
    <mergeCell ref="H26:J26"/>
    <mergeCell ref="C15:E15"/>
    <mergeCell ref="A22:B22"/>
    <mergeCell ref="H20:J20"/>
    <mergeCell ref="C24:E24"/>
    <mergeCell ref="A20:B20"/>
    <mergeCell ref="C14:E14"/>
    <mergeCell ref="A19:B19"/>
    <mergeCell ref="A3:J3"/>
    <mergeCell ref="A13:B13"/>
    <mergeCell ref="C26:E26"/>
    <mergeCell ref="F14:G14"/>
    <mergeCell ref="A2:J2"/>
    <mergeCell ref="C20:E20"/>
    <mergeCell ref="H25:J25"/>
    <mergeCell ref="H21:J2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4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1" customWidth="1" min="3" max="3"/>
    <col width="11" customWidth="1" min="4" max="4"/>
    <col width="9" customWidth="1" min="5" max="5"/>
    <col width="10" customWidth="1" min="6" max="6"/>
    <col width="52" customWidth="1" min="7" max="7"/>
  </cols>
  <sheetData>
    <row r="1" ht="28" customHeight="1">
      <c r="A1" s="1" t="inlineStr">
        <is>
          <t>INDEPENDENT QUALITY CHECK / AUDIT</t>
        </is>
      </c>
    </row>
    <row r="2">
      <c r="A2" s="2" t="inlineStr">
        <is>
          <t>The main numbers, re-checked with independent methods</t>
        </is>
      </c>
    </row>
    <row r="3">
      <c r="A3" s="3" t="inlineStr">
        <is>
          <t>Fixed-Rate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Valuation</t>
        </is>
      </c>
      <c r="E5" s="4" t="inlineStr">
        <is>
          <t>Duration &amp; Convexity</t>
        </is>
      </c>
      <c r="F5" s="4" t="inlineStr">
        <is>
          <t>Call &amp; YTW</t>
        </is>
      </c>
    </row>
    <row r="6">
      <c r="A6" s="4" t="inlineStr">
        <is>
          <t>Issuer Financial Strength</t>
        </is>
      </c>
      <c r="B6" s="4" t="inlineStr">
        <is>
          <t>Maturity Wall</t>
        </is>
      </c>
      <c r="C6" s="4" t="inlineStr">
        <is>
          <t>Risks</t>
        </is>
      </c>
      <c r="D6" s="4" t="inlineStr">
        <is>
          <t>Recommendation</t>
        </is>
      </c>
      <c r="E6" s="4" t="inlineStr">
        <is>
          <t>Formula Explanations</t>
        </is>
      </c>
      <c r="F6" s="4" t="inlineStr">
        <is>
          <t>Audit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Each row recomputes a result a DIFFERENT way and compares. Status: Pass = within tolerance; Warning = small difference to review; Fail = check the inputs / assumptions.</t>
        </is>
      </c>
    </row>
    <row r="9" ht="25" customHeight="1">
      <c r="A9" s="7" t="inlineStr">
        <is>
          <t>Tolerances:  price +/- 0.05 per 100;  yield +/- 2.0 bps;  duration +/- 0.05 yrs;  DV01 +/- 0.005.  Small rounding differences are expected and acceptable.</t>
        </is>
      </c>
    </row>
    <row r="12" ht="18" customHeight="1">
      <c r="A12" s="25" t="inlineStr">
        <is>
          <t>Check</t>
        </is>
      </c>
      <c r="B12" s="24" t="inlineStr">
        <is>
          <t>Method / formula tested</t>
        </is>
      </c>
      <c r="C12" s="25" t="inlineStr">
        <is>
          <t>Model</t>
        </is>
      </c>
      <c r="D12" s="25" t="inlineStr">
        <is>
          <t>Independent</t>
        </is>
      </c>
      <c r="E12" s="25" t="inlineStr">
        <is>
          <t>Diff</t>
        </is>
      </c>
      <c r="F12" s="25" t="inlineStr">
        <is>
          <t>Status</t>
        </is>
      </c>
      <c r="G12" s="24" t="inlineStr">
        <is>
          <t>Plain-English explanation</t>
        </is>
      </c>
    </row>
    <row r="13">
      <c r="A13" s="8" t="inlineStr">
        <is>
          <t>Dirty price</t>
        </is>
      </c>
      <c r="B13" s="12" t="inlineStr">
        <is>
          <t>clean + accrued  vs  sum of PV from the schedule</t>
        </is>
      </c>
      <c r="C13" s="26">
        <f>Dirty</f>
        <v/>
      </c>
      <c r="D13" s="26">
        <f>DirtyCF</f>
        <v/>
      </c>
      <c r="E13" s="26">
        <f>IF(AND(ISNUMBER(C13),ISNUMBER(D13)),C13-D13,"")</f>
        <v/>
      </c>
      <c r="F13" s="54">
        <f>IF(NOT(AND(ISNUMBER(C13),ISNUMBER(D13))),"n/a",IF(ABS(E13)&lt;=0.05,"Pass",IF(ABS(E13)&lt;=0.15000000000000002,"Warning","Fail")))</f>
        <v/>
      </c>
      <c r="G13" s="12" t="inlineStr">
        <is>
          <t>Dirty price should equal the present value of all cash flows.</t>
        </is>
      </c>
    </row>
    <row r="14">
      <c r="A14" s="8" t="inlineStr">
        <is>
          <t>Accrued interest</t>
        </is>
      </c>
      <c r="B14" s="12" t="inlineStr">
        <is>
          <t>model accrued  vs  Excel ACCRINT</t>
        </is>
      </c>
      <c r="C14" s="26">
        <f>Accrued</f>
        <v/>
      </c>
      <c r="D14" s="26">
        <f>IF(IsZero=1,0,ACCRINT(COUPPCD(Settle,Maturity,Freq,Basis),COUPNCD(Settle,Maturity,Freq,Basis),Settle,CouponRate,Face,Freq,Basis))</f>
        <v/>
      </c>
      <c r="E14" s="26">
        <f>IF(AND(ISNUMBER(C14),ISNUMBER(D14)),C14-D14,"")</f>
        <v/>
      </c>
      <c r="F14" s="54">
        <f>IF(NOT(AND(ISNUMBER(C14),ISNUMBER(D14))),"n/a",IF(ABS(E14)&lt;=0.05,"Pass",IF(ABS(E14)&lt;=0.15000000000000002,"Warning","Fail")))</f>
        <v/>
      </c>
      <c r="G14" s="12" t="inlineStr">
        <is>
          <t>Independent accrued from Excel's ACCRINT. Zero for a zero-coupon bond.</t>
        </is>
      </c>
    </row>
    <row r="15">
      <c r="A15" s="8" t="inlineStr">
        <is>
          <t>YTM vs Excel YIELD</t>
        </is>
      </c>
      <c r="B15" s="12" t="inlineStr">
        <is>
          <t>model YTM  vs  Excel YIELD (coupon bonds)</t>
        </is>
      </c>
      <c r="C15" s="55">
        <f>YTM</f>
        <v/>
      </c>
      <c r="D15" s="55">
        <f>IF(IsZero=1,(Face/MktClean)^(1/YearsToMat)-1,YIELD(Settle,Maturity,CouponRate,MktClean,Face,Freq,Basis))</f>
        <v/>
      </c>
      <c r="E15" s="55">
        <f>IF(AND(ISNUMBER(C15),ISNUMBER(D15)),C15-D15,"")</f>
        <v/>
      </c>
      <c r="F15" s="54">
        <f>IF(NOT(AND(ISNUMBER(C15),ISNUMBER(D15))),"n/a",IF(ABS(E15)&lt;=0.0002,"Pass",IF(ABS(E15)&lt;=0.0006000000000000001,"Warning","Fail")))</f>
        <v/>
      </c>
      <c r="G15" s="12" t="inlineStr">
        <is>
          <t>The model uses Excel YIELD for coupon bonds; a manual formula for zero-coupon.</t>
        </is>
      </c>
    </row>
    <row r="16">
      <c r="A16" s="8" t="inlineStr">
        <is>
          <t>Price = PV at YTM</t>
        </is>
      </c>
      <c r="B16" s="12" t="inlineStr">
        <is>
          <t>market clean  vs  reprice at YTM (PRICE / manual PV)</t>
        </is>
      </c>
      <c r="C16" s="26">
        <f>MktClean</f>
        <v/>
      </c>
      <c r="D16" s="26">
        <f>IF(IsZero=1,Face/(1+(YTM))^YearsToMat,PRICE(Settle,Maturity,CouponRate,YTM,Face,Freq,Basis))</f>
        <v/>
      </c>
      <c r="E16" s="26">
        <f>IF(AND(ISNUMBER(C16),ISNUMBER(D16)),C16-D16,"")</f>
        <v/>
      </c>
      <c r="F16" s="54">
        <f>IF(NOT(AND(ISNUMBER(C16),ISNUMBER(D16))),"n/a",IF(ABS(E16)&lt;=0.05,"Pass",IF(ABS(E16)&lt;=0.15000000000000002,"Warning","Fail")))</f>
        <v/>
      </c>
      <c r="G16" s="12" t="inlineStr">
        <is>
          <t>Repricing at the calculated YTM should return the market clean price.</t>
        </is>
      </c>
    </row>
    <row r="17">
      <c r="A17" s="8" t="inlineStr">
        <is>
          <t>Macaulay duration</t>
        </is>
      </c>
      <c r="B17" s="12" t="inlineStr">
        <is>
          <t>Excel DURATION  vs  schedule sum(t*PV)/sum(PV)</t>
        </is>
      </c>
      <c r="C17" s="21">
        <f>MacDur</f>
        <v/>
      </c>
      <c r="D17" s="21">
        <f>MacaulayCF</f>
        <v/>
      </c>
      <c r="E17" s="21">
        <f>IF(AND(ISNUMBER(C17),ISNUMBER(D17)),C17-D17,"")</f>
        <v/>
      </c>
      <c r="F17" s="54">
        <f>IF(NOT(AND(ISNUMBER(C17),ISNUMBER(D17))),"n/a",IF(ABS(E17)&lt;=0.05,"Pass",IF(ABS(E17)&lt;=0.15000000000000002,"Warning","Fail")))</f>
        <v/>
      </c>
      <c r="G17" s="12" t="inlineStr">
        <is>
          <t>Two independent routes to Macaulay duration. For a zero it equals time to maturity.</t>
        </is>
      </c>
    </row>
    <row r="18">
      <c r="A18" s="8" t="inlineStr">
        <is>
          <t>Modified duration</t>
        </is>
      </c>
      <c r="B18" s="12" t="inlineStr">
        <is>
          <t>MDURATION  vs  Macaulay/(1+y/f)</t>
        </is>
      </c>
      <c r="C18" s="27">
        <f>ModDur</f>
        <v/>
      </c>
      <c r="D18" s="27">
        <f>IF(IsZero=1,YearsToMat/(1+YTM),MacaulayCF/(1+YTM/Freq))</f>
        <v/>
      </c>
      <c r="E18" s="27">
        <f>IF(AND(ISNUMBER(C18),ISNUMBER(D18)),C18-D18,"")</f>
        <v/>
      </c>
      <c r="F18" s="54">
        <f>IF(NOT(AND(ISNUMBER(C18),ISNUMBER(D18))),"n/a",IF(ABS(E18)&lt;=0.05,"Pass",IF(ABS(E18)&lt;=0.15000000000000002,"Warning","Fail")))</f>
        <v/>
      </c>
      <c r="G18" s="12" t="inlineStr">
        <is>
          <t>Modified duration cross-check.</t>
        </is>
      </c>
    </row>
    <row r="19">
      <c r="A19" s="8" t="inlineStr">
        <is>
          <t>DV01 (two methods)</t>
        </is>
      </c>
      <c r="B19" s="12" t="inlineStr">
        <is>
          <t>duration approx  vs  bump-and-reprice (+/-1 bp)</t>
        </is>
      </c>
      <c r="C19" s="23">
        <f>DV01</f>
        <v/>
      </c>
      <c r="D19" s="23">
        <f>(IF(IsZero=1,Face/(1+(YTM-0.0001))^YearsToMat,PRICE(Settle,Maturity,CouponRate,YTM-0.0001,Face,Freq,Basis))-IF(IsZero=1,Face/(1+(YTM+0.0001))^YearsToMat,PRICE(Settle,Maturity,CouponRate,YTM+0.0001,Face,Freq,Basis)))/2</f>
        <v/>
      </c>
      <c r="E19" s="23">
        <f>IF(AND(ISNUMBER(C19),ISNUMBER(D19)),C19-D19,"")</f>
        <v/>
      </c>
      <c r="F19" s="54">
        <f>IF(NOT(AND(ISNUMBER(C19),ISNUMBER(D19))),"n/a",IF(ABS(E19)&lt;=0.005,"Pass",IF(ABS(E19)&lt;=0.015,"Warning","Fail")))</f>
        <v/>
      </c>
      <c r="G19" s="12" t="inlineStr">
        <is>
          <t>DV01 from modified duration vs actually repricing at +/-1 bp.</t>
        </is>
      </c>
    </row>
    <row r="20">
      <c r="A20" s="8" t="inlineStr">
        <is>
          <t>Convexity positive?</t>
        </is>
      </c>
      <c r="B20" s="12" t="inlineStr">
        <is>
          <t>convexity &gt; 0 for a plain fixed-rate bond</t>
        </is>
      </c>
      <c r="C20" s="56" t="inlineStr"/>
      <c r="D20" s="56" t="inlineStr"/>
      <c r="E20" s="56" t="inlineStr"/>
      <c r="F20" s="54">
        <f>IF(Convexity&gt;0,"Pass","Fail")</f>
        <v/>
      </c>
      <c r="G20" s="12" t="inlineStr">
        <is>
          <t>Plain-vanilla fixed-rate bonds have positive convexity.</t>
        </is>
      </c>
    </row>
    <row r="21">
      <c r="A21" s="8" t="inlineStr">
        <is>
          <t>Convexity reasonableness</t>
        </is>
      </c>
      <c r="B21" s="12" t="inlineStr">
        <is>
          <t>schedule convexity  vs  bump-and-reprice (+/-10 bp)</t>
        </is>
      </c>
      <c r="C21" s="27">
        <f>Convexity</f>
        <v/>
      </c>
      <c r="D21" s="27">
        <f>(IF(IsZero=1,Face/(1+(YTM+0.001))^YearsToMat,PRICE(Settle,Maturity,CouponRate,YTM+0.001,Face,Freq,Basis))+IF(IsZero=1,Face/(1+(YTM-0.001))^YearsToMat,PRICE(Settle,Maturity,CouponRate,YTM-0.001,Face,Freq,Basis))-2*CleanModel)/(Dirty*0.001^2)</f>
        <v/>
      </c>
      <c r="E21" s="27">
        <f>IF(AND(ISNUMBER(C21),ISNUMBER(D21)),C21-D21,"")</f>
        <v/>
      </c>
      <c r="F21" s="54">
        <f>IF(NOT(AND(ISNUMBER(C21),ISNUMBER(D21))),"n/a",IF(ABS(E21)&lt;=1.5,"Pass",IF(ABS(E21)&lt;=4.5,"Warning","Fail")))</f>
        <v/>
      </c>
      <c r="G21" s="12" t="inlineStr">
        <is>
          <t>Two independent convexity estimates should be in the same ballpark.</t>
        </is>
      </c>
    </row>
    <row r="22">
      <c r="A22" s="8" t="inlineStr">
        <is>
          <t>YTC validity</t>
        </is>
      </c>
      <c r="B22" s="12" t="inlineStr">
        <is>
          <t>if callable: settlement &lt; call date &lt; maturity</t>
        </is>
      </c>
      <c r="C22" s="56" t="inlineStr"/>
      <c r="D22" s="56" t="inlineStr"/>
      <c r="E22" s="56" t="inlineStr"/>
      <c r="F22" s="54">
        <f>IF(CallableFlag&lt;&gt;"Yes",IF(YTC="Not callable","Pass","Warning"),IF(AND(Settle&lt;CallDate,CallDate&lt;Maturity),"Pass","Fail"))</f>
        <v/>
      </c>
      <c r="G22" s="12" t="inlineStr">
        <is>
          <t>A call date must sit between settlement and maturity. Not-callable bonds must show 'Not callable'.</t>
        </is>
      </c>
    </row>
    <row r="23">
      <c r="A23" s="8" t="inlineStr">
        <is>
          <t>YTW logic</t>
        </is>
      </c>
      <c r="B23" s="12" t="inlineStr">
        <is>
          <t>callable: min(YTM,YTC);  not callable: = YTM</t>
        </is>
      </c>
      <c r="C23" s="56" t="inlineStr"/>
      <c r="D23" s="56" t="inlineStr"/>
      <c r="E23" s="56" t="inlineStr"/>
      <c r="F23" s="54">
        <f>IF(CallableFlag&lt;&gt;"Yes",IF(ABS(YTW-YTM)&lt;0.000001,"Pass","Fail"),IF(ABS(YTW-MIN(YTM,YTC))&lt;0.000001,"Pass","Fail"))</f>
        <v/>
      </c>
      <c r="G23" s="12" t="inlineStr">
        <is>
          <t>Yield to worst must be the lower of YTM and YTC (or YTM if not callable).</t>
        </is>
      </c>
    </row>
    <row r="24">
      <c r="A24" s="8" t="inlineStr">
        <is>
          <t>Date order</t>
        </is>
      </c>
      <c r="B24" s="12" t="inlineStr">
        <is>
          <t>settlement date &lt; maturity date</t>
        </is>
      </c>
      <c r="C24" s="56" t="inlineStr"/>
      <c r="D24" s="56" t="inlineStr"/>
      <c r="E24" s="56" t="inlineStr"/>
      <c r="F24" s="54">
        <f>IF(Settle&lt;Maturity,"Pass","Fail")</f>
        <v/>
      </c>
      <c r="G24" s="12" t="inlineStr">
        <is>
          <t>Settlement must be before maturity.</t>
        </is>
      </c>
    </row>
    <row r="25">
      <c r="A25" s="8" t="inlineStr">
        <is>
          <t>No negative times</t>
        </is>
      </c>
      <c r="B25" s="12" t="inlineStr">
        <is>
          <t>all payment times to come are positive</t>
        </is>
      </c>
      <c r="C25" s="56" t="inlineStr"/>
      <c r="D25" s="56" t="inlineStr"/>
      <c r="E25" s="56" t="inlineStr"/>
      <c r="F25" s="54">
        <f>IF(YearsToMat&gt;0,"Pass","Fail")</f>
        <v/>
      </c>
      <c r="G25" s="12" t="inlineStr">
        <is>
          <t>Only future cash flows are valued.</t>
        </is>
      </c>
    </row>
    <row r="26">
      <c r="A26" s="8" t="inlineStr">
        <is>
          <t>Frequency supported</t>
        </is>
      </c>
      <c r="B26" s="12" t="inlineStr">
        <is>
          <t>Annual / Semiannual / Quarterly / Zero-coupon only</t>
        </is>
      </c>
      <c r="C26" s="56" t="inlineStr"/>
      <c r="D26" s="56" t="inlineStr"/>
      <c r="E26" s="56" t="inlineStr"/>
      <c r="F26" s="54">
        <f>IF(OR(FreqName="Annual",FreqName="Semiannual",FreqName="Quarterly",FreqName="Zero-coupon"),"Pass","Fail")</f>
        <v/>
      </c>
      <c r="G26" s="12" t="inlineStr">
        <is>
          <t>Monthly and other frequencies are not supported in this version.</t>
        </is>
      </c>
    </row>
    <row r="27">
      <c r="A27" s="8" t="inlineStr">
        <is>
          <t>Coupon count matches frequency</t>
        </is>
      </c>
      <c r="B27" s="12" t="inlineStr">
        <is>
          <t>remaining payments consistent with the frequency</t>
        </is>
      </c>
      <c r="C27" s="56" t="inlineStr"/>
      <c r="D27" s="56" t="inlineStr"/>
      <c r="E27" s="56" t="inlineStr"/>
      <c r="F27" s="54">
        <f>IF(IsZero=1,IF(Ncoup=1,"Pass","Warning"),IF(Ncoup&gt;0,"Pass","Fail"))</f>
        <v/>
      </c>
      <c r="G27" s="12" t="inlineStr">
        <is>
          <t>Number of scheduled payments should match the chosen frequency.</t>
        </is>
      </c>
    </row>
    <row r="28">
      <c r="A28" s="8" t="inlineStr">
        <is>
          <t>Price vs par direction</t>
        </is>
      </c>
      <c r="B28" s="12" t="inlineStr">
        <is>
          <t>coupon&gt;YTM-&gt;premium; coupon&lt;YTM-&gt;discount</t>
        </is>
      </c>
      <c r="C28" s="56" t="inlineStr"/>
      <c r="D28" s="56" t="inlineStr"/>
      <c r="E28" s="56" t="inlineStr"/>
      <c r="F28" s="54">
        <f>IF(IsZero=1,"n/a",IF(ABS(CouponRate-YTM)&lt;0.0005,"Pass",IF(SIGN(CouponRate-YTM)=SIGN(MktClean-Face),"Pass","Fail")))</f>
        <v/>
      </c>
      <c r="G28" s="12" t="inlineStr">
        <is>
          <t>Higher coupon than yield =&gt; price above par, and vice versa.</t>
        </is>
      </c>
    </row>
    <row r="29">
      <c r="A29" s="8" t="inlineStr">
        <is>
          <t>Stress monotonic</t>
        </is>
      </c>
      <c r="B29" s="12" t="inlineStr">
        <is>
          <t>yields up -&gt; price down (from the stress table logic)</t>
        </is>
      </c>
      <c r="C29" s="56" t="inlineStr"/>
      <c r="D29" s="56" t="inlineStr"/>
      <c r="E29" s="56" t="inlineStr"/>
      <c r="F29" s="54">
        <f>IF(ModDur&gt;0,"Pass","Fail")</f>
        <v/>
      </c>
      <c r="G29" s="12" t="inlineStr">
        <is>
          <t>Positive duration means price falls when yields rise.</t>
        </is>
      </c>
    </row>
    <row r="30">
      <c r="A30" s="8" t="inlineStr">
        <is>
          <t>DV01 positive</t>
        </is>
      </c>
      <c r="B30" s="12" t="inlineStr">
        <is>
          <t>DV01 shown as a positive risk magnitude</t>
        </is>
      </c>
      <c r="C30" s="56" t="inlineStr"/>
      <c r="D30" s="56" t="inlineStr"/>
      <c r="E30" s="56" t="inlineStr"/>
      <c r="F30" s="54">
        <f>IF(DV01&gt;0,"Pass","Fail")</f>
        <v/>
      </c>
      <c r="G30" s="12" t="inlineStr">
        <is>
          <t>DV01 is quoted positive even though price falls when yields rise.</t>
        </is>
      </c>
    </row>
    <row r="31">
      <c r="A31" s="8" t="inlineStr">
        <is>
          <t>Net debt identity</t>
        </is>
      </c>
      <c r="B31" s="12" t="inlineStr">
        <is>
          <t>net debt = total debt - cash</t>
        </is>
      </c>
      <c r="C31" s="56" t="inlineStr"/>
      <c r="D31" s="56" t="inlineStr"/>
      <c r="E31" s="56" t="inlineStr"/>
      <c r="F31" s="54">
        <f>IF(N(TotalDebt)=0,"n/a",IF(ABS(NetDebt-(TotalDebt-CashEq))&lt;0.01,"Pass","Fail"))</f>
        <v/>
      </c>
      <c r="G31" s="12" t="inlineStr">
        <is>
          <t>Confirms the net-debt calculation.</t>
        </is>
      </c>
    </row>
    <row r="32">
      <c r="A32" s="8" t="inlineStr">
        <is>
          <t>Liquidity identity</t>
        </is>
      </c>
      <c r="B32" s="12" t="inlineStr">
        <is>
          <t>liquidity = cash + credit lines</t>
        </is>
      </c>
      <c r="C32" s="56" t="inlineStr"/>
      <c r="D32" s="56" t="inlineStr"/>
      <c r="E32" s="56" t="inlineStr"/>
      <c r="F32" s="54">
        <f>IF(N(CashEq)+N(CreditLines)=0,"n/a",IF(ABS(Liquidity-(CashEq+CreditLines))&lt;0.01,"Pass","Fail"))</f>
        <v/>
      </c>
      <c r="G32" s="12" t="inlineStr">
        <is>
          <t>Confirms the liquidity calculation.</t>
        </is>
      </c>
    </row>
    <row r="33">
      <c r="A33" s="8" t="inlineStr">
        <is>
          <t>Interest coverage flag</t>
        </is>
      </c>
      <c r="B33" s="12" t="inlineStr">
        <is>
          <t>warn if EBITDA/interest &lt;= 1.5x</t>
        </is>
      </c>
      <c r="C33" s="56" t="inlineStr"/>
      <c r="D33" s="56" t="inlineStr"/>
      <c r="E33" s="56" t="inlineStr"/>
      <c r="F33" s="54">
        <f>IF(NOT(ISNUMBER(EBITDACover)),"n/a",IF(EBITDACover&gt;1.5,"Pass","Warning"))</f>
        <v/>
      </c>
      <c r="G33" s="12" t="inlineStr">
        <is>
          <t>Low interest coverage is a credit warning.</t>
        </is>
      </c>
    </row>
    <row r="34">
      <c r="A34" s="8" t="inlineStr">
        <is>
          <t>Leverage flag</t>
        </is>
      </c>
      <c r="B34" s="12" t="inlineStr">
        <is>
          <t>warn if net debt/EBITDA very high (&gt;5x)</t>
        </is>
      </c>
      <c r="C34" s="56" t="inlineStr"/>
      <c r="D34" s="56" t="inlineStr"/>
      <c r="E34" s="56" t="inlineStr"/>
      <c r="F34" s="54">
        <f>IF(NOT(ISNUMBER(NetDebtEBITDA)),"n/a",IF(NetDebtEBITDA&lt;=5,"Pass","Warning"))</f>
        <v/>
      </c>
      <c r="G34" s="12" t="inlineStr">
        <is>
          <t>Very high leverage is a credit warning.</t>
        </is>
      </c>
    </row>
    <row r="35">
      <c r="A35" s="8" t="inlineStr">
        <is>
          <t>Liquidity coverage flag</t>
        </is>
      </c>
      <c r="B35" s="12" t="inlineStr">
        <is>
          <t>warn if liquidity coverage &lt; 1.0x</t>
        </is>
      </c>
      <c r="C35" s="56" t="inlineStr"/>
      <c r="D35" s="56" t="inlineStr"/>
      <c r="E35" s="56" t="inlineStr"/>
      <c r="F35" s="54">
        <f>IF(NOT(ISNUMBER(LiqCoverage)),"n/a",IF(LiqCoverage&gt;=1,"Pass","Warning"))</f>
        <v/>
      </c>
      <c r="G35" s="12" t="inlineStr">
        <is>
          <t>Liquidity below near-term maturities is a warning.</t>
        </is>
      </c>
    </row>
    <row r="37">
      <c r="A37" s="8" t="inlineStr">
        <is>
          <t>Summary</t>
        </is>
      </c>
      <c r="B37" s="11">
        <f>"Pass: "&amp;COUNTIF(F13:F35,"Pass")&amp;"   Warning: "&amp;COUNTIF(F13:F35,"Warning")&amp;"   Fail: "&amp;COUNTIF(F13:F35,"Fail")</f>
        <v/>
      </c>
      <c r="C37" s="57" t="n"/>
      <c r="D37" s="57" t="n"/>
      <c r="E37" s="57" t="n"/>
      <c r="F37" s="57" t="n"/>
      <c r="G37" s="33" t="n"/>
    </row>
    <row r="39" ht="16" customHeight="1">
      <c r="A39" s="6" t="inlineStr">
        <is>
          <t>What this model does NOT cover</t>
        </is>
      </c>
    </row>
    <row r="40" ht="37" customHeight="1">
      <c r="A40" s="7" t="inlineStr">
        <is>
          <t>MODEL LIMITATIONS - this simple model does NOT cover:  OAS  -  Z-spread  -  full callable-bond option valuation  -  floating-rate notes  -  amortizing bonds  -  monthly-coupon bonds  -  inflation-linked bonds  -  distressed debt / recovery  -  CDS-implied credit risk  -  full issuer forecasting.</t>
        </is>
      </c>
    </row>
    <row r="41" ht="14" customHeight="1">
      <c r="A41" s="7" t="inlineStr">
        <is>
          <t>For those, use a dedicated fixed-income system. This tool is for plain-vanilla fixed-rate bonds.</t>
        </is>
      </c>
    </row>
  </sheetData>
  <mergeCells count="10">
    <mergeCell ref="A1:G1"/>
    <mergeCell ref="A40:G40"/>
    <mergeCell ref="A9:G9"/>
    <mergeCell ref="A8:G8"/>
    <mergeCell ref="A3:G3"/>
    <mergeCell ref="B37:G37"/>
    <mergeCell ref="A39:G39"/>
    <mergeCell ref="A2:G2"/>
    <mergeCell ref="A7:G7"/>
    <mergeCell ref="A41:G41"/>
  </mergeCells>
  <conditionalFormatting sqref="F13:F35">
    <cfRule type="expression" priority="1" dxfId="0" stopIfTrue="1">
      <formula>OR(ISNUMBER(SEARCH("PASS",F13)),ISNUMBER(SEARCH("OK",F13)),ISNUMBER(SEARCH("Low",F13)),ISNUMBER(SEARCH("Lower",F13)),ISNUMBER(SEARCH("Buy",F13)),ISNUMBER(SEARCH("Strong",F13)),ISNUMBER(SEARCH("Adequate",F13)),ISNUMBER(SEARCH("Within",F13)),ISNUMBER(SEARCH("Yes",F13)))</formula>
    </cfRule>
    <cfRule type="expression" priority="2" dxfId="1" stopIfTrue="1">
      <formula>OR(ISNUMBER(SEARCH("WARNING",F13)),ISNUMBER(SEARCH("WARN",F13)),ISNUMBER(SEARCH("Medium",F13)),ISNUMBER(SEARCH("Caution",F13)),ISNUMBER(SEARCH("Watch",F13)),ISNUMBER(SEARCH("Review",F13)),ISNUMBER(SEARCH("Hold",F13)),ISNUMBER(SEARCH("Near",F13)))</formula>
    </cfRule>
    <cfRule type="expression" priority="3" dxfId="2" stopIfTrue="1">
      <formula>OR(ISNUMBER(SEARCH("FAIL",F13)),ISNUMBER(SEARCH("High",F13)),ISNUMBER(SEARCH("Weak",F13)),ISNUMBER(SEARCH("Sell",F13)),ISNUMBER(SEARCH("Avoid",F13)),ISNUMBER(SEARCH("Breach",F13)),ISNUMBER(SEARCH("Negative",F13)),ISNUMBER(SEARCH("No near",F13)))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Fixed-Rate Bond Analyzer v1.0</dc:creator>
  <dc:title>Fixed-Rate Bond Analyzer</dc:title>
  <dcterms:created xsi:type="dcterms:W3CDTF">2026-07-02T12:47:22Z</dcterms:created>
  <dcterms:modified xsi:type="dcterms:W3CDTF">2026-07-02T12:47:22Z</dcterms:modified>
</cp:coreProperties>
</file>